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13_ncr:1_{691EA26E-217C-4AE9-A0AB-433133225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Data quality check" sheetId="2" r:id="rId2"/>
    <sheet name="Cleaned_Data" sheetId="3" r:id="rId3"/>
    <sheet name="Sales by Category" sheetId="5" r:id="rId4"/>
    <sheet name="Sales by City" sheetId="6" r:id="rId5"/>
    <sheet name="Sales by Customer Segment" sheetId="8" r:id="rId6"/>
    <sheet name="Sales by Payment Mode" sheetId="9" r:id="rId7"/>
    <sheet name="Monthly Sales Trend" sheetId="11" r:id="rId8"/>
    <sheet name="Total Sales, Profit &amp; Quantity" sheetId="4" r:id="rId9"/>
  </sheets>
  <definedNames>
    <definedName name="_xlnm._FilterDatabase" localSheetId="2" hidden="1">Cleaned_Data!$A$1:$R$1004</definedName>
    <definedName name="_xlnm._FilterDatabase" localSheetId="0" hidden="1">Sales_Data!$A$1:$Q$1004</definedName>
  </definedNames>
  <calcPr calcId="191029"/>
  <pivotCaches>
    <pivotCache cacheId="0" r:id="rId10"/>
    <pivotCache cacheId="2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4" i="5"/>
  <c r="D6" i="5"/>
  <c r="D7" i="5"/>
  <c r="D8" i="5"/>
  <c r="D5" i="5"/>
  <c r="P1002" i="3"/>
  <c r="B2" i="4" s="1"/>
  <c r="N1002" i="3"/>
  <c r="B4" i="4" s="1"/>
  <c r="R1002" i="3"/>
  <c r="Q1002" i="3"/>
  <c r="B3" i="4" s="1"/>
  <c r="O1002" i="3"/>
  <c r="M1002" i="3"/>
  <c r="L1002" i="3"/>
  <c r="K1002" i="3"/>
  <c r="J1002" i="3"/>
  <c r="I1002" i="3"/>
  <c r="H1002" i="3"/>
  <c r="G1002" i="3"/>
  <c r="F1002" i="3"/>
  <c r="E1002" i="3"/>
  <c r="C1002" i="3"/>
  <c r="B1002" i="3"/>
  <c r="A1002" i="3"/>
  <c r="U1001" i="3"/>
  <c r="T1001" i="3"/>
  <c r="S1001" i="3"/>
  <c r="U1000" i="3"/>
  <c r="T1000" i="3"/>
  <c r="S1000" i="3"/>
  <c r="U999" i="3"/>
  <c r="T999" i="3"/>
  <c r="S999" i="3"/>
  <c r="U998" i="3"/>
  <c r="T998" i="3"/>
  <c r="S998" i="3"/>
  <c r="U997" i="3"/>
  <c r="T997" i="3"/>
  <c r="S997" i="3"/>
  <c r="U996" i="3"/>
  <c r="T996" i="3"/>
  <c r="S996" i="3"/>
  <c r="U995" i="3"/>
  <c r="T995" i="3"/>
  <c r="S995" i="3"/>
  <c r="U994" i="3"/>
  <c r="T994" i="3"/>
  <c r="S994" i="3"/>
  <c r="U993" i="3"/>
  <c r="T993" i="3"/>
  <c r="S993" i="3"/>
  <c r="U992" i="3"/>
  <c r="T992" i="3"/>
  <c r="S992" i="3"/>
  <c r="U991" i="3"/>
  <c r="T991" i="3"/>
  <c r="S991" i="3"/>
  <c r="U990" i="3"/>
  <c r="T990" i="3"/>
  <c r="S990" i="3"/>
  <c r="U989" i="3"/>
  <c r="T989" i="3"/>
  <c r="S989" i="3"/>
  <c r="U988" i="3"/>
  <c r="T988" i="3"/>
  <c r="S988" i="3"/>
  <c r="U987" i="3"/>
  <c r="T987" i="3"/>
  <c r="S987" i="3"/>
  <c r="U986" i="3"/>
  <c r="T986" i="3"/>
  <c r="S986" i="3"/>
  <c r="U985" i="3"/>
  <c r="T985" i="3"/>
  <c r="S985" i="3"/>
  <c r="U984" i="3"/>
  <c r="T984" i="3"/>
  <c r="S984" i="3"/>
  <c r="U983" i="3"/>
  <c r="T983" i="3"/>
  <c r="S983" i="3"/>
  <c r="U982" i="3"/>
  <c r="T982" i="3"/>
  <c r="S982" i="3"/>
  <c r="U981" i="3"/>
  <c r="T981" i="3"/>
  <c r="S981" i="3"/>
  <c r="U980" i="3"/>
  <c r="T980" i="3"/>
  <c r="S980" i="3"/>
  <c r="U979" i="3"/>
  <c r="T979" i="3"/>
  <c r="S979" i="3"/>
  <c r="U978" i="3"/>
  <c r="T978" i="3"/>
  <c r="S978" i="3"/>
  <c r="U977" i="3"/>
  <c r="T977" i="3"/>
  <c r="S977" i="3"/>
  <c r="U976" i="3"/>
  <c r="T976" i="3"/>
  <c r="S976" i="3"/>
  <c r="U975" i="3"/>
  <c r="T975" i="3"/>
  <c r="S975" i="3"/>
  <c r="U974" i="3"/>
  <c r="T974" i="3"/>
  <c r="S974" i="3"/>
  <c r="U973" i="3"/>
  <c r="T973" i="3"/>
  <c r="S973" i="3"/>
  <c r="U972" i="3"/>
  <c r="T972" i="3"/>
  <c r="S972" i="3"/>
  <c r="U971" i="3"/>
  <c r="T971" i="3"/>
  <c r="S971" i="3"/>
  <c r="U970" i="3"/>
  <c r="T970" i="3"/>
  <c r="S970" i="3"/>
  <c r="U969" i="3"/>
  <c r="T969" i="3"/>
  <c r="S969" i="3"/>
  <c r="U968" i="3"/>
  <c r="T968" i="3"/>
  <c r="S968" i="3"/>
  <c r="U967" i="3"/>
  <c r="T967" i="3"/>
  <c r="S967" i="3"/>
  <c r="U966" i="3"/>
  <c r="T966" i="3"/>
  <c r="S966" i="3"/>
  <c r="U965" i="3"/>
  <c r="T965" i="3"/>
  <c r="S965" i="3"/>
  <c r="U964" i="3"/>
  <c r="T964" i="3"/>
  <c r="S964" i="3"/>
  <c r="U963" i="3"/>
  <c r="T963" i="3"/>
  <c r="S963" i="3"/>
  <c r="U962" i="3"/>
  <c r="T962" i="3"/>
  <c r="S962" i="3"/>
  <c r="U961" i="3"/>
  <c r="T961" i="3"/>
  <c r="S961" i="3"/>
  <c r="U960" i="3"/>
  <c r="T960" i="3"/>
  <c r="S960" i="3"/>
  <c r="U959" i="3"/>
  <c r="T959" i="3"/>
  <c r="S959" i="3"/>
  <c r="U958" i="3"/>
  <c r="T958" i="3"/>
  <c r="S958" i="3"/>
  <c r="U957" i="3"/>
  <c r="T957" i="3"/>
  <c r="S957" i="3"/>
  <c r="U956" i="3"/>
  <c r="T956" i="3"/>
  <c r="S956" i="3"/>
  <c r="U955" i="3"/>
  <c r="T955" i="3"/>
  <c r="S955" i="3"/>
  <c r="U954" i="3"/>
  <c r="T954" i="3"/>
  <c r="S954" i="3"/>
  <c r="U953" i="3"/>
  <c r="T953" i="3"/>
  <c r="S953" i="3"/>
  <c r="U952" i="3"/>
  <c r="T952" i="3"/>
  <c r="S952" i="3"/>
  <c r="U951" i="3"/>
  <c r="T951" i="3"/>
  <c r="S951" i="3"/>
  <c r="U950" i="3"/>
  <c r="T950" i="3"/>
  <c r="S950" i="3"/>
  <c r="U949" i="3"/>
  <c r="T949" i="3"/>
  <c r="S949" i="3"/>
  <c r="U948" i="3"/>
  <c r="T948" i="3"/>
  <c r="S948" i="3"/>
  <c r="U947" i="3"/>
  <c r="T947" i="3"/>
  <c r="S947" i="3"/>
  <c r="U946" i="3"/>
  <c r="T946" i="3"/>
  <c r="S946" i="3"/>
  <c r="U945" i="3"/>
  <c r="T945" i="3"/>
  <c r="S945" i="3"/>
  <c r="U944" i="3"/>
  <c r="T944" i="3"/>
  <c r="S944" i="3"/>
  <c r="U943" i="3"/>
  <c r="T943" i="3"/>
  <c r="S943" i="3"/>
  <c r="U942" i="3"/>
  <c r="T942" i="3"/>
  <c r="S942" i="3"/>
  <c r="U941" i="3"/>
  <c r="T941" i="3"/>
  <c r="S941" i="3"/>
  <c r="U940" i="3"/>
  <c r="T940" i="3"/>
  <c r="S940" i="3"/>
  <c r="U939" i="3"/>
  <c r="T939" i="3"/>
  <c r="S939" i="3"/>
  <c r="U938" i="3"/>
  <c r="T938" i="3"/>
  <c r="S938" i="3"/>
  <c r="U937" i="3"/>
  <c r="T937" i="3"/>
  <c r="S937" i="3"/>
  <c r="U936" i="3"/>
  <c r="T936" i="3"/>
  <c r="S936" i="3"/>
  <c r="U935" i="3"/>
  <c r="T935" i="3"/>
  <c r="S935" i="3"/>
  <c r="U934" i="3"/>
  <c r="T934" i="3"/>
  <c r="S934" i="3"/>
  <c r="U933" i="3"/>
  <c r="T933" i="3"/>
  <c r="S933" i="3"/>
  <c r="U932" i="3"/>
  <c r="T932" i="3"/>
  <c r="S932" i="3"/>
  <c r="U931" i="3"/>
  <c r="T931" i="3"/>
  <c r="S931" i="3"/>
  <c r="U930" i="3"/>
  <c r="T930" i="3"/>
  <c r="S930" i="3"/>
  <c r="U929" i="3"/>
  <c r="T929" i="3"/>
  <c r="S929" i="3"/>
  <c r="U928" i="3"/>
  <c r="T928" i="3"/>
  <c r="S928" i="3"/>
  <c r="U927" i="3"/>
  <c r="T927" i="3"/>
  <c r="S927" i="3"/>
  <c r="U926" i="3"/>
  <c r="T926" i="3"/>
  <c r="S926" i="3"/>
  <c r="U925" i="3"/>
  <c r="T925" i="3"/>
  <c r="S925" i="3"/>
  <c r="U924" i="3"/>
  <c r="T924" i="3"/>
  <c r="S924" i="3"/>
  <c r="U923" i="3"/>
  <c r="T923" i="3"/>
  <c r="S923" i="3"/>
  <c r="U922" i="3"/>
  <c r="T922" i="3"/>
  <c r="S922" i="3"/>
  <c r="U921" i="3"/>
  <c r="T921" i="3"/>
  <c r="S921" i="3"/>
  <c r="U920" i="3"/>
  <c r="T920" i="3"/>
  <c r="S920" i="3"/>
  <c r="U919" i="3"/>
  <c r="T919" i="3"/>
  <c r="S919" i="3"/>
  <c r="U918" i="3"/>
  <c r="T918" i="3"/>
  <c r="S918" i="3"/>
  <c r="U917" i="3"/>
  <c r="T917" i="3"/>
  <c r="S917" i="3"/>
  <c r="U916" i="3"/>
  <c r="T916" i="3"/>
  <c r="S916" i="3"/>
  <c r="U915" i="3"/>
  <c r="T915" i="3"/>
  <c r="S915" i="3"/>
  <c r="U914" i="3"/>
  <c r="T914" i="3"/>
  <c r="S914" i="3"/>
  <c r="U913" i="3"/>
  <c r="T913" i="3"/>
  <c r="S913" i="3"/>
  <c r="U912" i="3"/>
  <c r="T912" i="3"/>
  <c r="S912" i="3"/>
  <c r="U911" i="3"/>
  <c r="T911" i="3"/>
  <c r="S911" i="3"/>
  <c r="U910" i="3"/>
  <c r="T910" i="3"/>
  <c r="S910" i="3"/>
  <c r="U909" i="3"/>
  <c r="T909" i="3"/>
  <c r="S909" i="3"/>
  <c r="U908" i="3"/>
  <c r="T908" i="3"/>
  <c r="S908" i="3"/>
  <c r="U907" i="3"/>
  <c r="T907" i="3"/>
  <c r="S907" i="3"/>
  <c r="U906" i="3"/>
  <c r="T906" i="3"/>
  <c r="S906" i="3"/>
  <c r="U905" i="3"/>
  <c r="T905" i="3"/>
  <c r="S905" i="3"/>
  <c r="U904" i="3"/>
  <c r="T904" i="3"/>
  <c r="S904" i="3"/>
  <c r="U903" i="3"/>
  <c r="T903" i="3"/>
  <c r="S903" i="3"/>
  <c r="U902" i="3"/>
  <c r="T902" i="3"/>
  <c r="S902" i="3"/>
  <c r="U901" i="3"/>
  <c r="T901" i="3"/>
  <c r="S901" i="3"/>
  <c r="U900" i="3"/>
  <c r="T900" i="3"/>
  <c r="S900" i="3"/>
  <c r="U899" i="3"/>
  <c r="T899" i="3"/>
  <c r="S899" i="3"/>
  <c r="U898" i="3"/>
  <c r="T898" i="3"/>
  <c r="S898" i="3"/>
  <c r="U897" i="3"/>
  <c r="T897" i="3"/>
  <c r="S897" i="3"/>
  <c r="U896" i="3"/>
  <c r="T896" i="3"/>
  <c r="S896" i="3"/>
  <c r="U895" i="3"/>
  <c r="T895" i="3"/>
  <c r="S895" i="3"/>
  <c r="U894" i="3"/>
  <c r="T894" i="3"/>
  <c r="S894" i="3"/>
  <c r="U893" i="3"/>
  <c r="T893" i="3"/>
  <c r="S893" i="3"/>
  <c r="U892" i="3"/>
  <c r="T892" i="3"/>
  <c r="S892" i="3"/>
  <c r="U891" i="3"/>
  <c r="T891" i="3"/>
  <c r="S891" i="3"/>
  <c r="U890" i="3"/>
  <c r="T890" i="3"/>
  <c r="S890" i="3"/>
  <c r="U889" i="3"/>
  <c r="T889" i="3"/>
  <c r="S889" i="3"/>
  <c r="U888" i="3"/>
  <c r="T888" i="3"/>
  <c r="S888" i="3"/>
  <c r="U887" i="3"/>
  <c r="T887" i="3"/>
  <c r="S887" i="3"/>
  <c r="U886" i="3"/>
  <c r="T886" i="3"/>
  <c r="S886" i="3"/>
  <c r="U885" i="3"/>
  <c r="T885" i="3"/>
  <c r="S885" i="3"/>
  <c r="U884" i="3"/>
  <c r="T884" i="3"/>
  <c r="S884" i="3"/>
  <c r="U883" i="3"/>
  <c r="T883" i="3"/>
  <c r="S883" i="3"/>
  <c r="U882" i="3"/>
  <c r="T882" i="3"/>
  <c r="S882" i="3"/>
  <c r="U881" i="3"/>
  <c r="T881" i="3"/>
  <c r="S881" i="3"/>
  <c r="U880" i="3"/>
  <c r="T880" i="3"/>
  <c r="S880" i="3"/>
  <c r="U879" i="3"/>
  <c r="T879" i="3"/>
  <c r="S879" i="3"/>
  <c r="U878" i="3"/>
  <c r="T878" i="3"/>
  <c r="S878" i="3"/>
  <c r="U877" i="3"/>
  <c r="T877" i="3"/>
  <c r="S877" i="3"/>
  <c r="U876" i="3"/>
  <c r="T876" i="3"/>
  <c r="S876" i="3"/>
  <c r="U875" i="3"/>
  <c r="T875" i="3"/>
  <c r="S875" i="3"/>
  <c r="U874" i="3"/>
  <c r="T874" i="3"/>
  <c r="S874" i="3"/>
  <c r="U873" i="3"/>
  <c r="T873" i="3"/>
  <c r="S873" i="3"/>
  <c r="U872" i="3"/>
  <c r="T872" i="3"/>
  <c r="S872" i="3"/>
  <c r="U871" i="3"/>
  <c r="T871" i="3"/>
  <c r="S871" i="3"/>
  <c r="U870" i="3"/>
  <c r="T870" i="3"/>
  <c r="S870" i="3"/>
  <c r="U869" i="3"/>
  <c r="T869" i="3"/>
  <c r="S869" i="3"/>
  <c r="U868" i="3"/>
  <c r="T868" i="3"/>
  <c r="S868" i="3"/>
  <c r="U867" i="3"/>
  <c r="T867" i="3"/>
  <c r="S867" i="3"/>
  <c r="U866" i="3"/>
  <c r="T866" i="3"/>
  <c r="S866" i="3"/>
  <c r="U865" i="3"/>
  <c r="T865" i="3"/>
  <c r="S865" i="3"/>
  <c r="U864" i="3"/>
  <c r="T864" i="3"/>
  <c r="S864" i="3"/>
  <c r="U863" i="3"/>
  <c r="T863" i="3"/>
  <c r="S863" i="3"/>
  <c r="U862" i="3"/>
  <c r="T862" i="3"/>
  <c r="S862" i="3"/>
  <c r="U861" i="3"/>
  <c r="T861" i="3"/>
  <c r="S861" i="3"/>
  <c r="U860" i="3"/>
  <c r="T860" i="3"/>
  <c r="S860" i="3"/>
  <c r="U859" i="3"/>
  <c r="T859" i="3"/>
  <c r="S859" i="3"/>
  <c r="U858" i="3"/>
  <c r="T858" i="3"/>
  <c r="S858" i="3"/>
  <c r="U857" i="3"/>
  <c r="T857" i="3"/>
  <c r="S857" i="3"/>
  <c r="U856" i="3"/>
  <c r="T856" i="3"/>
  <c r="S856" i="3"/>
  <c r="U855" i="3"/>
  <c r="T855" i="3"/>
  <c r="S855" i="3"/>
  <c r="U854" i="3"/>
  <c r="T854" i="3"/>
  <c r="S854" i="3"/>
  <c r="U853" i="3"/>
  <c r="T853" i="3"/>
  <c r="S853" i="3"/>
  <c r="U852" i="3"/>
  <c r="T852" i="3"/>
  <c r="S852" i="3"/>
  <c r="U851" i="3"/>
  <c r="T851" i="3"/>
  <c r="S851" i="3"/>
  <c r="U850" i="3"/>
  <c r="T850" i="3"/>
  <c r="S850" i="3"/>
  <c r="U849" i="3"/>
  <c r="T849" i="3"/>
  <c r="S849" i="3"/>
  <c r="U848" i="3"/>
  <c r="T848" i="3"/>
  <c r="S848" i="3"/>
  <c r="U847" i="3"/>
  <c r="T847" i="3"/>
  <c r="S847" i="3"/>
  <c r="U846" i="3"/>
  <c r="T846" i="3"/>
  <c r="S846" i="3"/>
  <c r="U845" i="3"/>
  <c r="T845" i="3"/>
  <c r="S845" i="3"/>
  <c r="U844" i="3"/>
  <c r="T844" i="3"/>
  <c r="S844" i="3"/>
  <c r="U843" i="3"/>
  <c r="T843" i="3"/>
  <c r="S843" i="3"/>
  <c r="U842" i="3"/>
  <c r="T842" i="3"/>
  <c r="S842" i="3"/>
  <c r="U841" i="3"/>
  <c r="T841" i="3"/>
  <c r="S841" i="3"/>
  <c r="U840" i="3"/>
  <c r="T840" i="3"/>
  <c r="S840" i="3"/>
  <c r="U839" i="3"/>
  <c r="T839" i="3"/>
  <c r="S839" i="3"/>
  <c r="U838" i="3"/>
  <c r="T838" i="3"/>
  <c r="S838" i="3"/>
  <c r="U837" i="3"/>
  <c r="T837" i="3"/>
  <c r="S837" i="3"/>
  <c r="U836" i="3"/>
  <c r="T836" i="3"/>
  <c r="S836" i="3"/>
  <c r="U835" i="3"/>
  <c r="T835" i="3"/>
  <c r="S835" i="3"/>
  <c r="U834" i="3"/>
  <c r="T834" i="3"/>
  <c r="S834" i="3"/>
  <c r="U833" i="3"/>
  <c r="T833" i="3"/>
  <c r="S833" i="3"/>
  <c r="U832" i="3"/>
  <c r="T832" i="3"/>
  <c r="S832" i="3"/>
  <c r="U831" i="3"/>
  <c r="T831" i="3"/>
  <c r="S831" i="3"/>
  <c r="U830" i="3"/>
  <c r="T830" i="3"/>
  <c r="S830" i="3"/>
  <c r="U829" i="3"/>
  <c r="T829" i="3"/>
  <c r="S829" i="3"/>
  <c r="U828" i="3"/>
  <c r="T828" i="3"/>
  <c r="S828" i="3"/>
  <c r="U827" i="3"/>
  <c r="T827" i="3"/>
  <c r="S827" i="3"/>
  <c r="U826" i="3"/>
  <c r="T826" i="3"/>
  <c r="S826" i="3"/>
  <c r="U825" i="3"/>
  <c r="T825" i="3"/>
  <c r="S825" i="3"/>
  <c r="U824" i="3"/>
  <c r="T824" i="3"/>
  <c r="S824" i="3"/>
  <c r="U823" i="3"/>
  <c r="T823" i="3"/>
  <c r="S823" i="3"/>
  <c r="U822" i="3"/>
  <c r="T822" i="3"/>
  <c r="S822" i="3"/>
  <c r="U821" i="3"/>
  <c r="T821" i="3"/>
  <c r="S821" i="3"/>
  <c r="U820" i="3"/>
  <c r="T820" i="3"/>
  <c r="S820" i="3"/>
  <c r="U819" i="3"/>
  <c r="T819" i="3"/>
  <c r="S819" i="3"/>
  <c r="U818" i="3"/>
  <c r="T818" i="3"/>
  <c r="S818" i="3"/>
  <c r="U817" i="3"/>
  <c r="T817" i="3"/>
  <c r="S817" i="3"/>
  <c r="U816" i="3"/>
  <c r="T816" i="3"/>
  <c r="S816" i="3"/>
  <c r="U815" i="3"/>
  <c r="T815" i="3"/>
  <c r="S815" i="3"/>
  <c r="U814" i="3"/>
  <c r="T814" i="3"/>
  <c r="S814" i="3"/>
  <c r="U813" i="3"/>
  <c r="T813" i="3"/>
  <c r="S813" i="3"/>
  <c r="U812" i="3"/>
  <c r="T812" i="3"/>
  <c r="S812" i="3"/>
  <c r="U811" i="3"/>
  <c r="T811" i="3"/>
  <c r="S811" i="3"/>
  <c r="U810" i="3"/>
  <c r="T810" i="3"/>
  <c r="S810" i="3"/>
  <c r="U809" i="3"/>
  <c r="T809" i="3"/>
  <c r="S809" i="3"/>
  <c r="U808" i="3"/>
  <c r="T808" i="3"/>
  <c r="S808" i="3"/>
  <c r="U807" i="3"/>
  <c r="T807" i="3"/>
  <c r="S807" i="3"/>
  <c r="U806" i="3"/>
  <c r="T806" i="3"/>
  <c r="S806" i="3"/>
  <c r="U805" i="3"/>
  <c r="T805" i="3"/>
  <c r="S805" i="3"/>
  <c r="U804" i="3"/>
  <c r="T804" i="3"/>
  <c r="S804" i="3"/>
  <c r="U803" i="3"/>
  <c r="T803" i="3"/>
  <c r="S803" i="3"/>
  <c r="U802" i="3"/>
  <c r="T802" i="3"/>
  <c r="S802" i="3"/>
  <c r="U801" i="3"/>
  <c r="T801" i="3"/>
  <c r="S801" i="3"/>
  <c r="U800" i="3"/>
  <c r="T800" i="3"/>
  <c r="S800" i="3"/>
  <c r="U799" i="3"/>
  <c r="T799" i="3"/>
  <c r="S799" i="3"/>
  <c r="U798" i="3"/>
  <c r="T798" i="3"/>
  <c r="S798" i="3"/>
  <c r="U797" i="3"/>
  <c r="T797" i="3"/>
  <c r="S797" i="3"/>
  <c r="U796" i="3"/>
  <c r="T796" i="3"/>
  <c r="S796" i="3"/>
  <c r="U795" i="3"/>
  <c r="T795" i="3"/>
  <c r="S795" i="3"/>
  <c r="U794" i="3"/>
  <c r="T794" i="3"/>
  <c r="S794" i="3"/>
  <c r="U793" i="3"/>
  <c r="T793" i="3"/>
  <c r="S793" i="3"/>
  <c r="U792" i="3"/>
  <c r="T792" i="3"/>
  <c r="S792" i="3"/>
  <c r="U791" i="3"/>
  <c r="T791" i="3"/>
  <c r="S791" i="3"/>
  <c r="U790" i="3"/>
  <c r="T790" i="3"/>
  <c r="S790" i="3"/>
  <c r="U789" i="3"/>
  <c r="T789" i="3"/>
  <c r="S789" i="3"/>
  <c r="U788" i="3"/>
  <c r="T788" i="3"/>
  <c r="S788" i="3"/>
  <c r="U787" i="3"/>
  <c r="T787" i="3"/>
  <c r="S787" i="3"/>
  <c r="U786" i="3"/>
  <c r="T786" i="3"/>
  <c r="S786" i="3"/>
  <c r="U785" i="3"/>
  <c r="T785" i="3"/>
  <c r="S785" i="3"/>
  <c r="U784" i="3"/>
  <c r="T784" i="3"/>
  <c r="S784" i="3"/>
  <c r="U783" i="3"/>
  <c r="T783" i="3"/>
  <c r="S783" i="3"/>
  <c r="U782" i="3"/>
  <c r="T782" i="3"/>
  <c r="S782" i="3"/>
  <c r="U781" i="3"/>
  <c r="T781" i="3"/>
  <c r="S781" i="3"/>
  <c r="U780" i="3"/>
  <c r="T780" i="3"/>
  <c r="S780" i="3"/>
  <c r="U779" i="3"/>
  <c r="T779" i="3"/>
  <c r="S779" i="3"/>
  <c r="U778" i="3"/>
  <c r="T778" i="3"/>
  <c r="S778" i="3"/>
  <c r="U777" i="3"/>
  <c r="T777" i="3"/>
  <c r="S777" i="3"/>
  <c r="U776" i="3"/>
  <c r="T776" i="3"/>
  <c r="S776" i="3"/>
  <c r="U775" i="3"/>
  <c r="T775" i="3"/>
  <c r="S775" i="3"/>
  <c r="U774" i="3"/>
  <c r="T774" i="3"/>
  <c r="S774" i="3"/>
  <c r="U773" i="3"/>
  <c r="T773" i="3"/>
  <c r="S773" i="3"/>
  <c r="U772" i="3"/>
  <c r="T772" i="3"/>
  <c r="S772" i="3"/>
  <c r="U771" i="3"/>
  <c r="T771" i="3"/>
  <c r="S771" i="3"/>
  <c r="U770" i="3"/>
  <c r="T770" i="3"/>
  <c r="S770" i="3"/>
  <c r="U769" i="3"/>
  <c r="T769" i="3"/>
  <c r="S769" i="3"/>
  <c r="U768" i="3"/>
  <c r="T768" i="3"/>
  <c r="S768" i="3"/>
  <c r="U767" i="3"/>
  <c r="T767" i="3"/>
  <c r="S767" i="3"/>
  <c r="U766" i="3"/>
  <c r="T766" i="3"/>
  <c r="S766" i="3"/>
  <c r="U765" i="3"/>
  <c r="T765" i="3"/>
  <c r="S765" i="3"/>
  <c r="U764" i="3"/>
  <c r="T764" i="3"/>
  <c r="S764" i="3"/>
  <c r="U763" i="3"/>
  <c r="T763" i="3"/>
  <c r="S763" i="3"/>
  <c r="U762" i="3"/>
  <c r="T762" i="3"/>
  <c r="S762" i="3"/>
  <c r="U761" i="3"/>
  <c r="T761" i="3"/>
  <c r="S761" i="3"/>
  <c r="U760" i="3"/>
  <c r="T760" i="3"/>
  <c r="S760" i="3"/>
  <c r="U759" i="3"/>
  <c r="T759" i="3"/>
  <c r="S759" i="3"/>
  <c r="U758" i="3"/>
  <c r="T758" i="3"/>
  <c r="S758" i="3"/>
  <c r="U757" i="3"/>
  <c r="T757" i="3"/>
  <c r="S757" i="3"/>
  <c r="U756" i="3"/>
  <c r="T756" i="3"/>
  <c r="S756" i="3"/>
  <c r="U755" i="3"/>
  <c r="T755" i="3"/>
  <c r="S755" i="3"/>
  <c r="U754" i="3"/>
  <c r="T754" i="3"/>
  <c r="S754" i="3"/>
  <c r="U753" i="3"/>
  <c r="T753" i="3"/>
  <c r="S753" i="3"/>
  <c r="U752" i="3"/>
  <c r="T752" i="3"/>
  <c r="S752" i="3"/>
  <c r="U751" i="3"/>
  <c r="T751" i="3"/>
  <c r="S751" i="3"/>
  <c r="U750" i="3"/>
  <c r="T750" i="3"/>
  <c r="S750" i="3"/>
  <c r="U749" i="3"/>
  <c r="T749" i="3"/>
  <c r="S749" i="3"/>
  <c r="U748" i="3"/>
  <c r="T748" i="3"/>
  <c r="S748" i="3"/>
  <c r="U747" i="3"/>
  <c r="T747" i="3"/>
  <c r="S747" i="3"/>
  <c r="U746" i="3"/>
  <c r="T746" i="3"/>
  <c r="S746" i="3"/>
  <c r="U745" i="3"/>
  <c r="T745" i="3"/>
  <c r="S745" i="3"/>
  <c r="U744" i="3"/>
  <c r="T744" i="3"/>
  <c r="S744" i="3"/>
  <c r="U743" i="3"/>
  <c r="T743" i="3"/>
  <c r="S743" i="3"/>
  <c r="U742" i="3"/>
  <c r="T742" i="3"/>
  <c r="S742" i="3"/>
  <c r="U741" i="3"/>
  <c r="T741" i="3"/>
  <c r="S741" i="3"/>
  <c r="U740" i="3"/>
  <c r="T740" i="3"/>
  <c r="S740" i="3"/>
  <c r="U739" i="3"/>
  <c r="T739" i="3"/>
  <c r="S739" i="3"/>
  <c r="U738" i="3"/>
  <c r="T738" i="3"/>
  <c r="S738" i="3"/>
  <c r="U737" i="3"/>
  <c r="T737" i="3"/>
  <c r="S737" i="3"/>
  <c r="U736" i="3"/>
  <c r="T736" i="3"/>
  <c r="S736" i="3"/>
  <c r="U735" i="3"/>
  <c r="T735" i="3"/>
  <c r="S735" i="3"/>
  <c r="U734" i="3"/>
  <c r="T734" i="3"/>
  <c r="S734" i="3"/>
  <c r="U733" i="3"/>
  <c r="T733" i="3"/>
  <c r="S733" i="3"/>
  <c r="U732" i="3"/>
  <c r="T732" i="3"/>
  <c r="S732" i="3"/>
  <c r="U731" i="3"/>
  <c r="T731" i="3"/>
  <c r="S731" i="3"/>
  <c r="U730" i="3"/>
  <c r="T730" i="3"/>
  <c r="S730" i="3"/>
  <c r="U729" i="3"/>
  <c r="T729" i="3"/>
  <c r="S729" i="3"/>
  <c r="U728" i="3"/>
  <c r="T728" i="3"/>
  <c r="S728" i="3"/>
  <c r="U727" i="3"/>
  <c r="T727" i="3"/>
  <c r="S727" i="3"/>
  <c r="U726" i="3"/>
  <c r="T726" i="3"/>
  <c r="S726" i="3"/>
  <c r="U725" i="3"/>
  <c r="T725" i="3"/>
  <c r="S725" i="3"/>
  <c r="U724" i="3"/>
  <c r="T724" i="3"/>
  <c r="S724" i="3"/>
  <c r="U723" i="3"/>
  <c r="T723" i="3"/>
  <c r="S723" i="3"/>
  <c r="U722" i="3"/>
  <c r="T722" i="3"/>
  <c r="S722" i="3"/>
  <c r="U721" i="3"/>
  <c r="T721" i="3"/>
  <c r="S721" i="3"/>
  <c r="U720" i="3"/>
  <c r="T720" i="3"/>
  <c r="S720" i="3"/>
  <c r="U719" i="3"/>
  <c r="T719" i="3"/>
  <c r="S719" i="3"/>
  <c r="U718" i="3"/>
  <c r="T718" i="3"/>
  <c r="S718" i="3"/>
  <c r="U717" i="3"/>
  <c r="T717" i="3"/>
  <c r="S717" i="3"/>
  <c r="U716" i="3"/>
  <c r="T716" i="3"/>
  <c r="S716" i="3"/>
  <c r="U715" i="3"/>
  <c r="T715" i="3"/>
  <c r="S715" i="3"/>
  <c r="U714" i="3"/>
  <c r="T714" i="3"/>
  <c r="S714" i="3"/>
  <c r="U713" i="3"/>
  <c r="T713" i="3"/>
  <c r="S713" i="3"/>
  <c r="U712" i="3"/>
  <c r="T712" i="3"/>
  <c r="S712" i="3"/>
  <c r="U711" i="3"/>
  <c r="T711" i="3"/>
  <c r="S711" i="3"/>
  <c r="U710" i="3"/>
  <c r="T710" i="3"/>
  <c r="S710" i="3"/>
  <c r="U709" i="3"/>
  <c r="T709" i="3"/>
  <c r="S709" i="3"/>
  <c r="U708" i="3"/>
  <c r="T708" i="3"/>
  <c r="S708" i="3"/>
  <c r="U707" i="3"/>
  <c r="T707" i="3"/>
  <c r="S707" i="3"/>
  <c r="U706" i="3"/>
  <c r="T706" i="3"/>
  <c r="S706" i="3"/>
  <c r="U705" i="3"/>
  <c r="T705" i="3"/>
  <c r="S705" i="3"/>
  <c r="U704" i="3"/>
  <c r="T704" i="3"/>
  <c r="S704" i="3"/>
  <c r="U703" i="3"/>
  <c r="T703" i="3"/>
  <c r="S703" i="3"/>
  <c r="U702" i="3"/>
  <c r="T702" i="3"/>
  <c r="S702" i="3"/>
  <c r="U701" i="3"/>
  <c r="T701" i="3"/>
  <c r="S701" i="3"/>
  <c r="U700" i="3"/>
  <c r="T700" i="3"/>
  <c r="S700" i="3"/>
  <c r="U699" i="3"/>
  <c r="T699" i="3"/>
  <c r="S699" i="3"/>
  <c r="U698" i="3"/>
  <c r="T698" i="3"/>
  <c r="S698" i="3"/>
  <c r="U697" i="3"/>
  <c r="T697" i="3"/>
  <c r="S697" i="3"/>
  <c r="U696" i="3"/>
  <c r="T696" i="3"/>
  <c r="S696" i="3"/>
  <c r="U695" i="3"/>
  <c r="T695" i="3"/>
  <c r="S695" i="3"/>
  <c r="U694" i="3"/>
  <c r="T694" i="3"/>
  <c r="S694" i="3"/>
  <c r="U693" i="3"/>
  <c r="T693" i="3"/>
  <c r="S693" i="3"/>
  <c r="U692" i="3"/>
  <c r="T692" i="3"/>
  <c r="S692" i="3"/>
  <c r="U691" i="3"/>
  <c r="T691" i="3"/>
  <c r="S691" i="3"/>
  <c r="U690" i="3"/>
  <c r="T690" i="3"/>
  <c r="S690" i="3"/>
  <c r="U689" i="3"/>
  <c r="T689" i="3"/>
  <c r="S689" i="3"/>
  <c r="U688" i="3"/>
  <c r="T688" i="3"/>
  <c r="S688" i="3"/>
  <c r="U687" i="3"/>
  <c r="T687" i="3"/>
  <c r="S687" i="3"/>
  <c r="U686" i="3"/>
  <c r="T686" i="3"/>
  <c r="S686" i="3"/>
  <c r="U685" i="3"/>
  <c r="T685" i="3"/>
  <c r="S685" i="3"/>
  <c r="U684" i="3"/>
  <c r="T684" i="3"/>
  <c r="S684" i="3"/>
  <c r="U683" i="3"/>
  <c r="T683" i="3"/>
  <c r="S683" i="3"/>
  <c r="U682" i="3"/>
  <c r="T682" i="3"/>
  <c r="S682" i="3"/>
  <c r="U681" i="3"/>
  <c r="T681" i="3"/>
  <c r="S681" i="3"/>
  <c r="U680" i="3"/>
  <c r="T680" i="3"/>
  <c r="S680" i="3"/>
  <c r="U679" i="3"/>
  <c r="T679" i="3"/>
  <c r="S679" i="3"/>
  <c r="U678" i="3"/>
  <c r="T678" i="3"/>
  <c r="S678" i="3"/>
  <c r="U677" i="3"/>
  <c r="T677" i="3"/>
  <c r="S677" i="3"/>
  <c r="U676" i="3"/>
  <c r="T676" i="3"/>
  <c r="S676" i="3"/>
  <c r="U675" i="3"/>
  <c r="T675" i="3"/>
  <c r="S675" i="3"/>
  <c r="U674" i="3"/>
  <c r="T674" i="3"/>
  <c r="S674" i="3"/>
  <c r="U673" i="3"/>
  <c r="T673" i="3"/>
  <c r="S673" i="3"/>
  <c r="U672" i="3"/>
  <c r="T672" i="3"/>
  <c r="S672" i="3"/>
  <c r="U671" i="3"/>
  <c r="T671" i="3"/>
  <c r="S671" i="3"/>
  <c r="U670" i="3"/>
  <c r="T670" i="3"/>
  <c r="S670" i="3"/>
  <c r="U669" i="3"/>
  <c r="T669" i="3"/>
  <c r="S669" i="3"/>
  <c r="U668" i="3"/>
  <c r="T668" i="3"/>
  <c r="S668" i="3"/>
  <c r="U667" i="3"/>
  <c r="T667" i="3"/>
  <c r="S667" i="3"/>
  <c r="U666" i="3"/>
  <c r="T666" i="3"/>
  <c r="S666" i="3"/>
  <c r="U665" i="3"/>
  <c r="T665" i="3"/>
  <c r="S665" i="3"/>
  <c r="U664" i="3"/>
  <c r="T664" i="3"/>
  <c r="S664" i="3"/>
  <c r="U663" i="3"/>
  <c r="T663" i="3"/>
  <c r="S663" i="3"/>
  <c r="U662" i="3"/>
  <c r="T662" i="3"/>
  <c r="S662" i="3"/>
  <c r="U661" i="3"/>
  <c r="T661" i="3"/>
  <c r="S661" i="3"/>
  <c r="U660" i="3"/>
  <c r="T660" i="3"/>
  <c r="S660" i="3"/>
  <c r="U659" i="3"/>
  <c r="T659" i="3"/>
  <c r="S659" i="3"/>
  <c r="U658" i="3"/>
  <c r="T658" i="3"/>
  <c r="S658" i="3"/>
  <c r="U657" i="3"/>
  <c r="T657" i="3"/>
  <c r="S657" i="3"/>
  <c r="U656" i="3"/>
  <c r="T656" i="3"/>
  <c r="S656" i="3"/>
  <c r="U655" i="3"/>
  <c r="T655" i="3"/>
  <c r="S655" i="3"/>
  <c r="U654" i="3"/>
  <c r="T654" i="3"/>
  <c r="S654" i="3"/>
  <c r="U653" i="3"/>
  <c r="T653" i="3"/>
  <c r="S653" i="3"/>
  <c r="U652" i="3"/>
  <c r="T652" i="3"/>
  <c r="S652" i="3"/>
  <c r="U651" i="3"/>
  <c r="T651" i="3"/>
  <c r="S651" i="3"/>
  <c r="U650" i="3"/>
  <c r="T650" i="3"/>
  <c r="S650" i="3"/>
  <c r="U649" i="3"/>
  <c r="T649" i="3"/>
  <c r="S649" i="3"/>
  <c r="U648" i="3"/>
  <c r="T648" i="3"/>
  <c r="S648" i="3"/>
  <c r="U647" i="3"/>
  <c r="T647" i="3"/>
  <c r="S647" i="3"/>
  <c r="U646" i="3"/>
  <c r="T646" i="3"/>
  <c r="S646" i="3"/>
  <c r="U645" i="3"/>
  <c r="T645" i="3"/>
  <c r="S645" i="3"/>
  <c r="U644" i="3"/>
  <c r="T644" i="3"/>
  <c r="S644" i="3"/>
  <c r="U643" i="3"/>
  <c r="T643" i="3"/>
  <c r="S643" i="3"/>
  <c r="U642" i="3"/>
  <c r="T642" i="3"/>
  <c r="S642" i="3"/>
  <c r="U641" i="3"/>
  <c r="T641" i="3"/>
  <c r="S641" i="3"/>
  <c r="U640" i="3"/>
  <c r="T640" i="3"/>
  <c r="S640" i="3"/>
  <c r="U639" i="3"/>
  <c r="T639" i="3"/>
  <c r="S639" i="3"/>
  <c r="U638" i="3"/>
  <c r="T638" i="3"/>
  <c r="S638" i="3"/>
  <c r="U637" i="3"/>
  <c r="T637" i="3"/>
  <c r="S637" i="3"/>
  <c r="U636" i="3"/>
  <c r="T636" i="3"/>
  <c r="S636" i="3"/>
  <c r="U635" i="3"/>
  <c r="T635" i="3"/>
  <c r="S635" i="3"/>
  <c r="U634" i="3"/>
  <c r="T634" i="3"/>
  <c r="S634" i="3"/>
  <c r="U633" i="3"/>
  <c r="T633" i="3"/>
  <c r="S633" i="3"/>
  <c r="U632" i="3"/>
  <c r="T632" i="3"/>
  <c r="S632" i="3"/>
  <c r="U631" i="3"/>
  <c r="T631" i="3"/>
  <c r="S631" i="3"/>
  <c r="U630" i="3"/>
  <c r="T630" i="3"/>
  <c r="S630" i="3"/>
  <c r="U629" i="3"/>
  <c r="T629" i="3"/>
  <c r="S629" i="3"/>
  <c r="U628" i="3"/>
  <c r="T628" i="3"/>
  <c r="S628" i="3"/>
  <c r="U627" i="3"/>
  <c r="T627" i="3"/>
  <c r="S627" i="3"/>
  <c r="U626" i="3"/>
  <c r="T626" i="3"/>
  <c r="S626" i="3"/>
  <c r="U625" i="3"/>
  <c r="T625" i="3"/>
  <c r="S625" i="3"/>
  <c r="U624" i="3"/>
  <c r="T624" i="3"/>
  <c r="S624" i="3"/>
  <c r="U623" i="3"/>
  <c r="T623" i="3"/>
  <c r="S623" i="3"/>
  <c r="U622" i="3"/>
  <c r="T622" i="3"/>
  <c r="S622" i="3"/>
  <c r="U621" i="3"/>
  <c r="T621" i="3"/>
  <c r="S621" i="3"/>
  <c r="U620" i="3"/>
  <c r="T620" i="3"/>
  <c r="S620" i="3"/>
  <c r="U619" i="3"/>
  <c r="T619" i="3"/>
  <c r="S619" i="3"/>
  <c r="U618" i="3"/>
  <c r="T618" i="3"/>
  <c r="S618" i="3"/>
  <c r="U617" i="3"/>
  <c r="T617" i="3"/>
  <c r="S617" i="3"/>
  <c r="U616" i="3"/>
  <c r="T616" i="3"/>
  <c r="S616" i="3"/>
  <c r="U615" i="3"/>
  <c r="T615" i="3"/>
  <c r="S615" i="3"/>
  <c r="U614" i="3"/>
  <c r="T614" i="3"/>
  <c r="S614" i="3"/>
  <c r="U613" i="3"/>
  <c r="T613" i="3"/>
  <c r="S613" i="3"/>
  <c r="U612" i="3"/>
  <c r="T612" i="3"/>
  <c r="S612" i="3"/>
  <c r="U611" i="3"/>
  <c r="T611" i="3"/>
  <c r="S611" i="3"/>
  <c r="U610" i="3"/>
  <c r="T610" i="3"/>
  <c r="S610" i="3"/>
  <c r="U609" i="3"/>
  <c r="T609" i="3"/>
  <c r="S609" i="3"/>
  <c r="U608" i="3"/>
  <c r="T608" i="3"/>
  <c r="S608" i="3"/>
  <c r="U607" i="3"/>
  <c r="T607" i="3"/>
  <c r="S607" i="3"/>
  <c r="U606" i="3"/>
  <c r="T606" i="3"/>
  <c r="S606" i="3"/>
  <c r="U605" i="3"/>
  <c r="T605" i="3"/>
  <c r="S605" i="3"/>
  <c r="U604" i="3"/>
  <c r="T604" i="3"/>
  <c r="S604" i="3"/>
  <c r="U603" i="3"/>
  <c r="T603" i="3"/>
  <c r="S603" i="3"/>
  <c r="U602" i="3"/>
  <c r="T602" i="3"/>
  <c r="S602" i="3"/>
  <c r="U601" i="3"/>
  <c r="T601" i="3"/>
  <c r="S601" i="3"/>
  <c r="U600" i="3"/>
  <c r="T600" i="3"/>
  <c r="S600" i="3"/>
  <c r="U599" i="3"/>
  <c r="T599" i="3"/>
  <c r="S599" i="3"/>
  <c r="U598" i="3"/>
  <c r="T598" i="3"/>
  <c r="S598" i="3"/>
  <c r="U597" i="3"/>
  <c r="T597" i="3"/>
  <c r="S597" i="3"/>
  <c r="U596" i="3"/>
  <c r="T596" i="3"/>
  <c r="S596" i="3"/>
  <c r="U595" i="3"/>
  <c r="T595" i="3"/>
  <c r="S595" i="3"/>
  <c r="U594" i="3"/>
  <c r="T594" i="3"/>
  <c r="S594" i="3"/>
  <c r="U593" i="3"/>
  <c r="T593" i="3"/>
  <c r="S593" i="3"/>
  <c r="U592" i="3"/>
  <c r="T592" i="3"/>
  <c r="S592" i="3"/>
  <c r="U591" i="3"/>
  <c r="T591" i="3"/>
  <c r="S591" i="3"/>
  <c r="U590" i="3"/>
  <c r="T590" i="3"/>
  <c r="S590" i="3"/>
  <c r="U589" i="3"/>
  <c r="T589" i="3"/>
  <c r="S589" i="3"/>
  <c r="U588" i="3"/>
  <c r="T588" i="3"/>
  <c r="S588" i="3"/>
  <c r="U587" i="3"/>
  <c r="T587" i="3"/>
  <c r="S587" i="3"/>
  <c r="U586" i="3"/>
  <c r="T586" i="3"/>
  <c r="S586" i="3"/>
  <c r="U585" i="3"/>
  <c r="T585" i="3"/>
  <c r="S585" i="3"/>
  <c r="U584" i="3"/>
  <c r="T584" i="3"/>
  <c r="S584" i="3"/>
  <c r="U583" i="3"/>
  <c r="T583" i="3"/>
  <c r="S583" i="3"/>
  <c r="U582" i="3"/>
  <c r="T582" i="3"/>
  <c r="S582" i="3"/>
  <c r="U581" i="3"/>
  <c r="T581" i="3"/>
  <c r="S581" i="3"/>
  <c r="U580" i="3"/>
  <c r="T580" i="3"/>
  <c r="S580" i="3"/>
  <c r="U579" i="3"/>
  <c r="T579" i="3"/>
  <c r="S579" i="3"/>
  <c r="U578" i="3"/>
  <c r="T578" i="3"/>
  <c r="S578" i="3"/>
  <c r="U577" i="3"/>
  <c r="T577" i="3"/>
  <c r="S577" i="3"/>
  <c r="U576" i="3"/>
  <c r="T576" i="3"/>
  <c r="S576" i="3"/>
  <c r="U575" i="3"/>
  <c r="T575" i="3"/>
  <c r="S575" i="3"/>
  <c r="U574" i="3"/>
  <c r="T574" i="3"/>
  <c r="S574" i="3"/>
  <c r="U573" i="3"/>
  <c r="T573" i="3"/>
  <c r="S573" i="3"/>
  <c r="U572" i="3"/>
  <c r="T572" i="3"/>
  <c r="S572" i="3"/>
  <c r="U571" i="3"/>
  <c r="T571" i="3"/>
  <c r="S571" i="3"/>
  <c r="U570" i="3"/>
  <c r="T570" i="3"/>
  <c r="S570" i="3"/>
  <c r="U569" i="3"/>
  <c r="T569" i="3"/>
  <c r="S569" i="3"/>
  <c r="U568" i="3"/>
  <c r="T568" i="3"/>
  <c r="S568" i="3"/>
  <c r="U567" i="3"/>
  <c r="T567" i="3"/>
  <c r="S567" i="3"/>
  <c r="U566" i="3"/>
  <c r="T566" i="3"/>
  <c r="S566" i="3"/>
  <c r="U565" i="3"/>
  <c r="T565" i="3"/>
  <c r="S565" i="3"/>
  <c r="U564" i="3"/>
  <c r="T564" i="3"/>
  <c r="S564" i="3"/>
  <c r="U563" i="3"/>
  <c r="T563" i="3"/>
  <c r="S563" i="3"/>
  <c r="U562" i="3"/>
  <c r="T562" i="3"/>
  <c r="S562" i="3"/>
  <c r="U561" i="3"/>
  <c r="T561" i="3"/>
  <c r="S561" i="3"/>
  <c r="U560" i="3"/>
  <c r="T560" i="3"/>
  <c r="S560" i="3"/>
  <c r="U559" i="3"/>
  <c r="T559" i="3"/>
  <c r="S559" i="3"/>
  <c r="U558" i="3"/>
  <c r="T558" i="3"/>
  <c r="S558" i="3"/>
  <c r="U557" i="3"/>
  <c r="T557" i="3"/>
  <c r="S557" i="3"/>
  <c r="U556" i="3"/>
  <c r="T556" i="3"/>
  <c r="S556" i="3"/>
  <c r="U555" i="3"/>
  <c r="T555" i="3"/>
  <c r="S555" i="3"/>
  <c r="U554" i="3"/>
  <c r="T554" i="3"/>
  <c r="S554" i="3"/>
  <c r="U553" i="3"/>
  <c r="T553" i="3"/>
  <c r="S553" i="3"/>
  <c r="U552" i="3"/>
  <c r="T552" i="3"/>
  <c r="S552" i="3"/>
  <c r="U551" i="3"/>
  <c r="T551" i="3"/>
  <c r="S551" i="3"/>
  <c r="U550" i="3"/>
  <c r="T550" i="3"/>
  <c r="S550" i="3"/>
  <c r="U549" i="3"/>
  <c r="T549" i="3"/>
  <c r="S549" i="3"/>
  <c r="U548" i="3"/>
  <c r="T548" i="3"/>
  <c r="S548" i="3"/>
  <c r="U547" i="3"/>
  <c r="T547" i="3"/>
  <c r="S547" i="3"/>
  <c r="U546" i="3"/>
  <c r="T546" i="3"/>
  <c r="S546" i="3"/>
  <c r="U545" i="3"/>
  <c r="T545" i="3"/>
  <c r="S545" i="3"/>
  <c r="U544" i="3"/>
  <c r="T544" i="3"/>
  <c r="S544" i="3"/>
  <c r="U543" i="3"/>
  <c r="T543" i="3"/>
  <c r="S543" i="3"/>
  <c r="U542" i="3"/>
  <c r="T542" i="3"/>
  <c r="S542" i="3"/>
  <c r="U541" i="3"/>
  <c r="T541" i="3"/>
  <c r="S541" i="3"/>
  <c r="U540" i="3"/>
  <c r="T540" i="3"/>
  <c r="S540" i="3"/>
  <c r="U539" i="3"/>
  <c r="T539" i="3"/>
  <c r="S539" i="3"/>
  <c r="U538" i="3"/>
  <c r="T538" i="3"/>
  <c r="S538" i="3"/>
  <c r="U537" i="3"/>
  <c r="T537" i="3"/>
  <c r="S537" i="3"/>
  <c r="U536" i="3"/>
  <c r="T536" i="3"/>
  <c r="S536" i="3"/>
  <c r="U535" i="3"/>
  <c r="T535" i="3"/>
  <c r="S535" i="3"/>
  <c r="U534" i="3"/>
  <c r="T534" i="3"/>
  <c r="S534" i="3"/>
  <c r="U533" i="3"/>
  <c r="T533" i="3"/>
  <c r="S533" i="3"/>
  <c r="U532" i="3"/>
  <c r="T532" i="3"/>
  <c r="S532" i="3"/>
  <c r="U531" i="3"/>
  <c r="T531" i="3"/>
  <c r="S531" i="3"/>
  <c r="U530" i="3"/>
  <c r="T530" i="3"/>
  <c r="S530" i="3"/>
  <c r="U529" i="3"/>
  <c r="T529" i="3"/>
  <c r="S529" i="3"/>
  <c r="U528" i="3"/>
  <c r="T528" i="3"/>
  <c r="S528" i="3"/>
  <c r="U527" i="3"/>
  <c r="T527" i="3"/>
  <c r="S527" i="3"/>
  <c r="U526" i="3"/>
  <c r="T526" i="3"/>
  <c r="S526" i="3"/>
  <c r="U525" i="3"/>
  <c r="T525" i="3"/>
  <c r="S525" i="3"/>
  <c r="U524" i="3"/>
  <c r="T524" i="3"/>
  <c r="S524" i="3"/>
  <c r="U523" i="3"/>
  <c r="T523" i="3"/>
  <c r="S523" i="3"/>
  <c r="U522" i="3"/>
  <c r="T522" i="3"/>
  <c r="S522" i="3"/>
  <c r="U521" i="3"/>
  <c r="T521" i="3"/>
  <c r="S521" i="3"/>
  <c r="U520" i="3"/>
  <c r="T520" i="3"/>
  <c r="S520" i="3"/>
  <c r="U519" i="3"/>
  <c r="T519" i="3"/>
  <c r="S519" i="3"/>
  <c r="U518" i="3"/>
  <c r="T518" i="3"/>
  <c r="S518" i="3"/>
  <c r="U517" i="3"/>
  <c r="T517" i="3"/>
  <c r="S517" i="3"/>
  <c r="U516" i="3"/>
  <c r="T516" i="3"/>
  <c r="S516" i="3"/>
  <c r="U515" i="3"/>
  <c r="T515" i="3"/>
  <c r="S515" i="3"/>
  <c r="U514" i="3"/>
  <c r="T514" i="3"/>
  <c r="S514" i="3"/>
  <c r="U513" i="3"/>
  <c r="T513" i="3"/>
  <c r="S513" i="3"/>
  <c r="U512" i="3"/>
  <c r="T512" i="3"/>
  <c r="S512" i="3"/>
  <c r="U511" i="3"/>
  <c r="T511" i="3"/>
  <c r="S511" i="3"/>
  <c r="U510" i="3"/>
  <c r="T510" i="3"/>
  <c r="S510" i="3"/>
  <c r="U509" i="3"/>
  <c r="T509" i="3"/>
  <c r="S509" i="3"/>
  <c r="U508" i="3"/>
  <c r="T508" i="3"/>
  <c r="S508" i="3"/>
  <c r="U507" i="3"/>
  <c r="T507" i="3"/>
  <c r="S507" i="3"/>
  <c r="U506" i="3"/>
  <c r="T506" i="3"/>
  <c r="S506" i="3"/>
  <c r="U505" i="3"/>
  <c r="T505" i="3"/>
  <c r="S505" i="3"/>
  <c r="U504" i="3"/>
  <c r="T504" i="3"/>
  <c r="S504" i="3"/>
  <c r="U503" i="3"/>
  <c r="T503" i="3"/>
  <c r="S503" i="3"/>
  <c r="U502" i="3"/>
  <c r="T502" i="3"/>
  <c r="S502" i="3"/>
  <c r="U501" i="3"/>
  <c r="T501" i="3"/>
  <c r="S501" i="3"/>
  <c r="U500" i="3"/>
  <c r="T500" i="3"/>
  <c r="S500" i="3"/>
  <c r="U499" i="3"/>
  <c r="T499" i="3"/>
  <c r="S499" i="3"/>
  <c r="U498" i="3"/>
  <c r="T498" i="3"/>
  <c r="S498" i="3"/>
  <c r="U497" i="3"/>
  <c r="T497" i="3"/>
  <c r="S497" i="3"/>
  <c r="U496" i="3"/>
  <c r="T496" i="3"/>
  <c r="S496" i="3"/>
  <c r="U495" i="3"/>
  <c r="T495" i="3"/>
  <c r="S495" i="3"/>
  <c r="U494" i="3"/>
  <c r="T494" i="3"/>
  <c r="S494" i="3"/>
  <c r="U493" i="3"/>
  <c r="T493" i="3"/>
  <c r="S493" i="3"/>
  <c r="U492" i="3"/>
  <c r="T492" i="3"/>
  <c r="S492" i="3"/>
  <c r="U491" i="3"/>
  <c r="T491" i="3"/>
  <c r="S491" i="3"/>
  <c r="U490" i="3"/>
  <c r="T490" i="3"/>
  <c r="S490" i="3"/>
  <c r="U489" i="3"/>
  <c r="T489" i="3"/>
  <c r="S489" i="3"/>
  <c r="U488" i="3"/>
  <c r="T488" i="3"/>
  <c r="S488" i="3"/>
  <c r="U487" i="3"/>
  <c r="T487" i="3"/>
  <c r="S487" i="3"/>
  <c r="U486" i="3"/>
  <c r="T486" i="3"/>
  <c r="S486" i="3"/>
  <c r="U485" i="3"/>
  <c r="T485" i="3"/>
  <c r="S485" i="3"/>
  <c r="U484" i="3"/>
  <c r="T484" i="3"/>
  <c r="S484" i="3"/>
  <c r="U483" i="3"/>
  <c r="T483" i="3"/>
  <c r="S483" i="3"/>
  <c r="U482" i="3"/>
  <c r="T482" i="3"/>
  <c r="S482" i="3"/>
  <c r="U481" i="3"/>
  <c r="T481" i="3"/>
  <c r="S481" i="3"/>
  <c r="U480" i="3"/>
  <c r="T480" i="3"/>
  <c r="S480" i="3"/>
  <c r="U479" i="3"/>
  <c r="T479" i="3"/>
  <c r="S479" i="3"/>
  <c r="U478" i="3"/>
  <c r="T478" i="3"/>
  <c r="S478" i="3"/>
  <c r="U477" i="3"/>
  <c r="T477" i="3"/>
  <c r="S477" i="3"/>
  <c r="U476" i="3"/>
  <c r="T476" i="3"/>
  <c r="S476" i="3"/>
  <c r="U475" i="3"/>
  <c r="T475" i="3"/>
  <c r="S475" i="3"/>
  <c r="U474" i="3"/>
  <c r="T474" i="3"/>
  <c r="S474" i="3"/>
  <c r="U473" i="3"/>
  <c r="T473" i="3"/>
  <c r="S473" i="3"/>
  <c r="U472" i="3"/>
  <c r="T472" i="3"/>
  <c r="S472" i="3"/>
  <c r="U471" i="3"/>
  <c r="T471" i="3"/>
  <c r="S471" i="3"/>
  <c r="U470" i="3"/>
  <c r="T470" i="3"/>
  <c r="S470" i="3"/>
  <c r="U469" i="3"/>
  <c r="T469" i="3"/>
  <c r="S469" i="3"/>
  <c r="U468" i="3"/>
  <c r="T468" i="3"/>
  <c r="S468" i="3"/>
  <c r="U467" i="3"/>
  <c r="T467" i="3"/>
  <c r="S467" i="3"/>
  <c r="U466" i="3"/>
  <c r="T466" i="3"/>
  <c r="S466" i="3"/>
  <c r="U465" i="3"/>
  <c r="T465" i="3"/>
  <c r="S465" i="3"/>
  <c r="U464" i="3"/>
  <c r="T464" i="3"/>
  <c r="S464" i="3"/>
  <c r="U463" i="3"/>
  <c r="T463" i="3"/>
  <c r="S463" i="3"/>
  <c r="U462" i="3"/>
  <c r="T462" i="3"/>
  <c r="S462" i="3"/>
  <c r="U461" i="3"/>
  <c r="T461" i="3"/>
  <c r="S461" i="3"/>
  <c r="U460" i="3"/>
  <c r="T460" i="3"/>
  <c r="S460" i="3"/>
  <c r="U459" i="3"/>
  <c r="T459" i="3"/>
  <c r="S459" i="3"/>
  <c r="U458" i="3"/>
  <c r="T458" i="3"/>
  <c r="S458" i="3"/>
  <c r="U457" i="3"/>
  <c r="T457" i="3"/>
  <c r="S457" i="3"/>
  <c r="U456" i="3"/>
  <c r="T456" i="3"/>
  <c r="S456" i="3"/>
  <c r="U455" i="3"/>
  <c r="T455" i="3"/>
  <c r="S455" i="3"/>
  <c r="U454" i="3"/>
  <c r="T454" i="3"/>
  <c r="S454" i="3"/>
  <c r="U453" i="3"/>
  <c r="T453" i="3"/>
  <c r="S453" i="3"/>
  <c r="U452" i="3"/>
  <c r="T452" i="3"/>
  <c r="S452" i="3"/>
  <c r="U451" i="3"/>
  <c r="T451" i="3"/>
  <c r="S451" i="3"/>
  <c r="U450" i="3"/>
  <c r="T450" i="3"/>
  <c r="S450" i="3"/>
  <c r="U449" i="3"/>
  <c r="T449" i="3"/>
  <c r="S449" i="3"/>
  <c r="U448" i="3"/>
  <c r="T448" i="3"/>
  <c r="S448" i="3"/>
  <c r="U447" i="3"/>
  <c r="T447" i="3"/>
  <c r="S447" i="3"/>
  <c r="U446" i="3"/>
  <c r="T446" i="3"/>
  <c r="S446" i="3"/>
  <c r="U445" i="3"/>
  <c r="T445" i="3"/>
  <c r="S445" i="3"/>
  <c r="U444" i="3"/>
  <c r="T444" i="3"/>
  <c r="S444" i="3"/>
  <c r="U443" i="3"/>
  <c r="T443" i="3"/>
  <c r="S443" i="3"/>
  <c r="U442" i="3"/>
  <c r="T442" i="3"/>
  <c r="S442" i="3"/>
  <c r="U441" i="3"/>
  <c r="T441" i="3"/>
  <c r="S441" i="3"/>
  <c r="U440" i="3"/>
  <c r="T440" i="3"/>
  <c r="S440" i="3"/>
  <c r="U439" i="3"/>
  <c r="T439" i="3"/>
  <c r="S439" i="3"/>
  <c r="U438" i="3"/>
  <c r="T438" i="3"/>
  <c r="S438" i="3"/>
  <c r="U437" i="3"/>
  <c r="T437" i="3"/>
  <c r="S437" i="3"/>
  <c r="U436" i="3"/>
  <c r="T436" i="3"/>
  <c r="S436" i="3"/>
  <c r="U435" i="3"/>
  <c r="T435" i="3"/>
  <c r="S435" i="3"/>
  <c r="U434" i="3"/>
  <c r="T434" i="3"/>
  <c r="S434" i="3"/>
  <c r="U433" i="3"/>
  <c r="T433" i="3"/>
  <c r="S433" i="3"/>
  <c r="U432" i="3"/>
  <c r="T432" i="3"/>
  <c r="S432" i="3"/>
  <c r="U431" i="3"/>
  <c r="T431" i="3"/>
  <c r="S431" i="3"/>
  <c r="U430" i="3"/>
  <c r="T430" i="3"/>
  <c r="S430" i="3"/>
  <c r="U429" i="3"/>
  <c r="T429" i="3"/>
  <c r="S429" i="3"/>
  <c r="U428" i="3"/>
  <c r="T428" i="3"/>
  <c r="S428" i="3"/>
  <c r="U427" i="3"/>
  <c r="T427" i="3"/>
  <c r="S427" i="3"/>
  <c r="U426" i="3"/>
  <c r="T426" i="3"/>
  <c r="S426" i="3"/>
  <c r="U425" i="3"/>
  <c r="T425" i="3"/>
  <c r="S425" i="3"/>
  <c r="U424" i="3"/>
  <c r="T424" i="3"/>
  <c r="S424" i="3"/>
  <c r="U423" i="3"/>
  <c r="T423" i="3"/>
  <c r="S423" i="3"/>
  <c r="U422" i="3"/>
  <c r="T422" i="3"/>
  <c r="S422" i="3"/>
  <c r="U421" i="3"/>
  <c r="T421" i="3"/>
  <c r="S421" i="3"/>
  <c r="U420" i="3"/>
  <c r="T420" i="3"/>
  <c r="S420" i="3"/>
  <c r="U419" i="3"/>
  <c r="T419" i="3"/>
  <c r="S419" i="3"/>
  <c r="U418" i="3"/>
  <c r="T418" i="3"/>
  <c r="S418" i="3"/>
  <c r="U417" i="3"/>
  <c r="T417" i="3"/>
  <c r="S417" i="3"/>
  <c r="U416" i="3"/>
  <c r="T416" i="3"/>
  <c r="S416" i="3"/>
  <c r="U415" i="3"/>
  <c r="T415" i="3"/>
  <c r="S415" i="3"/>
  <c r="U414" i="3"/>
  <c r="T414" i="3"/>
  <c r="S414" i="3"/>
  <c r="U413" i="3"/>
  <c r="T413" i="3"/>
  <c r="S413" i="3"/>
  <c r="U412" i="3"/>
  <c r="T412" i="3"/>
  <c r="S412" i="3"/>
  <c r="U411" i="3"/>
  <c r="T411" i="3"/>
  <c r="S411" i="3"/>
  <c r="U410" i="3"/>
  <c r="T410" i="3"/>
  <c r="S410" i="3"/>
  <c r="U409" i="3"/>
  <c r="T409" i="3"/>
  <c r="S409" i="3"/>
  <c r="U408" i="3"/>
  <c r="T408" i="3"/>
  <c r="S408" i="3"/>
  <c r="U407" i="3"/>
  <c r="T407" i="3"/>
  <c r="S407" i="3"/>
  <c r="U406" i="3"/>
  <c r="T406" i="3"/>
  <c r="S406" i="3"/>
  <c r="U405" i="3"/>
  <c r="T405" i="3"/>
  <c r="S405" i="3"/>
  <c r="U404" i="3"/>
  <c r="T404" i="3"/>
  <c r="S404" i="3"/>
  <c r="U403" i="3"/>
  <c r="T403" i="3"/>
  <c r="S403" i="3"/>
  <c r="U402" i="3"/>
  <c r="T402" i="3"/>
  <c r="S402" i="3"/>
  <c r="U401" i="3"/>
  <c r="T401" i="3"/>
  <c r="S401" i="3"/>
  <c r="U400" i="3"/>
  <c r="T400" i="3"/>
  <c r="S400" i="3"/>
  <c r="U399" i="3"/>
  <c r="T399" i="3"/>
  <c r="S399" i="3"/>
  <c r="U398" i="3"/>
  <c r="T398" i="3"/>
  <c r="S398" i="3"/>
  <c r="U397" i="3"/>
  <c r="T397" i="3"/>
  <c r="S397" i="3"/>
  <c r="U396" i="3"/>
  <c r="T396" i="3"/>
  <c r="S396" i="3"/>
  <c r="U395" i="3"/>
  <c r="T395" i="3"/>
  <c r="S395" i="3"/>
  <c r="U394" i="3"/>
  <c r="T394" i="3"/>
  <c r="S394" i="3"/>
  <c r="U393" i="3"/>
  <c r="T393" i="3"/>
  <c r="S393" i="3"/>
  <c r="U392" i="3"/>
  <c r="T392" i="3"/>
  <c r="S392" i="3"/>
  <c r="U391" i="3"/>
  <c r="T391" i="3"/>
  <c r="S391" i="3"/>
  <c r="U390" i="3"/>
  <c r="T390" i="3"/>
  <c r="S390" i="3"/>
  <c r="U389" i="3"/>
  <c r="T389" i="3"/>
  <c r="S389" i="3"/>
  <c r="U388" i="3"/>
  <c r="T388" i="3"/>
  <c r="S388" i="3"/>
  <c r="U387" i="3"/>
  <c r="T387" i="3"/>
  <c r="S387" i="3"/>
  <c r="U386" i="3"/>
  <c r="T386" i="3"/>
  <c r="S386" i="3"/>
  <c r="U385" i="3"/>
  <c r="T385" i="3"/>
  <c r="S385" i="3"/>
  <c r="U384" i="3"/>
  <c r="T384" i="3"/>
  <c r="S384" i="3"/>
  <c r="U383" i="3"/>
  <c r="T383" i="3"/>
  <c r="S383" i="3"/>
  <c r="U382" i="3"/>
  <c r="T382" i="3"/>
  <c r="S382" i="3"/>
  <c r="U381" i="3"/>
  <c r="T381" i="3"/>
  <c r="S381" i="3"/>
  <c r="U380" i="3"/>
  <c r="T380" i="3"/>
  <c r="S380" i="3"/>
  <c r="U379" i="3"/>
  <c r="T379" i="3"/>
  <c r="S379" i="3"/>
  <c r="U378" i="3"/>
  <c r="T378" i="3"/>
  <c r="S378" i="3"/>
  <c r="U377" i="3"/>
  <c r="T377" i="3"/>
  <c r="S377" i="3"/>
  <c r="U376" i="3"/>
  <c r="T376" i="3"/>
  <c r="S376" i="3"/>
  <c r="U375" i="3"/>
  <c r="T375" i="3"/>
  <c r="S375" i="3"/>
  <c r="U374" i="3"/>
  <c r="T374" i="3"/>
  <c r="S374" i="3"/>
  <c r="U373" i="3"/>
  <c r="T373" i="3"/>
  <c r="S373" i="3"/>
  <c r="U372" i="3"/>
  <c r="T372" i="3"/>
  <c r="S372" i="3"/>
  <c r="U371" i="3"/>
  <c r="T371" i="3"/>
  <c r="S371" i="3"/>
  <c r="U370" i="3"/>
  <c r="T370" i="3"/>
  <c r="S370" i="3"/>
  <c r="U369" i="3"/>
  <c r="T369" i="3"/>
  <c r="S369" i="3"/>
  <c r="U368" i="3"/>
  <c r="T368" i="3"/>
  <c r="S368" i="3"/>
  <c r="U367" i="3"/>
  <c r="T367" i="3"/>
  <c r="S367" i="3"/>
  <c r="U366" i="3"/>
  <c r="T366" i="3"/>
  <c r="S366" i="3"/>
  <c r="U365" i="3"/>
  <c r="T365" i="3"/>
  <c r="S365" i="3"/>
  <c r="U364" i="3"/>
  <c r="T364" i="3"/>
  <c r="S364" i="3"/>
  <c r="U363" i="3"/>
  <c r="T363" i="3"/>
  <c r="S363" i="3"/>
  <c r="U362" i="3"/>
  <c r="T362" i="3"/>
  <c r="S362" i="3"/>
  <c r="U361" i="3"/>
  <c r="T361" i="3"/>
  <c r="S361" i="3"/>
  <c r="U360" i="3"/>
  <c r="T360" i="3"/>
  <c r="S360" i="3"/>
  <c r="U359" i="3"/>
  <c r="T359" i="3"/>
  <c r="S359" i="3"/>
  <c r="U358" i="3"/>
  <c r="T358" i="3"/>
  <c r="S358" i="3"/>
  <c r="U357" i="3"/>
  <c r="T357" i="3"/>
  <c r="S357" i="3"/>
  <c r="U356" i="3"/>
  <c r="T356" i="3"/>
  <c r="S356" i="3"/>
  <c r="U355" i="3"/>
  <c r="T355" i="3"/>
  <c r="S355" i="3"/>
  <c r="U354" i="3"/>
  <c r="T354" i="3"/>
  <c r="S354" i="3"/>
  <c r="U353" i="3"/>
  <c r="T353" i="3"/>
  <c r="S353" i="3"/>
  <c r="U352" i="3"/>
  <c r="T352" i="3"/>
  <c r="S352" i="3"/>
  <c r="U351" i="3"/>
  <c r="T351" i="3"/>
  <c r="S351" i="3"/>
  <c r="U350" i="3"/>
  <c r="T350" i="3"/>
  <c r="S350" i="3"/>
  <c r="U349" i="3"/>
  <c r="T349" i="3"/>
  <c r="S349" i="3"/>
  <c r="U348" i="3"/>
  <c r="T348" i="3"/>
  <c r="S348" i="3"/>
  <c r="U347" i="3"/>
  <c r="T347" i="3"/>
  <c r="S347" i="3"/>
  <c r="U346" i="3"/>
  <c r="T346" i="3"/>
  <c r="S346" i="3"/>
  <c r="U345" i="3"/>
  <c r="T345" i="3"/>
  <c r="S345" i="3"/>
  <c r="U344" i="3"/>
  <c r="T344" i="3"/>
  <c r="S344" i="3"/>
  <c r="U343" i="3"/>
  <c r="T343" i="3"/>
  <c r="S343" i="3"/>
  <c r="U342" i="3"/>
  <c r="T342" i="3"/>
  <c r="S342" i="3"/>
  <c r="U341" i="3"/>
  <c r="T341" i="3"/>
  <c r="S341" i="3"/>
  <c r="U340" i="3"/>
  <c r="T340" i="3"/>
  <c r="S340" i="3"/>
  <c r="U339" i="3"/>
  <c r="T339" i="3"/>
  <c r="S339" i="3"/>
  <c r="U338" i="3"/>
  <c r="T338" i="3"/>
  <c r="S338" i="3"/>
  <c r="U337" i="3"/>
  <c r="T337" i="3"/>
  <c r="S337" i="3"/>
  <c r="U336" i="3"/>
  <c r="T336" i="3"/>
  <c r="S336" i="3"/>
  <c r="U335" i="3"/>
  <c r="T335" i="3"/>
  <c r="S335" i="3"/>
  <c r="U334" i="3"/>
  <c r="T334" i="3"/>
  <c r="S334" i="3"/>
  <c r="U333" i="3"/>
  <c r="T333" i="3"/>
  <c r="S333" i="3"/>
  <c r="U332" i="3"/>
  <c r="T332" i="3"/>
  <c r="S332" i="3"/>
  <c r="U331" i="3"/>
  <c r="T331" i="3"/>
  <c r="S331" i="3"/>
  <c r="U330" i="3"/>
  <c r="T330" i="3"/>
  <c r="S330" i="3"/>
  <c r="U329" i="3"/>
  <c r="T329" i="3"/>
  <c r="S329" i="3"/>
  <c r="U328" i="3"/>
  <c r="T328" i="3"/>
  <c r="S328" i="3"/>
  <c r="U327" i="3"/>
  <c r="T327" i="3"/>
  <c r="S327" i="3"/>
  <c r="U326" i="3"/>
  <c r="T326" i="3"/>
  <c r="S326" i="3"/>
  <c r="U325" i="3"/>
  <c r="T325" i="3"/>
  <c r="S325" i="3"/>
  <c r="U324" i="3"/>
  <c r="T324" i="3"/>
  <c r="S324" i="3"/>
  <c r="U323" i="3"/>
  <c r="T323" i="3"/>
  <c r="S323" i="3"/>
  <c r="U322" i="3"/>
  <c r="T322" i="3"/>
  <c r="S322" i="3"/>
  <c r="U321" i="3"/>
  <c r="T321" i="3"/>
  <c r="S321" i="3"/>
  <c r="U320" i="3"/>
  <c r="T320" i="3"/>
  <c r="S320" i="3"/>
  <c r="U319" i="3"/>
  <c r="T319" i="3"/>
  <c r="S319" i="3"/>
  <c r="U318" i="3"/>
  <c r="T318" i="3"/>
  <c r="S318" i="3"/>
  <c r="U317" i="3"/>
  <c r="T317" i="3"/>
  <c r="S317" i="3"/>
  <c r="U316" i="3"/>
  <c r="T316" i="3"/>
  <c r="S316" i="3"/>
  <c r="U315" i="3"/>
  <c r="T315" i="3"/>
  <c r="S315" i="3"/>
  <c r="U314" i="3"/>
  <c r="T314" i="3"/>
  <c r="S314" i="3"/>
  <c r="U313" i="3"/>
  <c r="T313" i="3"/>
  <c r="S313" i="3"/>
  <c r="U312" i="3"/>
  <c r="T312" i="3"/>
  <c r="S312" i="3"/>
  <c r="U311" i="3"/>
  <c r="T311" i="3"/>
  <c r="S311" i="3"/>
  <c r="U310" i="3"/>
  <c r="T310" i="3"/>
  <c r="S310" i="3"/>
  <c r="U309" i="3"/>
  <c r="T309" i="3"/>
  <c r="S309" i="3"/>
  <c r="U308" i="3"/>
  <c r="T308" i="3"/>
  <c r="S308" i="3"/>
  <c r="U307" i="3"/>
  <c r="T307" i="3"/>
  <c r="S307" i="3"/>
  <c r="U306" i="3"/>
  <c r="T306" i="3"/>
  <c r="S306" i="3"/>
  <c r="U305" i="3"/>
  <c r="T305" i="3"/>
  <c r="S305" i="3"/>
  <c r="U304" i="3"/>
  <c r="T304" i="3"/>
  <c r="S304" i="3"/>
  <c r="U303" i="3"/>
  <c r="T303" i="3"/>
  <c r="S303" i="3"/>
  <c r="U302" i="3"/>
  <c r="T302" i="3"/>
  <c r="S302" i="3"/>
  <c r="U301" i="3"/>
  <c r="T301" i="3"/>
  <c r="S301" i="3"/>
  <c r="U300" i="3"/>
  <c r="T300" i="3"/>
  <c r="S300" i="3"/>
  <c r="U299" i="3"/>
  <c r="T299" i="3"/>
  <c r="S299" i="3"/>
  <c r="U298" i="3"/>
  <c r="T298" i="3"/>
  <c r="S298" i="3"/>
  <c r="U297" i="3"/>
  <c r="T297" i="3"/>
  <c r="S297" i="3"/>
  <c r="U296" i="3"/>
  <c r="T296" i="3"/>
  <c r="S296" i="3"/>
  <c r="U295" i="3"/>
  <c r="T295" i="3"/>
  <c r="S295" i="3"/>
  <c r="U294" i="3"/>
  <c r="T294" i="3"/>
  <c r="S294" i="3"/>
  <c r="U293" i="3"/>
  <c r="T293" i="3"/>
  <c r="S293" i="3"/>
  <c r="U292" i="3"/>
  <c r="T292" i="3"/>
  <c r="S292" i="3"/>
  <c r="U291" i="3"/>
  <c r="T291" i="3"/>
  <c r="S291" i="3"/>
  <c r="U290" i="3"/>
  <c r="T290" i="3"/>
  <c r="S290" i="3"/>
  <c r="U289" i="3"/>
  <c r="T289" i="3"/>
  <c r="S289" i="3"/>
  <c r="U288" i="3"/>
  <c r="T288" i="3"/>
  <c r="S288" i="3"/>
  <c r="U287" i="3"/>
  <c r="T287" i="3"/>
  <c r="S287" i="3"/>
  <c r="U286" i="3"/>
  <c r="T286" i="3"/>
  <c r="S286" i="3"/>
  <c r="U285" i="3"/>
  <c r="T285" i="3"/>
  <c r="S285" i="3"/>
  <c r="U284" i="3"/>
  <c r="T284" i="3"/>
  <c r="S284" i="3"/>
  <c r="U283" i="3"/>
  <c r="T283" i="3"/>
  <c r="S283" i="3"/>
  <c r="U282" i="3"/>
  <c r="T282" i="3"/>
  <c r="S282" i="3"/>
  <c r="U281" i="3"/>
  <c r="T281" i="3"/>
  <c r="S281" i="3"/>
  <c r="U280" i="3"/>
  <c r="T280" i="3"/>
  <c r="S280" i="3"/>
  <c r="U279" i="3"/>
  <c r="T279" i="3"/>
  <c r="S279" i="3"/>
  <c r="U278" i="3"/>
  <c r="T278" i="3"/>
  <c r="S278" i="3"/>
  <c r="U277" i="3"/>
  <c r="T277" i="3"/>
  <c r="S277" i="3"/>
  <c r="U276" i="3"/>
  <c r="T276" i="3"/>
  <c r="S276" i="3"/>
  <c r="U275" i="3"/>
  <c r="T275" i="3"/>
  <c r="S275" i="3"/>
  <c r="U274" i="3"/>
  <c r="T274" i="3"/>
  <c r="S274" i="3"/>
  <c r="U273" i="3"/>
  <c r="T273" i="3"/>
  <c r="S273" i="3"/>
  <c r="U272" i="3"/>
  <c r="T272" i="3"/>
  <c r="S272" i="3"/>
  <c r="U271" i="3"/>
  <c r="T271" i="3"/>
  <c r="S271" i="3"/>
  <c r="U270" i="3"/>
  <c r="T270" i="3"/>
  <c r="S270" i="3"/>
  <c r="U269" i="3"/>
  <c r="T269" i="3"/>
  <c r="S269" i="3"/>
  <c r="U268" i="3"/>
  <c r="T268" i="3"/>
  <c r="S268" i="3"/>
  <c r="U267" i="3"/>
  <c r="T267" i="3"/>
  <c r="S267" i="3"/>
  <c r="U266" i="3"/>
  <c r="T266" i="3"/>
  <c r="S266" i="3"/>
  <c r="U265" i="3"/>
  <c r="T265" i="3"/>
  <c r="S265" i="3"/>
  <c r="U264" i="3"/>
  <c r="T264" i="3"/>
  <c r="S264" i="3"/>
  <c r="U263" i="3"/>
  <c r="T263" i="3"/>
  <c r="S263" i="3"/>
  <c r="U262" i="3"/>
  <c r="T262" i="3"/>
  <c r="S262" i="3"/>
  <c r="U261" i="3"/>
  <c r="T261" i="3"/>
  <c r="S261" i="3"/>
  <c r="U260" i="3"/>
  <c r="T260" i="3"/>
  <c r="S260" i="3"/>
  <c r="U259" i="3"/>
  <c r="T259" i="3"/>
  <c r="S259" i="3"/>
  <c r="U258" i="3"/>
  <c r="T258" i="3"/>
  <c r="S258" i="3"/>
  <c r="U257" i="3"/>
  <c r="T257" i="3"/>
  <c r="S257" i="3"/>
  <c r="U256" i="3"/>
  <c r="T256" i="3"/>
  <c r="S256" i="3"/>
  <c r="U255" i="3"/>
  <c r="T255" i="3"/>
  <c r="S255" i="3"/>
  <c r="U254" i="3"/>
  <c r="T254" i="3"/>
  <c r="S254" i="3"/>
  <c r="U253" i="3"/>
  <c r="T253" i="3"/>
  <c r="S253" i="3"/>
  <c r="U252" i="3"/>
  <c r="T252" i="3"/>
  <c r="S252" i="3"/>
  <c r="U251" i="3"/>
  <c r="T251" i="3"/>
  <c r="S251" i="3"/>
  <c r="U250" i="3"/>
  <c r="T250" i="3"/>
  <c r="S250" i="3"/>
  <c r="U249" i="3"/>
  <c r="T249" i="3"/>
  <c r="S249" i="3"/>
  <c r="U248" i="3"/>
  <c r="T248" i="3"/>
  <c r="S248" i="3"/>
  <c r="U247" i="3"/>
  <c r="T247" i="3"/>
  <c r="S247" i="3"/>
  <c r="U246" i="3"/>
  <c r="T246" i="3"/>
  <c r="S246" i="3"/>
  <c r="U245" i="3"/>
  <c r="T245" i="3"/>
  <c r="S245" i="3"/>
  <c r="U244" i="3"/>
  <c r="T244" i="3"/>
  <c r="S244" i="3"/>
  <c r="U243" i="3"/>
  <c r="T243" i="3"/>
  <c r="S243" i="3"/>
  <c r="U242" i="3"/>
  <c r="T242" i="3"/>
  <c r="S242" i="3"/>
  <c r="U241" i="3"/>
  <c r="T241" i="3"/>
  <c r="S241" i="3"/>
  <c r="U240" i="3"/>
  <c r="T240" i="3"/>
  <c r="S240" i="3"/>
  <c r="U239" i="3"/>
  <c r="T239" i="3"/>
  <c r="S239" i="3"/>
  <c r="U238" i="3"/>
  <c r="T238" i="3"/>
  <c r="S238" i="3"/>
  <c r="U237" i="3"/>
  <c r="T237" i="3"/>
  <c r="S237" i="3"/>
  <c r="U236" i="3"/>
  <c r="T236" i="3"/>
  <c r="S236" i="3"/>
  <c r="U235" i="3"/>
  <c r="T235" i="3"/>
  <c r="S235" i="3"/>
  <c r="U234" i="3"/>
  <c r="T234" i="3"/>
  <c r="S234" i="3"/>
  <c r="U233" i="3"/>
  <c r="T233" i="3"/>
  <c r="S233" i="3"/>
  <c r="U232" i="3"/>
  <c r="T232" i="3"/>
  <c r="S232" i="3"/>
  <c r="U231" i="3"/>
  <c r="T231" i="3"/>
  <c r="S231" i="3"/>
  <c r="U230" i="3"/>
  <c r="T230" i="3"/>
  <c r="S230" i="3"/>
  <c r="U229" i="3"/>
  <c r="T229" i="3"/>
  <c r="S229" i="3"/>
  <c r="U228" i="3"/>
  <c r="T228" i="3"/>
  <c r="S228" i="3"/>
  <c r="U227" i="3"/>
  <c r="T227" i="3"/>
  <c r="S227" i="3"/>
  <c r="U226" i="3"/>
  <c r="T226" i="3"/>
  <c r="S226" i="3"/>
  <c r="U225" i="3"/>
  <c r="T225" i="3"/>
  <c r="S225" i="3"/>
  <c r="U224" i="3"/>
  <c r="T224" i="3"/>
  <c r="S224" i="3"/>
  <c r="U223" i="3"/>
  <c r="T223" i="3"/>
  <c r="S223" i="3"/>
  <c r="U222" i="3"/>
  <c r="T222" i="3"/>
  <c r="S222" i="3"/>
  <c r="U221" i="3"/>
  <c r="T221" i="3"/>
  <c r="S221" i="3"/>
  <c r="U220" i="3"/>
  <c r="T220" i="3"/>
  <c r="S220" i="3"/>
  <c r="U219" i="3"/>
  <c r="T219" i="3"/>
  <c r="S219" i="3"/>
  <c r="U218" i="3"/>
  <c r="T218" i="3"/>
  <c r="S218" i="3"/>
  <c r="U217" i="3"/>
  <c r="T217" i="3"/>
  <c r="S217" i="3"/>
  <c r="U216" i="3"/>
  <c r="T216" i="3"/>
  <c r="S216" i="3"/>
  <c r="U215" i="3"/>
  <c r="T215" i="3"/>
  <c r="S215" i="3"/>
  <c r="U214" i="3"/>
  <c r="T214" i="3"/>
  <c r="S214" i="3"/>
  <c r="U213" i="3"/>
  <c r="T213" i="3"/>
  <c r="S213" i="3"/>
  <c r="U212" i="3"/>
  <c r="T212" i="3"/>
  <c r="S212" i="3"/>
  <c r="U211" i="3"/>
  <c r="T211" i="3"/>
  <c r="S211" i="3"/>
  <c r="U210" i="3"/>
  <c r="T210" i="3"/>
  <c r="S210" i="3"/>
  <c r="U209" i="3"/>
  <c r="T209" i="3"/>
  <c r="S209" i="3"/>
  <c r="U208" i="3"/>
  <c r="T208" i="3"/>
  <c r="S208" i="3"/>
  <c r="U207" i="3"/>
  <c r="T207" i="3"/>
  <c r="S207" i="3"/>
  <c r="U206" i="3"/>
  <c r="T206" i="3"/>
  <c r="S206" i="3"/>
  <c r="U205" i="3"/>
  <c r="T205" i="3"/>
  <c r="S205" i="3"/>
  <c r="U204" i="3"/>
  <c r="T204" i="3"/>
  <c r="S204" i="3"/>
  <c r="U203" i="3"/>
  <c r="T203" i="3"/>
  <c r="S203" i="3"/>
  <c r="U202" i="3"/>
  <c r="T202" i="3"/>
  <c r="S202" i="3"/>
  <c r="U201" i="3"/>
  <c r="T201" i="3"/>
  <c r="S201" i="3"/>
  <c r="U200" i="3"/>
  <c r="T200" i="3"/>
  <c r="S200" i="3"/>
  <c r="U199" i="3"/>
  <c r="T199" i="3"/>
  <c r="S199" i="3"/>
  <c r="U198" i="3"/>
  <c r="T198" i="3"/>
  <c r="S198" i="3"/>
  <c r="U197" i="3"/>
  <c r="T197" i="3"/>
  <c r="S197" i="3"/>
  <c r="U196" i="3"/>
  <c r="T196" i="3"/>
  <c r="S196" i="3"/>
  <c r="U195" i="3"/>
  <c r="T195" i="3"/>
  <c r="S195" i="3"/>
  <c r="U194" i="3"/>
  <c r="T194" i="3"/>
  <c r="S194" i="3"/>
  <c r="U193" i="3"/>
  <c r="T193" i="3"/>
  <c r="S193" i="3"/>
  <c r="U192" i="3"/>
  <c r="T192" i="3"/>
  <c r="S192" i="3"/>
  <c r="U191" i="3"/>
  <c r="T191" i="3"/>
  <c r="S191" i="3"/>
  <c r="U190" i="3"/>
  <c r="T190" i="3"/>
  <c r="S190" i="3"/>
  <c r="U189" i="3"/>
  <c r="T189" i="3"/>
  <c r="S189" i="3"/>
  <c r="U188" i="3"/>
  <c r="T188" i="3"/>
  <c r="S188" i="3"/>
  <c r="U187" i="3"/>
  <c r="T187" i="3"/>
  <c r="S187" i="3"/>
  <c r="U186" i="3"/>
  <c r="T186" i="3"/>
  <c r="S186" i="3"/>
  <c r="U185" i="3"/>
  <c r="T185" i="3"/>
  <c r="S185" i="3"/>
  <c r="U184" i="3"/>
  <c r="T184" i="3"/>
  <c r="S184" i="3"/>
  <c r="U183" i="3"/>
  <c r="T183" i="3"/>
  <c r="S183" i="3"/>
  <c r="U182" i="3"/>
  <c r="T182" i="3"/>
  <c r="S182" i="3"/>
  <c r="U181" i="3"/>
  <c r="T181" i="3"/>
  <c r="S181" i="3"/>
  <c r="U180" i="3"/>
  <c r="T180" i="3"/>
  <c r="S180" i="3"/>
  <c r="U179" i="3"/>
  <c r="T179" i="3"/>
  <c r="S179" i="3"/>
  <c r="U178" i="3"/>
  <c r="T178" i="3"/>
  <c r="S178" i="3"/>
  <c r="U177" i="3"/>
  <c r="T177" i="3"/>
  <c r="S177" i="3"/>
  <c r="U176" i="3"/>
  <c r="T176" i="3"/>
  <c r="S176" i="3"/>
  <c r="U175" i="3"/>
  <c r="T175" i="3"/>
  <c r="S175" i="3"/>
  <c r="U174" i="3"/>
  <c r="T174" i="3"/>
  <c r="S174" i="3"/>
  <c r="U173" i="3"/>
  <c r="T173" i="3"/>
  <c r="S173" i="3"/>
  <c r="U172" i="3"/>
  <c r="T172" i="3"/>
  <c r="S172" i="3"/>
  <c r="U171" i="3"/>
  <c r="T171" i="3"/>
  <c r="S171" i="3"/>
  <c r="U170" i="3"/>
  <c r="T170" i="3"/>
  <c r="S170" i="3"/>
  <c r="U169" i="3"/>
  <c r="T169" i="3"/>
  <c r="S169" i="3"/>
  <c r="U168" i="3"/>
  <c r="T168" i="3"/>
  <c r="S168" i="3"/>
  <c r="U167" i="3"/>
  <c r="T167" i="3"/>
  <c r="S167" i="3"/>
  <c r="U166" i="3"/>
  <c r="T166" i="3"/>
  <c r="S166" i="3"/>
  <c r="U165" i="3"/>
  <c r="T165" i="3"/>
  <c r="S165" i="3"/>
  <c r="U164" i="3"/>
  <c r="T164" i="3"/>
  <c r="S164" i="3"/>
  <c r="U163" i="3"/>
  <c r="T163" i="3"/>
  <c r="S163" i="3"/>
  <c r="U162" i="3"/>
  <c r="T162" i="3"/>
  <c r="S162" i="3"/>
  <c r="U161" i="3"/>
  <c r="T161" i="3"/>
  <c r="S161" i="3"/>
  <c r="U160" i="3"/>
  <c r="T160" i="3"/>
  <c r="S160" i="3"/>
  <c r="U159" i="3"/>
  <c r="T159" i="3"/>
  <c r="S159" i="3"/>
  <c r="U158" i="3"/>
  <c r="T158" i="3"/>
  <c r="S158" i="3"/>
  <c r="U157" i="3"/>
  <c r="T157" i="3"/>
  <c r="S157" i="3"/>
  <c r="U156" i="3"/>
  <c r="T156" i="3"/>
  <c r="S156" i="3"/>
  <c r="U155" i="3"/>
  <c r="T155" i="3"/>
  <c r="S155" i="3"/>
  <c r="U154" i="3"/>
  <c r="T154" i="3"/>
  <c r="S154" i="3"/>
  <c r="U153" i="3"/>
  <c r="T153" i="3"/>
  <c r="S153" i="3"/>
  <c r="U152" i="3"/>
  <c r="T152" i="3"/>
  <c r="S152" i="3"/>
  <c r="U151" i="3"/>
  <c r="T151" i="3"/>
  <c r="S151" i="3"/>
  <c r="U150" i="3"/>
  <c r="T150" i="3"/>
  <c r="S150" i="3"/>
  <c r="U149" i="3"/>
  <c r="T149" i="3"/>
  <c r="S149" i="3"/>
  <c r="U148" i="3"/>
  <c r="T148" i="3"/>
  <c r="S148" i="3"/>
  <c r="U147" i="3"/>
  <c r="T147" i="3"/>
  <c r="S147" i="3"/>
  <c r="U146" i="3"/>
  <c r="T146" i="3"/>
  <c r="S146" i="3"/>
  <c r="U145" i="3"/>
  <c r="T145" i="3"/>
  <c r="S145" i="3"/>
  <c r="U144" i="3"/>
  <c r="T144" i="3"/>
  <c r="S144" i="3"/>
  <c r="U143" i="3"/>
  <c r="T143" i="3"/>
  <c r="S143" i="3"/>
  <c r="U142" i="3"/>
  <c r="T142" i="3"/>
  <c r="S142" i="3"/>
  <c r="U141" i="3"/>
  <c r="T141" i="3"/>
  <c r="S141" i="3"/>
  <c r="U140" i="3"/>
  <c r="T140" i="3"/>
  <c r="S140" i="3"/>
  <c r="U139" i="3"/>
  <c r="T139" i="3"/>
  <c r="S139" i="3"/>
  <c r="U138" i="3"/>
  <c r="T138" i="3"/>
  <c r="S138" i="3"/>
  <c r="U137" i="3"/>
  <c r="T137" i="3"/>
  <c r="S137" i="3"/>
  <c r="U136" i="3"/>
  <c r="T136" i="3"/>
  <c r="S136" i="3"/>
  <c r="U135" i="3"/>
  <c r="T135" i="3"/>
  <c r="S135" i="3"/>
  <c r="U134" i="3"/>
  <c r="T134" i="3"/>
  <c r="S134" i="3"/>
  <c r="U133" i="3"/>
  <c r="T133" i="3"/>
  <c r="S133" i="3"/>
  <c r="U132" i="3"/>
  <c r="T132" i="3"/>
  <c r="S132" i="3"/>
  <c r="U131" i="3"/>
  <c r="T131" i="3"/>
  <c r="S131" i="3"/>
  <c r="U130" i="3"/>
  <c r="T130" i="3"/>
  <c r="S130" i="3"/>
  <c r="U129" i="3"/>
  <c r="T129" i="3"/>
  <c r="S129" i="3"/>
  <c r="U128" i="3"/>
  <c r="T128" i="3"/>
  <c r="S128" i="3"/>
  <c r="U127" i="3"/>
  <c r="T127" i="3"/>
  <c r="S127" i="3"/>
  <c r="U126" i="3"/>
  <c r="T126" i="3"/>
  <c r="S126" i="3"/>
  <c r="U125" i="3"/>
  <c r="T125" i="3"/>
  <c r="S125" i="3"/>
  <c r="U124" i="3"/>
  <c r="T124" i="3"/>
  <c r="S124" i="3"/>
  <c r="U123" i="3"/>
  <c r="T123" i="3"/>
  <c r="S123" i="3"/>
  <c r="U122" i="3"/>
  <c r="T122" i="3"/>
  <c r="S122" i="3"/>
  <c r="U121" i="3"/>
  <c r="T121" i="3"/>
  <c r="S121" i="3"/>
  <c r="U120" i="3"/>
  <c r="T120" i="3"/>
  <c r="S120" i="3"/>
  <c r="U119" i="3"/>
  <c r="T119" i="3"/>
  <c r="S119" i="3"/>
  <c r="U118" i="3"/>
  <c r="T118" i="3"/>
  <c r="S118" i="3"/>
  <c r="U117" i="3"/>
  <c r="T117" i="3"/>
  <c r="S117" i="3"/>
  <c r="U116" i="3"/>
  <c r="T116" i="3"/>
  <c r="S116" i="3"/>
  <c r="U115" i="3"/>
  <c r="T115" i="3"/>
  <c r="S115" i="3"/>
  <c r="U114" i="3"/>
  <c r="T114" i="3"/>
  <c r="S114" i="3"/>
  <c r="U113" i="3"/>
  <c r="T113" i="3"/>
  <c r="S113" i="3"/>
  <c r="U112" i="3"/>
  <c r="T112" i="3"/>
  <c r="S112" i="3"/>
  <c r="U111" i="3"/>
  <c r="T111" i="3"/>
  <c r="S111" i="3"/>
  <c r="U110" i="3"/>
  <c r="T110" i="3"/>
  <c r="S110" i="3"/>
  <c r="U109" i="3"/>
  <c r="T109" i="3"/>
  <c r="S109" i="3"/>
  <c r="U108" i="3"/>
  <c r="T108" i="3"/>
  <c r="S108" i="3"/>
  <c r="U107" i="3"/>
  <c r="T107" i="3"/>
  <c r="S107" i="3"/>
  <c r="U106" i="3"/>
  <c r="T106" i="3"/>
  <c r="S106" i="3"/>
  <c r="U105" i="3"/>
  <c r="T105" i="3"/>
  <c r="S105" i="3"/>
  <c r="U104" i="3"/>
  <c r="T104" i="3"/>
  <c r="S104" i="3"/>
  <c r="U103" i="3"/>
  <c r="T103" i="3"/>
  <c r="S103" i="3"/>
  <c r="U102" i="3"/>
  <c r="T102" i="3"/>
  <c r="S102" i="3"/>
  <c r="U101" i="3"/>
  <c r="T101" i="3"/>
  <c r="S101" i="3"/>
  <c r="U100" i="3"/>
  <c r="T100" i="3"/>
  <c r="S100" i="3"/>
  <c r="U99" i="3"/>
  <c r="T99" i="3"/>
  <c r="S99" i="3"/>
  <c r="U98" i="3"/>
  <c r="T98" i="3"/>
  <c r="S98" i="3"/>
  <c r="U97" i="3"/>
  <c r="T97" i="3"/>
  <c r="S97" i="3"/>
  <c r="U96" i="3"/>
  <c r="T96" i="3"/>
  <c r="S96" i="3"/>
  <c r="U95" i="3"/>
  <c r="T95" i="3"/>
  <c r="S95" i="3"/>
  <c r="U94" i="3"/>
  <c r="T94" i="3"/>
  <c r="S94" i="3"/>
  <c r="U93" i="3"/>
  <c r="T93" i="3"/>
  <c r="S93" i="3"/>
  <c r="U92" i="3"/>
  <c r="T92" i="3"/>
  <c r="S92" i="3"/>
  <c r="U91" i="3"/>
  <c r="T91" i="3"/>
  <c r="S91" i="3"/>
  <c r="U90" i="3"/>
  <c r="T90" i="3"/>
  <c r="S90" i="3"/>
  <c r="U89" i="3"/>
  <c r="T89" i="3"/>
  <c r="S89" i="3"/>
  <c r="U88" i="3"/>
  <c r="T88" i="3"/>
  <c r="S88" i="3"/>
  <c r="U87" i="3"/>
  <c r="T87" i="3"/>
  <c r="S87" i="3"/>
  <c r="U86" i="3"/>
  <c r="T86" i="3"/>
  <c r="S86" i="3"/>
  <c r="U85" i="3"/>
  <c r="T85" i="3"/>
  <c r="S85" i="3"/>
  <c r="U84" i="3"/>
  <c r="T84" i="3"/>
  <c r="S84" i="3"/>
  <c r="U83" i="3"/>
  <c r="T83" i="3"/>
  <c r="S83" i="3"/>
  <c r="U82" i="3"/>
  <c r="T82" i="3"/>
  <c r="S82" i="3"/>
  <c r="U81" i="3"/>
  <c r="T81" i="3"/>
  <c r="S81" i="3"/>
  <c r="U80" i="3"/>
  <c r="T80" i="3"/>
  <c r="S80" i="3"/>
  <c r="U79" i="3"/>
  <c r="T79" i="3"/>
  <c r="S79" i="3"/>
  <c r="U78" i="3"/>
  <c r="T78" i="3"/>
  <c r="S78" i="3"/>
  <c r="U77" i="3"/>
  <c r="T77" i="3"/>
  <c r="S77" i="3"/>
  <c r="U76" i="3"/>
  <c r="T76" i="3"/>
  <c r="S76" i="3"/>
  <c r="U75" i="3"/>
  <c r="T75" i="3"/>
  <c r="S75" i="3"/>
  <c r="U74" i="3"/>
  <c r="T74" i="3"/>
  <c r="S74" i="3"/>
  <c r="U73" i="3"/>
  <c r="T73" i="3"/>
  <c r="S73" i="3"/>
  <c r="U72" i="3"/>
  <c r="T72" i="3"/>
  <c r="S72" i="3"/>
  <c r="U71" i="3"/>
  <c r="T71" i="3"/>
  <c r="S71" i="3"/>
  <c r="U70" i="3"/>
  <c r="T70" i="3"/>
  <c r="S70" i="3"/>
  <c r="U69" i="3"/>
  <c r="T69" i="3"/>
  <c r="S69" i="3"/>
  <c r="U68" i="3"/>
  <c r="T68" i="3"/>
  <c r="S68" i="3"/>
  <c r="U67" i="3"/>
  <c r="T67" i="3"/>
  <c r="S67" i="3"/>
  <c r="U66" i="3"/>
  <c r="T66" i="3"/>
  <c r="S66" i="3"/>
  <c r="U65" i="3"/>
  <c r="T65" i="3"/>
  <c r="S65" i="3"/>
  <c r="U64" i="3"/>
  <c r="T64" i="3"/>
  <c r="S64" i="3"/>
  <c r="U63" i="3"/>
  <c r="T63" i="3"/>
  <c r="S63" i="3"/>
  <c r="U62" i="3"/>
  <c r="T62" i="3"/>
  <c r="S62" i="3"/>
  <c r="U61" i="3"/>
  <c r="T61" i="3"/>
  <c r="S61" i="3"/>
  <c r="U60" i="3"/>
  <c r="T60" i="3"/>
  <c r="S60" i="3"/>
  <c r="U59" i="3"/>
  <c r="T59" i="3"/>
  <c r="S59" i="3"/>
  <c r="U58" i="3"/>
  <c r="T58" i="3"/>
  <c r="S58" i="3"/>
  <c r="U57" i="3"/>
  <c r="T57" i="3"/>
  <c r="S57" i="3"/>
  <c r="U56" i="3"/>
  <c r="T56" i="3"/>
  <c r="S56" i="3"/>
  <c r="U55" i="3"/>
  <c r="T55" i="3"/>
  <c r="S55" i="3"/>
  <c r="U54" i="3"/>
  <c r="T54" i="3"/>
  <c r="S54" i="3"/>
  <c r="U53" i="3"/>
  <c r="T53" i="3"/>
  <c r="S53" i="3"/>
  <c r="U52" i="3"/>
  <c r="T52" i="3"/>
  <c r="S52" i="3"/>
  <c r="U51" i="3"/>
  <c r="T51" i="3"/>
  <c r="S51" i="3"/>
  <c r="U50" i="3"/>
  <c r="T50" i="3"/>
  <c r="S50" i="3"/>
  <c r="U49" i="3"/>
  <c r="T49" i="3"/>
  <c r="S49" i="3"/>
  <c r="U48" i="3"/>
  <c r="T48" i="3"/>
  <c r="S48" i="3"/>
  <c r="U47" i="3"/>
  <c r="T47" i="3"/>
  <c r="S47" i="3"/>
  <c r="U46" i="3"/>
  <c r="T46" i="3"/>
  <c r="S46" i="3"/>
  <c r="U45" i="3"/>
  <c r="T45" i="3"/>
  <c r="S45" i="3"/>
  <c r="U44" i="3"/>
  <c r="T44" i="3"/>
  <c r="S44" i="3"/>
  <c r="U43" i="3"/>
  <c r="T43" i="3"/>
  <c r="S43" i="3"/>
  <c r="U42" i="3"/>
  <c r="T42" i="3"/>
  <c r="S42" i="3"/>
  <c r="U41" i="3"/>
  <c r="T41" i="3"/>
  <c r="S41" i="3"/>
  <c r="U40" i="3"/>
  <c r="T40" i="3"/>
  <c r="S40" i="3"/>
  <c r="U39" i="3"/>
  <c r="T39" i="3"/>
  <c r="S39" i="3"/>
  <c r="U38" i="3"/>
  <c r="T38" i="3"/>
  <c r="S38" i="3"/>
  <c r="U37" i="3"/>
  <c r="T37" i="3"/>
  <c r="S37" i="3"/>
  <c r="U36" i="3"/>
  <c r="T36" i="3"/>
  <c r="S36" i="3"/>
  <c r="U35" i="3"/>
  <c r="T35" i="3"/>
  <c r="S35" i="3"/>
  <c r="U34" i="3"/>
  <c r="T34" i="3"/>
  <c r="S34" i="3"/>
  <c r="U33" i="3"/>
  <c r="T33" i="3"/>
  <c r="S33" i="3"/>
  <c r="U32" i="3"/>
  <c r="T32" i="3"/>
  <c r="S32" i="3"/>
  <c r="U31" i="3"/>
  <c r="T31" i="3"/>
  <c r="S31" i="3"/>
  <c r="U30" i="3"/>
  <c r="T30" i="3"/>
  <c r="S30" i="3"/>
  <c r="U29" i="3"/>
  <c r="T29" i="3"/>
  <c r="S29" i="3"/>
  <c r="U28" i="3"/>
  <c r="T28" i="3"/>
  <c r="S28" i="3"/>
  <c r="U27" i="3"/>
  <c r="T27" i="3"/>
  <c r="S27" i="3"/>
  <c r="U26" i="3"/>
  <c r="T26" i="3"/>
  <c r="S26" i="3"/>
  <c r="U25" i="3"/>
  <c r="T25" i="3"/>
  <c r="S25" i="3"/>
  <c r="U24" i="3"/>
  <c r="T24" i="3"/>
  <c r="S24" i="3"/>
  <c r="U23" i="3"/>
  <c r="T23" i="3"/>
  <c r="S23" i="3"/>
  <c r="U22" i="3"/>
  <c r="T22" i="3"/>
  <c r="S22" i="3"/>
  <c r="U21" i="3"/>
  <c r="T21" i="3"/>
  <c r="S21" i="3"/>
  <c r="U20" i="3"/>
  <c r="T20" i="3"/>
  <c r="S20" i="3"/>
  <c r="U19" i="3"/>
  <c r="T19" i="3"/>
  <c r="S19" i="3"/>
  <c r="U18" i="3"/>
  <c r="T18" i="3"/>
  <c r="S18" i="3"/>
  <c r="U17" i="3"/>
  <c r="T17" i="3"/>
  <c r="S17" i="3"/>
  <c r="U16" i="3"/>
  <c r="T16" i="3"/>
  <c r="S16" i="3"/>
  <c r="U15" i="3"/>
  <c r="T15" i="3"/>
  <c r="S15" i="3"/>
  <c r="U14" i="3"/>
  <c r="T14" i="3"/>
  <c r="S14" i="3"/>
  <c r="U13" i="3"/>
  <c r="T13" i="3"/>
  <c r="S13" i="3"/>
  <c r="U12" i="3"/>
  <c r="T12" i="3"/>
  <c r="S12" i="3"/>
  <c r="U11" i="3"/>
  <c r="T11" i="3"/>
  <c r="S11" i="3"/>
  <c r="U10" i="3"/>
  <c r="T10" i="3"/>
  <c r="S10" i="3"/>
  <c r="U9" i="3"/>
  <c r="T9" i="3"/>
  <c r="S9" i="3"/>
  <c r="U8" i="3"/>
  <c r="T8" i="3"/>
  <c r="S8" i="3"/>
  <c r="U7" i="3"/>
  <c r="T7" i="3"/>
  <c r="S7" i="3"/>
  <c r="U6" i="3"/>
  <c r="T6" i="3"/>
  <c r="S6" i="3"/>
  <c r="U5" i="3"/>
  <c r="T5" i="3"/>
  <c r="S5" i="3"/>
  <c r="U4" i="3"/>
  <c r="T4" i="3"/>
  <c r="S4" i="3"/>
  <c r="U3" i="3"/>
  <c r="T3" i="3"/>
  <c r="S3" i="3"/>
  <c r="U2" i="3"/>
  <c r="T2" i="3"/>
  <c r="S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S3" i="1"/>
  <c r="S4" i="1"/>
  <c r="S5" i="1"/>
  <c r="S6" i="1"/>
  <c r="S7" i="1"/>
  <c r="S8" i="1"/>
  <c r="S9" i="1"/>
  <c r="T2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2" i="1"/>
  <c r="A1004" i="1"/>
  <c r="B1004" i="1"/>
  <c r="C1004" i="1"/>
  <c r="D1004" i="1"/>
  <c r="E1004" i="1"/>
  <c r="F1004" i="1"/>
  <c r="H1004" i="1"/>
  <c r="I1004" i="1"/>
  <c r="J1004" i="1"/>
  <c r="K1004" i="1"/>
  <c r="L1004" i="1"/>
  <c r="M1004" i="1"/>
  <c r="N1004" i="1"/>
  <c r="O1004" i="1"/>
  <c r="P1004" i="1"/>
  <c r="Q1004" i="1"/>
  <c r="G1004" i="1"/>
</calcChain>
</file>

<file path=xl/sharedStrings.xml><?xml version="1.0" encoding="utf-8"?>
<sst xmlns="http://schemas.openxmlformats.org/spreadsheetml/2006/main" count="20137" uniqueCount="1376">
  <si>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</si>
  <si>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</si>
  <si>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</si>
  <si>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</si>
  <si>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</si>
  <si>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</si>
  <si>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</si>
  <si>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</si>
  <si>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City</t>
  </si>
  <si>
    <t>Region</t>
  </si>
  <si>
    <t>Category</t>
  </si>
  <si>
    <t>Product</t>
  </si>
  <si>
    <t>Quantity</t>
  </si>
  <si>
    <t>Discount</t>
  </si>
  <si>
    <t>Sales</t>
  </si>
  <si>
    <t>Profit</t>
  </si>
  <si>
    <t>Payment_Mode</t>
  </si>
  <si>
    <t>ORD-2025-0001</t>
  </si>
  <si>
    <t>ORD-2025-0002</t>
  </si>
  <si>
    <t>ORD-2025-0003</t>
  </si>
  <si>
    <t>ORD-2025-0004</t>
  </si>
  <si>
    <t>ORD-2025-0005</t>
  </si>
  <si>
    <t>ORD-2025-0006</t>
  </si>
  <si>
    <t>ORD-2025-0007</t>
  </si>
  <si>
    <t>ORD-2025-0008</t>
  </si>
  <si>
    <t>ORD-2025-0009</t>
  </si>
  <si>
    <t>ORD-2025-0010</t>
  </si>
  <si>
    <t>ORD-2025-0011</t>
  </si>
  <si>
    <t>ORD-2025-0012</t>
  </si>
  <si>
    <t>ORD-2025-0013</t>
  </si>
  <si>
    <t>ORD-2025-0014</t>
  </si>
  <si>
    <t>ORD-2025-0015</t>
  </si>
  <si>
    <t>ORD-2025-0016</t>
  </si>
  <si>
    <t>ORD-2025-0017</t>
  </si>
  <si>
    <t>ORD-2025-0018</t>
  </si>
  <si>
    <t>ORD-2025-0019</t>
  </si>
  <si>
    <t>ORD-2025-0020</t>
  </si>
  <si>
    <t>ORD-2025-0021</t>
  </si>
  <si>
    <t>ORD-2025-0022</t>
  </si>
  <si>
    <t>ORD-2025-0023</t>
  </si>
  <si>
    <t>ORD-2025-0024</t>
  </si>
  <si>
    <t>ORD-2025-0025</t>
  </si>
  <si>
    <t>ORD-2025-0026</t>
  </si>
  <si>
    <t>ORD-2025-0027</t>
  </si>
  <si>
    <t>ORD-2025-0028</t>
  </si>
  <si>
    <t>ORD-2025-0029</t>
  </si>
  <si>
    <t>ORD-2025-0030</t>
  </si>
  <si>
    <t>ORD-2025-0031</t>
  </si>
  <si>
    <t>ORD-2025-0032</t>
  </si>
  <si>
    <t>ORD-2025-0033</t>
  </si>
  <si>
    <t>ORD-2025-0034</t>
  </si>
  <si>
    <t>ORD-2025-0035</t>
  </si>
  <si>
    <t>ORD-2025-0036</t>
  </si>
  <si>
    <t>ORD-2025-0037</t>
  </si>
  <si>
    <t>ORD-2025-0038</t>
  </si>
  <si>
    <t>ORD-2025-0039</t>
  </si>
  <si>
    <t>ORD-2025-0040</t>
  </si>
  <si>
    <t>ORD-2025-0041</t>
  </si>
  <si>
    <t>ORD-2025-0042</t>
  </si>
  <si>
    <t>ORD-2025-0043</t>
  </si>
  <si>
    <t>ORD-2025-0044</t>
  </si>
  <si>
    <t>ORD-2025-0045</t>
  </si>
  <si>
    <t>ORD-2025-0046</t>
  </si>
  <si>
    <t>ORD-2025-0047</t>
  </si>
  <si>
    <t>ORD-2025-0048</t>
  </si>
  <si>
    <t>ORD-2025-0049</t>
  </si>
  <si>
    <t>ORD-2025-0050</t>
  </si>
  <si>
    <t>ORD-2025-0051</t>
  </si>
  <si>
    <t>ORD-2025-0052</t>
  </si>
  <si>
    <t>ORD-2025-0053</t>
  </si>
  <si>
    <t>ORD-2025-0054</t>
  </si>
  <si>
    <t>ORD-2025-0055</t>
  </si>
  <si>
    <t>ORD-2025-0056</t>
  </si>
  <si>
    <t>ORD-2025-0057</t>
  </si>
  <si>
    <t>ORD-2025-0058</t>
  </si>
  <si>
    <t>ORD-2025-0059</t>
  </si>
  <si>
    <t>ORD-2025-0060</t>
  </si>
  <si>
    <t>ORD-2025-0061</t>
  </si>
  <si>
    <t>ORD-2025-0062</t>
  </si>
  <si>
    <t>ORD-2025-0063</t>
  </si>
  <si>
    <t>ORD-2025-0064</t>
  </si>
  <si>
    <t>ORD-2025-0065</t>
  </si>
  <si>
    <t>ORD-2025-0066</t>
  </si>
  <si>
    <t>ORD-2025-0067</t>
  </si>
  <si>
    <t>ORD-2025-0068</t>
  </si>
  <si>
    <t>ORD-2025-0069</t>
  </si>
  <si>
    <t>ORD-2025-0070</t>
  </si>
  <si>
    <t>ORD-2025-0071</t>
  </si>
  <si>
    <t>ORD-2025-0072</t>
  </si>
  <si>
    <t>ORD-2025-0073</t>
  </si>
  <si>
    <t>ORD-2025-0074</t>
  </si>
  <si>
    <t>ORD-2025-0075</t>
  </si>
  <si>
    <t>ORD-2025-0076</t>
  </si>
  <si>
    <t>ORD-2025-0077</t>
  </si>
  <si>
    <t>ORD-2025-0078</t>
  </si>
  <si>
    <t>ORD-2025-0079</t>
  </si>
  <si>
    <t>ORD-2025-0080</t>
  </si>
  <si>
    <t>ORD-2025-0081</t>
  </si>
  <si>
    <t>ORD-2025-0082</t>
  </si>
  <si>
    <t>ORD-2025-0083</t>
  </si>
  <si>
    <t>ORD-2025-0084</t>
  </si>
  <si>
    <t>ORD-2025-0085</t>
  </si>
  <si>
    <t>ORD-2025-0086</t>
  </si>
  <si>
    <t>ORD-2025-0087</t>
  </si>
  <si>
    <t>ORD-2025-0088</t>
  </si>
  <si>
    <t>ORD-2025-0089</t>
  </si>
  <si>
    <t>ORD-2025-0090</t>
  </si>
  <si>
    <t>ORD-2025-0091</t>
  </si>
  <si>
    <t>ORD-2025-0092</t>
  </si>
  <si>
    <t>ORD-2025-0093</t>
  </si>
  <si>
    <t>ORD-2025-0094</t>
  </si>
  <si>
    <t>ORD-2025-0095</t>
  </si>
  <si>
    <t>ORD-2025-0096</t>
  </si>
  <si>
    <t>ORD-2025-0097</t>
  </si>
  <si>
    <t>ORD-2025-0098</t>
  </si>
  <si>
    <t>ORD-2025-0099</t>
  </si>
  <si>
    <t>ORD-2025-0100</t>
  </si>
  <si>
    <t>ORD-2025-0101</t>
  </si>
  <si>
    <t>ORD-2025-0102</t>
  </si>
  <si>
    <t>ORD-2025-0103</t>
  </si>
  <si>
    <t>ORD-2025-0104</t>
  </si>
  <si>
    <t>ORD-2025-0105</t>
  </si>
  <si>
    <t>ORD-2025-0106</t>
  </si>
  <si>
    <t>ORD-2025-0107</t>
  </si>
  <si>
    <t>ORD-2025-0108</t>
  </si>
  <si>
    <t>ORD-2025-0109</t>
  </si>
  <si>
    <t>ORD-2025-0110</t>
  </si>
  <si>
    <t>ORD-2025-0111</t>
  </si>
  <si>
    <t>ORD-2025-0112</t>
  </si>
  <si>
    <t>ORD-2025-0113</t>
  </si>
  <si>
    <t>ORD-2025-0114</t>
  </si>
  <si>
    <t>ORD-2025-0115</t>
  </si>
  <si>
    <t>ORD-2025-0116</t>
  </si>
  <si>
    <t>ORD-2025-0117</t>
  </si>
  <si>
    <t>ORD-2025-0118</t>
  </si>
  <si>
    <t>ORD-2025-0119</t>
  </si>
  <si>
    <t>ORD-2025-0120</t>
  </si>
  <si>
    <t>ORD-2025-0121</t>
  </si>
  <si>
    <t>ORD-2025-0122</t>
  </si>
  <si>
    <t>ORD-2025-0123</t>
  </si>
  <si>
    <t>ORD-2025-0124</t>
  </si>
  <si>
    <t>ORD-2025-0125</t>
  </si>
  <si>
    <t>ORD-2025-0126</t>
  </si>
  <si>
    <t>ORD-2025-0127</t>
  </si>
  <si>
    <t>ORD-2025-0128</t>
  </si>
  <si>
    <t>ORD-2025-0129</t>
  </si>
  <si>
    <t>ORD-2025-0130</t>
  </si>
  <si>
    <t>ORD-2025-0131</t>
  </si>
  <si>
    <t>ORD-2025-0132</t>
  </si>
  <si>
    <t>ORD-2025-0133</t>
  </si>
  <si>
    <t>ORD-2025-0134</t>
  </si>
  <si>
    <t>ORD-2025-0135</t>
  </si>
  <si>
    <t>ORD-2025-0136</t>
  </si>
  <si>
    <t>ORD-2025-0137</t>
  </si>
  <si>
    <t>ORD-2025-0138</t>
  </si>
  <si>
    <t>ORD-2025-0139</t>
  </si>
  <si>
    <t>ORD-2025-0140</t>
  </si>
  <si>
    <t>ORD-2025-0141</t>
  </si>
  <si>
    <t>ORD-2025-0142</t>
  </si>
  <si>
    <t>ORD-2025-0143</t>
  </si>
  <si>
    <t>ORD-2025-0144</t>
  </si>
  <si>
    <t>ORD-2025-0145</t>
  </si>
  <si>
    <t>ORD-2025-0146</t>
  </si>
  <si>
    <t>ORD-2025-0147</t>
  </si>
  <si>
    <t>ORD-2025-0148</t>
  </si>
  <si>
    <t>ORD-2025-0149</t>
  </si>
  <si>
    <t>ORD-2025-0150</t>
  </si>
  <si>
    <t>ORD-2025-0151</t>
  </si>
  <si>
    <t>ORD-2025-0152</t>
  </si>
  <si>
    <t>ORD-2025-0153</t>
  </si>
  <si>
    <t>ORD-2025-0154</t>
  </si>
  <si>
    <t>ORD-2025-0155</t>
  </si>
  <si>
    <t>ORD-2025-0156</t>
  </si>
  <si>
    <t>ORD-2025-0157</t>
  </si>
  <si>
    <t>ORD-2025-0158</t>
  </si>
  <si>
    <t>ORD-2025-0159</t>
  </si>
  <si>
    <t>ORD-2025-0160</t>
  </si>
  <si>
    <t>ORD-2025-0161</t>
  </si>
  <si>
    <t>ORD-2025-0162</t>
  </si>
  <si>
    <t>ORD-2025-0163</t>
  </si>
  <si>
    <t>ORD-2025-0164</t>
  </si>
  <si>
    <t>ORD-2025-0165</t>
  </si>
  <si>
    <t>ORD-2025-0166</t>
  </si>
  <si>
    <t>ORD-2025-0167</t>
  </si>
  <si>
    <t>ORD-2025-0168</t>
  </si>
  <si>
    <t>ORD-2025-0169</t>
  </si>
  <si>
    <t>ORD-2025-0170</t>
  </si>
  <si>
    <t>ORD-2025-0171</t>
  </si>
  <si>
    <t>ORD-2025-0172</t>
  </si>
  <si>
    <t>ORD-2025-0173</t>
  </si>
  <si>
    <t>ORD-2025-0174</t>
  </si>
  <si>
    <t>ORD-2025-0175</t>
  </si>
  <si>
    <t>ORD-2025-0176</t>
  </si>
  <si>
    <t>ORD-2025-0177</t>
  </si>
  <si>
    <t>ORD-2025-0178</t>
  </si>
  <si>
    <t>ORD-2025-0179</t>
  </si>
  <si>
    <t>ORD-2025-0180</t>
  </si>
  <si>
    <t>ORD-2025-0181</t>
  </si>
  <si>
    <t>ORD-2025-0182</t>
  </si>
  <si>
    <t>ORD-2025-0183</t>
  </si>
  <si>
    <t>ORD-2025-0184</t>
  </si>
  <si>
    <t>ORD-2025-0185</t>
  </si>
  <si>
    <t>ORD-2025-0186</t>
  </si>
  <si>
    <t>ORD-2025-0187</t>
  </si>
  <si>
    <t>ORD-2025-0188</t>
  </si>
  <si>
    <t>ORD-2025-0189</t>
  </si>
  <si>
    <t>ORD-2025-0190</t>
  </si>
  <si>
    <t>ORD-2025-0191</t>
  </si>
  <si>
    <t>ORD-2025-0192</t>
  </si>
  <si>
    <t>ORD-2025-0193</t>
  </si>
  <si>
    <t>ORD-2025-0194</t>
  </si>
  <si>
    <t>ORD-2025-0195</t>
  </si>
  <si>
    <t>ORD-2025-0196</t>
  </si>
  <si>
    <t>ORD-2025-0197</t>
  </si>
  <si>
    <t>ORD-2025-0198</t>
  </si>
  <si>
    <t>ORD-2025-0199</t>
  </si>
  <si>
    <t>ORD-2025-0200</t>
  </si>
  <si>
    <t>ORD-2025-0201</t>
  </si>
  <si>
    <t>ORD-2025-0202</t>
  </si>
  <si>
    <t>ORD-2025-0203</t>
  </si>
  <si>
    <t>ORD-2025-0204</t>
  </si>
  <si>
    <t>ORD-2025-0205</t>
  </si>
  <si>
    <t>ORD-2025-0206</t>
  </si>
  <si>
    <t>ORD-2025-0207</t>
  </si>
  <si>
    <t>ORD-2025-0208</t>
  </si>
  <si>
    <t>ORD-2025-0209</t>
  </si>
  <si>
    <t>ORD-2025-0210</t>
  </si>
  <si>
    <t>ORD-2025-0211</t>
  </si>
  <si>
    <t>ORD-2025-0212</t>
  </si>
  <si>
    <t>ORD-2025-0213</t>
  </si>
  <si>
    <t>ORD-2025-0214</t>
  </si>
  <si>
    <t>ORD-2025-0215</t>
  </si>
  <si>
    <t>ORD-2025-0216</t>
  </si>
  <si>
    <t>ORD-2025-0217</t>
  </si>
  <si>
    <t>ORD-2025-0218</t>
  </si>
  <si>
    <t>ORD-2025-0219</t>
  </si>
  <si>
    <t>ORD-2025-0220</t>
  </si>
  <si>
    <t>ORD-2025-0221</t>
  </si>
  <si>
    <t>ORD-2025-0222</t>
  </si>
  <si>
    <t>ORD-2025-0223</t>
  </si>
  <si>
    <t>ORD-2025-0224</t>
  </si>
  <si>
    <t>ORD-2025-0225</t>
  </si>
  <si>
    <t>ORD-2025-0226</t>
  </si>
  <si>
    <t>ORD-2025-0227</t>
  </si>
  <si>
    <t>ORD-2025-0228</t>
  </si>
  <si>
    <t>ORD-2025-0229</t>
  </si>
  <si>
    <t>ORD-2025-0230</t>
  </si>
  <si>
    <t>ORD-2025-0231</t>
  </si>
  <si>
    <t>ORD-2025-0232</t>
  </si>
  <si>
    <t>ORD-2025-0233</t>
  </si>
  <si>
    <t>ORD-2025-0234</t>
  </si>
  <si>
    <t>ORD-2025-0235</t>
  </si>
  <si>
    <t>ORD-2025-0236</t>
  </si>
  <si>
    <t>ORD-2025-0237</t>
  </si>
  <si>
    <t>ORD-2025-0238</t>
  </si>
  <si>
    <t>ORD-2025-0239</t>
  </si>
  <si>
    <t>ORD-2025-0240</t>
  </si>
  <si>
    <t>ORD-2025-0241</t>
  </si>
  <si>
    <t>ORD-2025-0242</t>
  </si>
  <si>
    <t>ORD-2025-0243</t>
  </si>
  <si>
    <t>ORD-2025-0244</t>
  </si>
  <si>
    <t>ORD-2025-0245</t>
  </si>
  <si>
    <t>ORD-2025-0246</t>
  </si>
  <si>
    <t>ORD-2025-0247</t>
  </si>
  <si>
    <t>ORD-2025-0248</t>
  </si>
  <si>
    <t>ORD-2025-0249</t>
  </si>
  <si>
    <t>ORD-2025-0250</t>
  </si>
  <si>
    <t>ORD-2025-0251</t>
  </si>
  <si>
    <t>ORD-2025-0252</t>
  </si>
  <si>
    <t>ORD-2025-0253</t>
  </si>
  <si>
    <t>ORD-2025-0254</t>
  </si>
  <si>
    <t>ORD-2025-0255</t>
  </si>
  <si>
    <t>ORD-2025-0256</t>
  </si>
  <si>
    <t>ORD-2025-0257</t>
  </si>
  <si>
    <t>ORD-2025-0258</t>
  </si>
  <si>
    <t>ORD-2025-0259</t>
  </si>
  <si>
    <t>ORD-2025-0260</t>
  </si>
  <si>
    <t>ORD-2025-0261</t>
  </si>
  <si>
    <t>ORD-2025-0262</t>
  </si>
  <si>
    <t>ORD-2025-0263</t>
  </si>
  <si>
    <t>ORD-2025-0264</t>
  </si>
  <si>
    <t>ORD-2025-0265</t>
  </si>
  <si>
    <t>ORD-2025-0266</t>
  </si>
  <si>
    <t>ORD-2025-0267</t>
  </si>
  <si>
    <t>ORD-2025-0268</t>
  </si>
  <si>
    <t>ORD-2025-0269</t>
  </si>
  <si>
    <t>ORD-2025-0270</t>
  </si>
  <si>
    <t>ORD-2025-0271</t>
  </si>
  <si>
    <t>ORD-2025-0272</t>
  </si>
  <si>
    <t>ORD-2025-0273</t>
  </si>
  <si>
    <t>ORD-2025-0274</t>
  </si>
  <si>
    <t>ORD-2025-0275</t>
  </si>
  <si>
    <t>ORD-2025-0276</t>
  </si>
  <si>
    <t>ORD-2025-0277</t>
  </si>
  <si>
    <t>ORD-2025-0278</t>
  </si>
  <si>
    <t>ORD-2025-0279</t>
  </si>
  <si>
    <t>ORD-2025-0280</t>
  </si>
  <si>
    <t>ORD-2025-0281</t>
  </si>
  <si>
    <t>ORD-2025-0282</t>
  </si>
  <si>
    <t>ORD-2025-0283</t>
  </si>
  <si>
    <t>ORD-2025-0284</t>
  </si>
  <si>
    <t>ORD-2025-0285</t>
  </si>
  <si>
    <t>ORD-2025-0286</t>
  </si>
  <si>
    <t>ORD-2025-0287</t>
  </si>
  <si>
    <t>ORD-2025-0288</t>
  </si>
  <si>
    <t>ORD-2025-0289</t>
  </si>
  <si>
    <t>ORD-2025-0290</t>
  </si>
  <si>
    <t>ORD-2025-0291</t>
  </si>
  <si>
    <t>ORD-2025-0292</t>
  </si>
  <si>
    <t>ORD-2025-0293</t>
  </si>
  <si>
    <t>ORD-2025-0294</t>
  </si>
  <si>
    <t>ORD-2025-0295</t>
  </si>
  <si>
    <t>ORD-2025-0296</t>
  </si>
  <si>
    <t>ORD-2025-0297</t>
  </si>
  <si>
    <t>ORD-2025-0298</t>
  </si>
  <si>
    <t>ORD-2025-0299</t>
  </si>
  <si>
    <t>ORD-2025-0300</t>
  </si>
  <si>
    <t>ORD-2025-0301</t>
  </si>
  <si>
    <t>ORD-2025-0302</t>
  </si>
  <si>
    <t>ORD-2025-0303</t>
  </si>
  <si>
    <t>ORD-2025-0304</t>
  </si>
  <si>
    <t>ORD-2025-0305</t>
  </si>
  <si>
    <t>ORD-2025-0306</t>
  </si>
  <si>
    <t>ORD-2025-0307</t>
  </si>
  <si>
    <t>ORD-2025-0308</t>
  </si>
  <si>
    <t>ORD-2025-0309</t>
  </si>
  <si>
    <t>ORD-2025-0310</t>
  </si>
  <si>
    <t>ORD-2025-0311</t>
  </si>
  <si>
    <t>ORD-2025-0312</t>
  </si>
  <si>
    <t>ORD-2025-0313</t>
  </si>
  <si>
    <t>ORD-2025-0314</t>
  </si>
  <si>
    <t>ORD-2025-0315</t>
  </si>
  <si>
    <t>ORD-2025-0316</t>
  </si>
  <si>
    <t>ORD-2025-0317</t>
  </si>
  <si>
    <t>ORD-2025-0318</t>
  </si>
  <si>
    <t>ORD-2025-0319</t>
  </si>
  <si>
    <t>ORD-2025-0320</t>
  </si>
  <si>
    <t>ORD-2025-0321</t>
  </si>
  <si>
    <t>ORD-2025-0322</t>
  </si>
  <si>
    <t>ORD-2025-0323</t>
  </si>
  <si>
    <t>ORD-2025-0324</t>
  </si>
  <si>
    <t>ORD-2025-0325</t>
  </si>
  <si>
    <t>ORD-2025-0326</t>
  </si>
  <si>
    <t>ORD-2025-0327</t>
  </si>
  <si>
    <t>ORD-2025-0328</t>
  </si>
  <si>
    <t>ORD-2025-0329</t>
  </si>
  <si>
    <t>ORD-2025-0330</t>
  </si>
  <si>
    <t>ORD-2025-0331</t>
  </si>
  <si>
    <t>ORD-2025-0332</t>
  </si>
  <si>
    <t>ORD-2025-0333</t>
  </si>
  <si>
    <t>ORD-2025-0334</t>
  </si>
  <si>
    <t>ORD-2025-0335</t>
  </si>
  <si>
    <t>ORD-2025-0336</t>
  </si>
  <si>
    <t>ORD-2025-0337</t>
  </si>
  <si>
    <t>ORD-2025-0338</t>
  </si>
  <si>
    <t>ORD-2025-0339</t>
  </si>
  <si>
    <t>ORD-2025-0340</t>
  </si>
  <si>
    <t>ORD-2025-0341</t>
  </si>
  <si>
    <t>ORD-2025-0342</t>
  </si>
  <si>
    <t>ORD-2025-0343</t>
  </si>
  <si>
    <t>ORD-2025-0344</t>
  </si>
  <si>
    <t>ORD-2025-0345</t>
  </si>
  <si>
    <t>ORD-2025-0346</t>
  </si>
  <si>
    <t>ORD-2025-0347</t>
  </si>
  <si>
    <t>ORD-2025-0348</t>
  </si>
  <si>
    <t>ORD-2025-0349</t>
  </si>
  <si>
    <t>ORD-2025-0350</t>
  </si>
  <si>
    <t>ORD-2025-0351</t>
  </si>
  <si>
    <t>ORD-2025-0352</t>
  </si>
  <si>
    <t>ORD-2025-0353</t>
  </si>
  <si>
    <t>ORD-2025-0354</t>
  </si>
  <si>
    <t>ORD-2025-0355</t>
  </si>
  <si>
    <t>ORD-2025-0356</t>
  </si>
  <si>
    <t>ORD-2025-0357</t>
  </si>
  <si>
    <t>ORD-2025-0358</t>
  </si>
  <si>
    <t>ORD-2025-0359</t>
  </si>
  <si>
    <t>ORD-2025-0360</t>
  </si>
  <si>
    <t>ORD-2025-0361</t>
  </si>
  <si>
    <t>ORD-2025-0362</t>
  </si>
  <si>
    <t>ORD-2025-0363</t>
  </si>
  <si>
    <t>ORD-2025-0364</t>
  </si>
  <si>
    <t>ORD-2025-0365</t>
  </si>
  <si>
    <t>ORD-2025-0366</t>
  </si>
  <si>
    <t>ORD-2025-0367</t>
  </si>
  <si>
    <t>ORD-2025-0368</t>
  </si>
  <si>
    <t>ORD-2025-0369</t>
  </si>
  <si>
    <t>ORD-2025-0370</t>
  </si>
  <si>
    <t>ORD-2025-0371</t>
  </si>
  <si>
    <t>ORD-2025-0372</t>
  </si>
  <si>
    <t>ORD-2025-0373</t>
  </si>
  <si>
    <t>ORD-2025-0374</t>
  </si>
  <si>
    <t>ORD-2025-0375</t>
  </si>
  <si>
    <t>ORD-2025-0376</t>
  </si>
  <si>
    <t>ORD-2025-0377</t>
  </si>
  <si>
    <t>ORD-2025-0378</t>
  </si>
  <si>
    <t>ORD-2025-0379</t>
  </si>
  <si>
    <t>ORD-2025-0380</t>
  </si>
  <si>
    <t>ORD-2025-0381</t>
  </si>
  <si>
    <t>ORD-2025-0382</t>
  </si>
  <si>
    <t>ORD-2025-0383</t>
  </si>
  <si>
    <t>ORD-2025-0384</t>
  </si>
  <si>
    <t>ORD-2025-0385</t>
  </si>
  <si>
    <t>ORD-2025-0386</t>
  </si>
  <si>
    <t>ORD-2025-0387</t>
  </si>
  <si>
    <t>ORD-2025-0388</t>
  </si>
  <si>
    <t>ORD-2025-0389</t>
  </si>
  <si>
    <t>ORD-2025-0390</t>
  </si>
  <si>
    <t>ORD-2025-0391</t>
  </si>
  <si>
    <t>ORD-2025-0392</t>
  </si>
  <si>
    <t>ORD-2025-0393</t>
  </si>
  <si>
    <t>ORD-2025-0394</t>
  </si>
  <si>
    <t>ORD-2025-0395</t>
  </si>
  <si>
    <t>ORD-2025-0396</t>
  </si>
  <si>
    <t>ORD-2025-0397</t>
  </si>
  <si>
    <t>ORD-2025-0398</t>
  </si>
  <si>
    <t>ORD-2025-0399</t>
  </si>
  <si>
    <t>ORD-2025-0400</t>
  </si>
  <si>
    <t>ORD-2025-0401</t>
  </si>
  <si>
    <t>ORD-2025-0402</t>
  </si>
  <si>
    <t>ORD-2025-0403</t>
  </si>
  <si>
    <t>ORD-2025-0404</t>
  </si>
  <si>
    <t>ORD-2025-0405</t>
  </si>
  <si>
    <t>ORD-2025-0406</t>
  </si>
  <si>
    <t>ORD-2025-0407</t>
  </si>
  <si>
    <t>ORD-2025-0408</t>
  </si>
  <si>
    <t>ORD-2025-0409</t>
  </si>
  <si>
    <t>ORD-2025-0410</t>
  </si>
  <si>
    <t>ORD-2025-0411</t>
  </si>
  <si>
    <t>ORD-2025-0412</t>
  </si>
  <si>
    <t>ORD-2025-0413</t>
  </si>
  <si>
    <t>ORD-2025-0414</t>
  </si>
  <si>
    <t>ORD-2025-0415</t>
  </si>
  <si>
    <t>ORD-2025-0416</t>
  </si>
  <si>
    <t>ORD-2025-0417</t>
  </si>
  <si>
    <t>ORD-2025-0418</t>
  </si>
  <si>
    <t>ORD-2025-0419</t>
  </si>
  <si>
    <t>ORD-2025-0420</t>
  </si>
  <si>
    <t>ORD-2025-0421</t>
  </si>
  <si>
    <t>ORD-2025-0422</t>
  </si>
  <si>
    <t>ORD-2025-0423</t>
  </si>
  <si>
    <t>ORD-2025-0424</t>
  </si>
  <si>
    <t>ORD-2025-0425</t>
  </si>
  <si>
    <t>ORD-2025-0426</t>
  </si>
  <si>
    <t>ORD-2025-0427</t>
  </si>
  <si>
    <t>ORD-2025-0428</t>
  </si>
  <si>
    <t>ORD-2025-0429</t>
  </si>
  <si>
    <t>ORD-2025-0430</t>
  </si>
  <si>
    <t>ORD-2025-0431</t>
  </si>
  <si>
    <t>ORD-2025-0432</t>
  </si>
  <si>
    <t>ORD-2025-0433</t>
  </si>
  <si>
    <t>ORD-2025-0434</t>
  </si>
  <si>
    <t>ORD-2025-0435</t>
  </si>
  <si>
    <t>ORD-2025-0436</t>
  </si>
  <si>
    <t>ORD-2025-0437</t>
  </si>
  <si>
    <t>ORD-2025-0438</t>
  </si>
  <si>
    <t>ORD-2025-0439</t>
  </si>
  <si>
    <t>ORD-2025-0440</t>
  </si>
  <si>
    <t>ORD-2025-0441</t>
  </si>
  <si>
    <t>ORD-2025-0442</t>
  </si>
  <si>
    <t>ORD-2025-0443</t>
  </si>
  <si>
    <t>ORD-2025-0444</t>
  </si>
  <si>
    <t>ORD-2025-0445</t>
  </si>
  <si>
    <t>ORD-2025-0446</t>
  </si>
  <si>
    <t>ORD-2025-0447</t>
  </si>
  <si>
    <t>ORD-2025-0448</t>
  </si>
  <si>
    <t>ORD-2025-0449</t>
  </si>
  <si>
    <t>ORD-2025-0450</t>
  </si>
  <si>
    <t>ORD-2025-0451</t>
  </si>
  <si>
    <t>ORD-2025-0452</t>
  </si>
  <si>
    <t>ORD-2025-0453</t>
  </si>
  <si>
    <t>ORD-2025-0454</t>
  </si>
  <si>
    <t>ORD-2025-0455</t>
  </si>
  <si>
    <t>ORD-2025-0456</t>
  </si>
  <si>
    <t>ORD-2025-0457</t>
  </si>
  <si>
    <t>ORD-2025-0458</t>
  </si>
  <si>
    <t>ORD-2025-0459</t>
  </si>
  <si>
    <t>ORD-2025-0460</t>
  </si>
  <si>
    <t>ORD-2025-0461</t>
  </si>
  <si>
    <t>ORD-2025-0462</t>
  </si>
  <si>
    <t>ORD-2025-0463</t>
  </si>
  <si>
    <t>ORD-2025-0464</t>
  </si>
  <si>
    <t>ORD-2025-0465</t>
  </si>
  <si>
    <t>ORD-2025-0466</t>
  </si>
  <si>
    <t>ORD-2025-0467</t>
  </si>
  <si>
    <t>ORD-2025-0468</t>
  </si>
  <si>
    <t>ORD-2025-0469</t>
  </si>
  <si>
    <t>ORD-2025-0470</t>
  </si>
  <si>
    <t>ORD-2025-0471</t>
  </si>
  <si>
    <t>ORD-2025-0472</t>
  </si>
  <si>
    <t>ORD-2025-0473</t>
  </si>
  <si>
    <t>ORD-2025-0474</t>
  </si>
  <si>
    <t>ORD-2025-0475</t>
  </si>
  <si>
    <t>ORD-2025-0476</t>
  </si>
  <si>
    <t>ORD-2025-0477</t>
  </si>
  <si>
    <t>ORD-2025-0478</t>
  </si>
  <si>
    <t>ORD-2025-0479</t>
  </si>
  <si>
    <t>ORD-2025-0480</t>
  </si>
  <si>
    <t>ORD-2025-0481</t>
  </si>
  <si>
    <t>ORD-2025-0482</t>
  </si>
  <si>
    <t>ORD-2025-0483</t>
  </si>
  <si>
    <t>ORD-2025-0484</t>
  </si>
  <si>
    <t>ORD-2025-0485</t>
  </si>
  <si>
    <t>ORD-2025-0486</t>
  </si>
  <si>
    <t>ORD-2025-0487</t>
  </si>
  <si>
    <t>ORD-2025-0488</t>
  </si>
  <si>
    <t>ORD-2025-0489</t>
  </si>
  <si>
    <t>ORD-2025-0490</t>
  </si>
  <si>
    <t>ORD-2025-0491</t>
  </si>
  <si>
    <t>ORD-2025-0492</t>
  </si>
  <si>
    <t>ORD-2025-0493</t>
  </si>
  <si>
    <t>ORD-2025-0494</t>
  </si>
  <si>
    <t>ORD-2025-0495</t>
  </si>
  <si>
    <t>ORD-2025-0496</t>
  </si>
  <si>
    <t>ORD-2025-0497</t>
  </si>
  <si>
    <t>ORD-2025-0498</t>
  </si>
  <si>
    <t>ORD-2025-0499</t>
  </si>
  <si>
    <t>ORD-2025-0500</t>
  </si>
  <si>
    <t>ORD-2025-0501</t>
  </si>
  <si>
    <t>ORD-2025-0502</t>
  </si>
  <si>
    <t>ORD-2025-0503</t>
  </si>
  <si>
    <t>ORD-2025-0504</t>
  </si>
  <si>
    <t>ORD-2025-0505</t>
  </si>
  <si>
    <t>ORD-2025-0506</t>
  </si>
  <si>
    <t>ORD-2025-0507</t>
  </si>
  <si>
    <t>ORD-2025-0508</t>
  </si>
  <si>
    <t>ORD-2025-0509</t>
  </si>
  <si>
    <t>ORD-2025-0510</t>
  </si>
  <si>
    <t>ORD-2025-0511</t>
  </si>
  <si>
    <t>ORD-2025-0512</t>
  </si>
  <si>
    <t>ORD-2025-0513</t>
  </si>
  <si>
    <t>ORD-2025-0514</t>
  </si>
  <si>
    <t>ORD-2025-0515</t>
  </si>
  <si>
    <t>ORD-2025-0516</t>
  </si>
  <si>
    <t>ORD-2025-0517</t>
  </si>
  <si>
    <t>ORD-2025-0518</t>
  </si>
  <si>
    <t>ORD-2025-0519</t>
  </si>
  <si>
    <t>ORD-2025-0520</t>
  </si>
  <si>
    <t>ORD-2025-0521</t>
  </si>
  <si>
    <t>ORD-2025-0522</t>
  </si>
  <si>
    <t>ORD-2025-0523</t>
  </si>
  <si>
    <t>ORD-2025-0524</t>
  </si>
  <si>
    <t>ORD-2025-0525</t>
  </si>
  <si>
    <t>ORD-2025-0526</t>
  </si>
  <si>
    <t>ORD-2025-0527</t>
  </si>
  <si>
    <t>ORD-2025-0528</t>
  </si>
  <si>
    <t>ORD-2025-0529</t>
  </si>
  <si>
    <t>ORD-2025-0530</t>
  </si>
  <si>
    <t>ORD-2025-0531</t>
  </si>
  <si>
    <t>ORD-2025-0532</t>
  </si>
  <si>
    <t>ORD-2025-0533</t>
  </si>
  <si>
    <t>ORD-2025-0534</t>
  </si>
  <si>
    <t>ORD-2025-0535</t>
  </si>
  <si>
    <t>ORD-2025-0536</t>
  </si>
  <si>
    <t>ORD-2025-0537</t>
  </si>
  <si>
    <t>ORD-2025-0538</t>
  </si>
  <si>
    <t>ORD-2025-0539</t>
  </si>
  <si>
    <t>ORD-2025-0540</t>
  </si>
  <si>
    <t>ORD-2025-0541</t>
  </si>
  <si>
    <t>ORD-2025-0542</t>
  </si>
  <si>
    <t>ORD-2025-0543</t>
  </si>
  <si>
    <t>ORD-2025-0544</t>
  </si>
  <si>
    <t>ORD-2025-0545</t>
  </si>
  <si>
    <t>ORD-2025-0546</t>
  </si>
  <si>
    <t>ORD-2025-0547</t>
  </si>
  <si>
    <t>ORD-2025-0548</t>
  </si>
  <si>
    <t>ORD-2025-0549</t>
  </si>
  <si>
    <t>ORD-2025-0550</t>
  </si>
  <si>
    <t>ORD-2025-0551</t>
  </si>
  <si>
    <t>ORD-2025-0552</t>
  </si>
  <si>
    <t>ORD-2025-0553</t>
  </si>
  <si>
    <t>ORD-2025-0554</t>
  </si>
  <si>
    <t>ORD-2025-0555</t>
  </si>
  <si>
    <t>ORD-2025-0556</t>
  </si>
  <si>
    <t>ORD-2025-0557</t>
  </si>
  <si>
    <t>ORD-2025-0558</t>
  </si>
  <si>
    <t>ORD-2025-0559</t>
  </si>
  <si>
    <t>ORD-2025-0560</t>
  </si>
  <si>
    <t>ORD-2025-0561</t>
  </si>
  <si>
    <t>ORD-2025-0562</t>
  </si>
  <si>
    <t>ORD-2025-0563</t>
  </si>
  <si>
    <t>ORD-2025-0564</t>
  </si>
  <si>
    <t>ORD-2025-0565</t>
  </si>
  <si>
    <t>ORD-2025-0566</t>
  </si>
  <si>
    <t>ORD-2025-0567</t>
  </si>
  <si>
    <t>ORD-2025-0568</t>
  </si>
  <si>
    <t>ORD-2025-0569</t>
  </si>
  <si>
    <t>ORD-2025-0570</t>
  </si>
  <si>
    <t>ORD-2025-0571</t>
  </si>
  <si>
    <t>ORD-2025-0572</t>
  </si>
  <si>
    <t>ORD-2025-0573</t>
  </si>
  <si>
    <t>ORD-2025-0574</t>
  </si>
  <si>
    <t>ORD-2025-0575</t>
  </si>
  <si>
    <t>ORD-2025-0576</t>
  </si>
  <si>
    <t>ORD-2025-0577</t>
  </si>
  <si>
    <t>ORD-2025-0578</t>
  </si>
  <si>
    <t>ORD-2025-0579</t>
  </si>
  <si>
    <t>ORD-2025-0580</t>
  </si>
  <si>
    <t>ORD-2025-0581</t>
  </si>
  <si>
    <t>ORD-2025-0582</t>
  </si>
  <si>
    <t>ORD-2025-0583</t>
  </si>
  <si>
    <t>ORD-2025-0584</t>
  </si>
  <si>
    <t>ORD-2025-0585</t>
  </si>
  <si>
    <t>ORD-2025-0586</t>
  </si>
  <si>
    <t>ORD-2025-0587</t>
  </si>
  <si>
    <t>ORD-2025-0588</t>
  </si>
  <si>
    <t>ORD-2025-0589</t>
  </si>
  <si>
    <t>ORD-2025-0590</t>
  </si>
  <si>
    <t>ORD-2025-0591</t>
  </si>
  <si>
    <t>ORD-2025-0592</t>
  </si>
  <si>
    <t>ORD-2025-0593</t>
  </si>
  <si>
    <t>ORD-2025-0594</t>
  </si>
  <si>
    <t>ORD-2025-0595</t>
  </si>
  <si>
    <t>ORD-2025-0596</t>
  </si>
  <si>
    <t>ORD-2025-0597</t>
  </si>
  <si>
    <t>ORD-2025-0598</t>
  </si>
  <si>
    <t>ORD-2025-0599</t>
  </si>
  <si>
    <t>ORD-2025-0600</t>
  </si>
  <si>
    <t>ORD-2025-0601</t>
  </si>
  <si>
    <t>ORD-2025-0602</t>
  </si>
  <si>
    <t>ORD-2025-0603</t>
  </si>
  <si>
    <t>ORD-2025-0604</t>
  </si>
  <si>
    <t>ORD-2025-0605</t>
  </si>
  <si>
    <t>ORD-2025-0606</t>
  </si>
  <si>
    <t>ORD-2025-0607</t>
  </si>
  <si>
    <t>ORD-2025-0608</t>
  </si>
  <si>
    <t>ORD-2025-0609</t>
  </si>
  <si>
    <t>ORD-2025-0610</t>
  </si>
  <si>
    <t>ORD-2025-0611</t>
  </si>
  <si>
    <t>ORD-2025-0612</t>
  </si>
  <si>
    <t>ORD-2025-0613</t>
  </si>
  <si>
    <t>ORD-2025-0614</t>
  </si>
  <si>
    <t>ORD-2025-0615</t>
  </si>
  <si>
    <t>ORD-2025-0616</t>
  </si>
  <si>
    <t>ORD-2025-0617</t>
  </si>
  <si>
    <t>ORD-2025-0618</t>
  </si>
  <si>
    <t>ORD-2025-0619</t>
  </si>
  <si>
    <t>ORD-2025-0620</t>
  </si>
  <si>
    <t>ORD-2025-0621</t>
  </si>
  <si>
    <t>ORD-2025-0622</t>
  </si>
  <si>
    <t>ORD-2025-0623</t>
  </si>
  <si>
    <t>ORD-2025-0624</t>
  </si>
  <si>
    <t>ORD-2025-0625</t>
  </si>
  <si>
    <t>ORD-2025-0626</t>
  </si>
  <si>
    <t>ORD-2025-0627</t>
  </si>
  <si>
    <t>ORD-2025-0628</t>
  </si>
  <si>
    <t>ORD-2025-0629</t>
  </si>
  <si>
    <t>ORD-2025-0630</t>
  </si>
  <si>
    <t>ORD-2025-0631</t>
  </si>
  <si>
    <t>ORD-2025-0632</t>
  </si>
  <si>
    <t>ORD-2025-0633</t>
  </si>
  <si>
    <t>ORD-2025-0634</t>
  </si>
  <si>
    <t>ORD-2025-0635</t>
  </si>
  <si>
    <t>ORD-2025-0636</t>
  </si>
  <si>
    <t>ORD-2025-0637</t>
  </si>
  <si>
    <t>ORD-2025-0638</t>
  </si>
  <si>
    <t>ORD-2025-0639</t>
  </si>
  <si>
    <t>ORD-2025-0640</t>
  </si>
  <si>
    <t>ORD-2025-0641</t>
  </si>
  <si>
    <t>ORD-2025-0642</t>
  </si>
  <si>
    <t>ORD-2025-0643</t>
  </si>
  <si>
    <t>ORD-2025-0644</t>
  </si>
  <si>
    <t>ORD-2025-0645</t>
  </si>
  <si>
    <t>ORD-2025-0646</t>
  </si>
  <si>
    <t>ORD-2025-0647</t>
  </si>
  <si>
    <t>ORD-2025-0648</t>
  </si>
  <si>
    <t>ORD-2025-0649</t>
  </si>
  <si>
    <t>ORD-2025-0650</t>
  </si>
  <si>
    <t>ORD-2025-0651</t>
  </si>
  <si>
    <t>ORD-2025-0652</t>
  </si>
  <si>
    <t>ORD-2025-0653</t>
  </si>
  <si>
    <t>ORD-2025-0654</t>
  </si>
  <si>
    <t>ORD-2025-0655</t>
  </si>
  <si>
    <t>ORD-2025-0656</t>
  </si>
  <si>
    <t>ORD-2025-0657</t>
  </si>
  <si>
    <t>ORD-2025-0658</t>
  </si>
  <si>
    <t>ORD-2025-0659</t>
  </si>
  <si>
    <t>ORD-2025-0660</t>
  </si>
  <si>
    <t>ORD-2025-0661</t>
  </si>
  <si>
    <t>ORD-2025-0662</t>
  </si>
  <si>
    <t>ORD-2025-0663</t>
  </si>
  <si>
    <t>ORD-2025-0664</t>
  </si>
  <si>
    <t>ORD-2025-0665</t>
  </si>
  <si>
    <t>ORD-2025-0666</t>
  </si>
  <si>
    <t>ORD-2025-0667</t>
  </si>
  <si>
    <t>ORD-2025-0668</t>
  </si>
  <si>
    <t>ORD-2025-0669</t>
  </si>
  <si>
    <t>ORD-2025-0670</t>
  </si>
  <si>
    <t>ORD-2025-0671</t>
  </si>
  <si>
    <t>ORD-2025-0672</t>
  </si>
  <si>
    <t>ORD-2025-0673</t>
  </si>
  <si>
    <t>ORD-2025-0674</t>
  </si>
  <si>
    <t>ORD-2025-0675</t>
  </si>
  <si>
    <t>ORD-2025-0676</t>
  </si>
  <si>
    <t>ORD-2025-0677</t>
  </si>
  <si>
    <t>ORD-2025-0678</t>
  </si>
  <si>
    <t>ORD-2025-0679</t>
  </si>
  <si>
    <t>ORD-2025-0680</t>
  </si>
  <si>
    <t>ORD-2025-0681</t>
  </si>
  <si>
    <t>ORD-2025-0682</t>
  </si>
  <si>
    <t>ORD-2025-0683</t>
  </si>
  <si>
    <t>ORD-2025-0684</t>
  </si>
  <si>
    <t>ORD-2025-0685</t>
  </si>
  <si>
    <t>ORD-2025-0686</t>
  </si>
  <si>
    <t>ORD-2025-0687</t>
  </si>
  <si>
    <t>ORD-2025-0688</t>
  </si>
  <si>
    <t>ORD-2025-0689</t>
  </si>
  <si>
    <t>ORD-2025-0690</t>
  </si>
  <si>
    <t>ORD-2025-0691</t>
  </si>
  <si>
    <t>ORD-2025-0692</t>
  </si>
  <si>
    <t>ORD-2025-0693</t>
  </si>
  <si>
    <t>ORD-2025-0694</t>
  </si>
  <si>
    <t>ORD-2025-0695</t>
  </si>
  <si>
    <t>ORD-2025-0696</t>
  </si>
  <si>
    <t>ORD-2025-0697</t>
  </si>
  <si>
    <t>ORD-2025-0698</t>
  </si>
  <si>
    <t>ORD-2025-0699</t>
  </si>
  <si>
    <t>ORD-2025-0700</t>
  </si>
  <si>
    <t>ORD-2025-0701</t>
  </si>
  <si>
    <t>ORD-2025-0702</t>
  </si>
  <si>
    <t>ORD-2025-0703</t>
  </si>
  <si>
    <t>ORD-2025-0704</t>
  </si>
  <si>
    <t>ORD-2025-0705</t>
  </si>
  <si>
    <t>ORD-2025-0706</t>
  </si>
  <si>
    <t>ORD-2025-0707</t>
  </si>
  <si>
    <t>ORD-2025-0708</t>
  </si>
  <si>
    <t>ORD-2025-0709</t>
  </si>
  <si>
    <t>ORD-2025-0710</t>
  </si>
  <si>
    <t>ORD-2025-0711</t>
  </si>
  <si>
    <t>ORD-2025-0712</t>
  </si>
  <si>
    <t>ORD-2025-0713</t>
  </si>
  <si>
    <t>ORD-2025-0714</t>
  </si>
  <si>
    <t>ORD-2025-0715</t>
  </si>
  <si>
    <t>ORD-2025-0716</t>
  </si>
  <si>
    <t>ORD-2025-0717</t>
  </si>
  <si>
    <t>ORD-2025-0718</t>
  </si>
  <si>
    <t>ORD-2025-0719</t>
  </si>
  <si>
    <t>ORD-2025-0720</t>
  </si>
  <si>
    <t>ORD-2025-0721</t>
  </si>
  <si>
    <t>ORD-2025-0722</t>
  </si>
  <si>
    <t>ORD-2025-0723</t>
  </si>
  <si>
    <t>ORD-2025-0724</t>
  </si>
  <si>
    <t>ORD-2025-0725</t>
  </si>
  <si>
    <t>ORD-2025-0726</t>
  </si>
  <si>
    <t>ORD-2025-0727</t>
  </si>
  <si>
    <t>ORD-2025-0728</t>
  </si>
  <si>
    <t>ORD-2025-0729</t>
  </si>
  <si>
    <t>ORD-2025-0730</t>
  </si>
  <si>
    <t>ORD-2025-0731</t>
  </si>
  <si>
    <t>ORD-2025-0732</t>
  </si>
  <si>
    <t>ORD-2025-0733</t>
  </si>
  <si>
    <t>ORD-2025-0734</t>
  </si>
  <si>
    <t>ORD-2025-0735</t>
  </si>
  <si>
    <t>ORD-2025-0736</t>
  </si>
  <si>
    <t>ORD-2025-0737</t>
  </si>
  <si>
    <t>ORD-2025-0738</t>
  </si>
  <si>
    <t>ORD-2025-0739</t>
  </si>
  <si>
    <t>ORD-2025-0740</t>
  </si>
  <si>
    <t>ORD-2025-0741</t>
  </si>
  <si>
    <t>ORD-2025-0742</t>
  </si>
  <si>
    <t>ORD-2025-0743</t>
  </si>
  <si>
    <t>ORD-2025-0744</t>
  </si>
  <si>
    <t>ORD-2025-0745</t>
  </si>
  <si>
    <t>ORD-2025-0746</t>
  </si>
  <si>
    <t>ORD-2025-0747</t>
  </si>
  <si>
    <t>ORD-2025-0748</t>
  </si>
  <si>
    <t>ORD-2025-0749</t>
  </si>
  <si>
    <t>ORD-2025-0750</t>
  </si>
  <si>
    <t>ORD-2025-0751</t>
  </si>
  <si>
    <t>ORD-2025-0752</t>
  </si>
  <si>
    <t>ORD-2025-0753</t>
  </si>
  <si>
    <t>ORD-2025-0754</t>
  </si>
  <si>
    <t>ORD-2025-0755</t>
  </si>
  <si>
    <t>ORD-2025-0756</t>
  </si>
  <si>
    <t>ORD-2025-0757</t>
  </si>
  <si>
    <t>ORD-2025-0758</t>
  </si>
  <si>
    <t>ORD-2025-0759</t>
  </si>
  <si>
    <t>ORD-2025-0760</t>
  </si>
  <si>
    <t>ORD-2025-0761</t>
  </si>
  <si>
    <t>ORD-2025-0762</t>
  </si>
  <si>
    <t>ORD-2025-0763</t>
  </si>
  <si>
    <t>ORD-2025-0764</t>
  </si>
  <si>
    <t>ORD-2025-0765</t>
  </si>
  <si>
    <t>ORD-2025-0766</t>
  </si>
  <si>
    <t>ORD-2025-0767</t>
  </si>
  <si>
    <t>ORD-2025-0768</t>
  </si>
  <si>
    <t>ORD-2025-0769</t>
  </si>
  <si>
    <t>ORD-2025-0770</t>
  </si>
  <si>
    <t>ORD-2025-0771</t>
  </si>
  <si>
    <t>ORD-2025-0772</t>
  </si>
  <si>
    <t>ORD-2025-0773</t>
  </si>
  <si>
    <t>ORD-2025-0774</t>
  </si>
  <si>
    <t>ORD-2025-0775</t>
  </si>
  <si>
    <t>ORD-2025-0776</t>
  </si>
  <si>
    <t>ORD-2025-0777</t>
  </si>
  <si>
    <t>ORD-2025-0778</t>
  </si>
  <si>
    <t>ORD-2025-0779</t>
  </si>
  <si>
    <t>ORD-2025-0780</t>
  </si>
  <si>
    <t>ORD-2025-0781</t>
  </si>
  <si>
    <t>ORD-2025-0782</t>
  </si>
  <si>
    <t>ORD-2025-0783</t>
  </si>
  <si>
    <t>ORD-2025-0784</t>
  </si>
  <si>
    <t>ORD-2025-0785</t>
  </si>
  <si>
    <t>ORD-2025-0786</t>
  </si>
  <si>
    <t>ORD-2025-0787</t>
  </si>
  <si>
    <t>ORD-2025-0788</t>
  </si>
  <si>
    <t>ORD-2025-0789</t>
  </si>
  <si>
    <t>ORD-2025-0790</t>
  </si>
  <si>
    <t>ORD-2025-0791</t>
  </si>
  <si>
    <t>ORD-2025-0792</t>
  </si>
  <si>
    <t>ORD-2025-0793</t>
  </si>
  <si>
    <t>ORD-2025-0794</t>
  </si>
  <si>
    <t>ORD-2025-0795</t>
  </si>
  <si>
    <t>ORD-2025-0796</t>
  </si>
  <si>
    <t>ORD-2025-0797</t>
  </si>
  <si>
    <t>ORD-2025-0798</t>
  </si>
  <si>
    <t>ORD-2025-0799</t>
  </si>
  <si>
    <t>ORD-2025-0800</t>
  </si>
  <si>
    <t>ORD-2025-0801</t>
  </si>
  <si>
    <t>ORD-2025-0802</t>
  </si>
  <si>
    <t>ORD-2025-0803</t>
  </si>
  <si>
    <t>ORD-2025-0804</t>
  </si>
  <si>
    <t>ORD-2025-0805</t>
  </si>
  <si>
    <t>ORD-2025-0806</t>
  </si>
  <si>
    <t>ORD-2025-0807</t>
  </si>
  <si>
    <t>ORD-2025-0808</t>
  </si>
  <si>
    <t>ORD-2025-0809</t>
  </si>
  <si>
    <t>ORD-2025-0810</t>
  </si>
  <si>
    <t>ORD-2025-0811</t>
  </si>
  <si>
    <t>ORD-2025-0812</t>
  </si>
  <si>
    <t>ORD-2025-0813</t>
  </si>
  <si>
    <t>ORD-2025-0814</t>
  </si>
  <si>
    <t>ORD-2025-0815</t>
  </si>
  <si>
    <t>ORD-2025-0816</t>
  </si>
  <si>
    <t>ORD-2025-0817</t>
  </si>
  <si>
    <t>ORD-2025-0818</t>
  </si>
  <si>
    <t>ORD-2025-0819</t>
  </si>
  <si>
    <t>ORD-2025-0820</t>
  </si>
  <si>
    <t>ORD-2025-0821</t>
  </si>
  <si>
    <t>ORD-2025-0822</t>
  </si>
  <si>
    <t>ORD-2025-0823</t>
  </si>
  <si>
    <t>ORD-2025-0824</t>
  </si>
  <si>
    <t>ORD-2025-0825</t>
  </si>
  <si>
    <t>ORD-2025-0826</t>
  </si>
  <si>
    <t>ORD-2025-0827</t>
  </si>
  <si>
    <t>ORD-2025-0828</t>
  </si>
  <si>
    <t>ORD-2025-0829</t>
  </si>
  <si>
    <t>ORD-2025-0830</t>
  </si>
  <si>
    <t>ORD-2025-0831</t>
  </si>
  <si>
    <t>ORD-2025-0832</t>
  </si>
  <si>
    <t>ORD-2025-0833</t>
  </si>
  <si>
    <t>ORD-2025-0834</t>
  </si>
  <si>
    <t>ORD-2025-0835</t>
  </si>
  <si>
    <t>ORD-2025-0836</t>
  </si>
  <si>
    <t>ORD-2025-0837</t>
  </si>
  <si>
    <t>ORD-2025-0838</t>
  </si>
  <si>
    <t>ORD-2025-0839</t>
  </si>
  <si>
    <t>ORD-2025-0840</t>
  </si>
  <si>
    <t>ORD-2025-0841</t>
  </si>
  <si>
    <t>ORD-2025-0842</t>
  </si>
  <si>
    <t>ORD-2025-0843</t>
  </si>
  <si>
    <t>ORD-2025-0844</t>
  </si>
  <si>
    <t>ORD-2025-0845</t>
  </si>
  <si>
    <t>ORD-2025-0846</t>
  </si>
  <si>
    <t>ORD-2025-0847</t>
  </si>
  <si>
    <t>ORD-2025-0848</t>
  </si>
  <si>
    <t>ORD-2025-0849</t>
  </si>
  <si>
    <t>ORD-2025-0850</t>
  </si>
  <si>
    <t>ORD-2025-0851</t>
  </si>
  <si>
    <t>ORD-2025-0852</t>
  </si>
  <si>
    <t>ORD-2025-0853</t>
  </si>
  <si>
    <t>ORD-2025-0854</t>
  </si>
  <si>
    <t>ORD-2025-0855</t>
  </si>
  <si>
    <t>ORD-2025-0856</t>
  </si>
  <si>
    <t>ORD-2025-0857</t>
  </si>
  <si>
    <t>ORD-2025-0858</t>
  </si>
  <si>
    <t>ORD-2025-0859</t>
  </si>
  <si>
    <t>ORD-2025-0860</t>
  </si>
  <si>
    <t>ORD-2025-0861</t>
  </si>
  <si>
    <t>ORD-2025-0862</t>
  </si>
  <si>
    <t>ORD-2025-0863</t>
  </si>
  <si>
    <t>ORD-2025-0864</t>
  </si>
  <si>
    <t>ORD-2025-0865</t>
  </si>
  <si>
    <t>ORD-2025-0866</t>
  </si>
  <si>
    <t>ORD-2025-0867</t>
  </si>
  <si>
    <t>ORD-2025-0868</t>
  </si>
  <si>
    <t>ORD-2025-0869</t>
  </si>
  <si>
    <t>ORD-2025-0870</t>
  </si>
  <si>
    <t>ORD-2025-0871</t>
  </si>
  <si>
    <t>ORD-2025-0872</t>
  </si>
  <si>
    <t>ORD-2025-0873</t>
  </si>
  <si>
    <t>ORD-2025-0874</t>
  </si>
  <si>
    <t>ORD-2025-0875</t>
  </si>
  <si>
    <t>ORD-2025-0876</t>
  </si>
  <si>
    <t>ORD-2025-0877</t>
  </si>
  <si>
    <t>ORD-2025-0878</t>
  </si>
  <si>
    <t>ORD-2025-0879</t>
  </si>
  <si>
    <t>ORD-2025-0880</t>
  </si>
  <si>
    <t>ORD-2025-0881</t>
  </si>
  <si>
    <t>ORD-2025-0882</t>
  </si>
  <si>
    <t>ORD-2025-0883</t>
  </si>
  <si>
    <t>ORD-2025-0884</t>
  </si>
  <si>
    <t>ORD-2025-0885</t>
  </si>
  <si>
    <t>ORD-2025-0886</t>
  </si>
  <si>
    <t>ORD-2025-0887</t>
  </si>
  <si>
    <t>ORD-2025-0888</t>
  </si>
  <si>
    <t>ORD-2025-0889</t>
  </si>
  <si>
    <t>ORD-2025-0890</t>
  </si>
  <si>
    <t>ORD-2025-0891</t>
  </si>
  <si>
    <t>ORD-2025-0892</t>
  </si>
  <si>
    <t>ORD-2025-0893</t>
  </si>
  <si>
    <t>ORD-2025-0894</t>
  </si>
  <si>
    <t>ORD-2025-0895</t>
  </si>
  <si>
    <t>ORD-2025-0896</t>
  </si>
  <si>
    <t>ORD-2025-0897</t>
  </si>
  <si>
    <t>ORD-2025-0898</t>
  </si>
  <si>
    <t>ORD-2025-0899</t>
  </si>
  <si>
    <t>ORD-2025-0900</t>
  </si>
  <si>
    <t>ORD-2025-0901</t>
  </si>
  <si>
    <t>ORD-2025-0902</t>
  </si>
  <si>
    <t>ORD-2025-0903</t>
  </si>
  <si>
    <t>ORD-2025-0904</t>
  </si>
  <si>
    <t>ORD-2025-0905</t>
  </si>
  <si>
    <t>ORD-2025-0906</t>
  </si>
  <si>
    <t>ORD-2025-0907</t>
  </si>
  <si>
    <t>ORD-2025-0908</t>
  </si>
  <si>
    <t>ORD-2025-0909</t>
  </si>
  <si>
    <t>ORD-2025-0910</t>
  </si>
  <si>
    <t>ORD-2025-0911</t>
  </si>
  <si>
    <t>ORD-2025-0912</t>
  </si>
  <si>
    <t>ORD-2025-0913</t>
  </si>
  <si>
    <t>ORD-2025-0914</t>
  </si>
  <si>
    <t>ORD-2025-0915</t>
  </si>
  <si>
    <t>ORD-2025-0916</t>
  </si>
  <si>
    <t>ORD-2025-0917</t>
  </si>
  <si>
    <t>ORD-2025-0918</t>
  </si>
  <si>
    <t>ORD-2025-0919</t>
  </si>
  <si>
    <t>ORD-2025-0920</t>
  </si>
  <si>
    <t>ORD-2025-0921</t>
  </si>
  <si>
    <t>ORD-2025-0922</t>
  </si>
  <si>
    <t>ORD-2025-0923</t>
  </si>
  <si>
    <t>ORD-2025-0924</t>
  </si>
  <si>
    <t>ORD-2025-0925</t>
  </si>
  <si>
    <t>ORD-2025-0926</t>
  </si>
  <si>
    <t>ORD-2025-0927</t>
  </si>
  <si>
    <t>ORD-2025-0928</t>
  </si>
  <si>
    <t>ORD-2025-0929</t>
  </si>
  <si>
    <t>ORD-2025-0930</t>
  </si>
  <si>
    <t>ORD-2025-0931</t>
  </si>
  <si>
    <t>ORD-2025-0932</t>
  </si>
  <si>
    <t>ORD-2025-0933</t>
  </si>
  <si>
    <t>ORD-2025-0934</t>
  </si>
  <si>
    <t>ORD-2025-0935</t>
  </si>
  <si>
    <t>ORD-2025-0936</t>
  </si>
  <si>
    <t>ORD-2025-0937</t>
  </si>
  <si>
    <t>ORD-2025-0938</t>
  </si>
  <si>
    <t>ORD-2025-0939</t>
  </si>
  <si>
    <t>ORD-2025-0940</t>
  </si>
  <si>
    <t>ORD-2025-0941</t>
  </si>
  <si>
    <t>ORD-2025-0942</t>
  </si>
  <si>
    <t>ORD-2025-0943</t>
  </si>
  <si>
    <t>ORD-2025-0944</t>
  </si>
  <si>
    <t>ORD-2025-0945</t>
  </si>
  <si>
    <t>ORD-2025-0946</t>
  </si>
  <si>
    <t>ORD-2025-0947</t>
  </si>
  <si>
    <t>ORD-2025-0948</t>
  </si>
  <si>
    <t>ORD-2025-0949</t>
  </si>
  <si>
    <t>ORD-2025-0950</t>
  </si>
  <si>
    <t>ORD-2025-0951</t>
  </si>
  <si>
    <t>ORD-2025-0952</t>
  </si>
  <si>
    <t>ORD-2025-0953</t>
  </si>
  <si>
    <t>ORD-2025-0954</t>
  </si>
  <si>
    <t>ORD-2025-0955</t>
  </si>
  <si>
    <t>ORD-2025-0956</t>
  </si>
  <si>
    <t>ORD-2025-0957</t>
  </si>
  <si>
    <t>ORD-2025-0958</t>
  </si>
  <si>
    <t>ORD-2025-0959</t>
  </si>
  <si>
    <t>ORD-2025-0960</t>
  </si>
  <si>
    <t>ORD-2025-0961</t>
  </si>
  <si>
    <t>ORD-2025-0962</t>
  </si>
  <si>
    <t>ORD-2025-0963</t>
  </si>
  <si>
    <t>ORD-2025-0964</t>
  </si>
  <si>
    <t>ORD-2025-0965</t>
  </si>
  <si>
    <t>ORD-2025-0966</t>
  </si>
  <si>
    <t>ORD-2025-0967</t>
  </si>
  <si>
    <t>ORD-2025-0968</t>
  </si>
  <si>
    <t>ORD-2025-0969</t>
  </si>
  <si>
    <t>ORD-2025-0970</t>
  </si>
  <si>
    <t>ORD-2025-0971</t>
  </si>
  <si>
    <t>ORD-2025-0972</t>
  </si>
  <si>
    <t>ORD-2025-0973</t>
  </si>
  <si>
    <t>ORD-2025-0974</t>
  </si>
  <si>
    <t>ORD-2025-0975</t>
  </si>
  <si>
    <t>ORD-2025-0976</t>
  </si>
  <si>
    <t>ORD-2025-0977</t>
  </si>
  <si>
    <t>ORD-2025-0978</t>
  </si>
  <si>
    <t>ORD-2025-0979</t>
  </si>
  <si>
    <t>ORD-2025-0980</t>
  </si>
  <si>
    <t>ORD-2025-0981</t>
  </si>
  <si>
    <t>ORD-2025-0982</t>
  </si>
  <si>
    <t>ORD-2025-0983</t>
  </si>
  <si>
    <t>ORD-2025-0984</t>
  </si>
  <si>
    <t>ORD-2025-0985</t>
  </si>
  <si>
    <t>ORD-2025-0986</t>
  </si>
  <si>
    <t>ORD-2025-0987</t>
  </si>
  <si>
    <t>ORD-2025-0988</t>
  </si>
  <si>
    <t>ORD-2025-0989</t>
  </si>
  <si>
    <t>ORD-2025-0990</t>
  </si>
  <si>
    <t>ORD-2025-0991</t>
  </si>
  <si>
    <t>ORD-2025-0992</t>
  </si>
  <si>
    <t>ORD-2025-0993</t>
  </si>
  <si>
    <t>ORD-2025-0994</t>
  </si>
  <si>
    <t>ORD-2025-0995</t>
  </si>
  <si>
    <t>ORD-2025-0996</t>
  </si>
  <si>
    <t>ORD-2025-0997</t>
  </si>
  <si>
    <t>ORD-2025-0998</t>
  </si>
  <si>
    <t>ORD-2025-0999</t>
  </si>
  <si>
    <t>ORD-2025-1000</t>
  </si>
  <si>
    <t>Standard</t>
  </si>
  <si>
    <t>Express</t>
  </si>
  <si>
    <t>Same Day</t>
  </si>
  <si>
    <t>CUST-0104</t>
  </si>
  <si>
    <t>CUST-0170</t>
  </si>
  <si>
    <t>CUST-0014</t>
  </si>
  <si>
    <t>CUST-0134</t>
  </si>
  <si>
    <t>CUST-0082</t>
  </si>
  <si>
    <t>CUST-0139</t>
  </si>
  <si>
    <t>CUST-0151</t>
  </si>
  <si>
    <t>CUST-0137</t>
  </si>
  <si>
    <t>CUST-0071</t>
  </si>
  <si>
    <t>CUST-0092</t>
  </si>
  <si>
    <t>CUST-0172</t>
  </si>
  <si>
    <t>CUST-0187</t>
  </si>
  <si>
    <t>CUST-0203</t>
  </si>
  <si>
    <t>CUST-0195</t>
  </si>
  <si>
    <t>CUST-0249</t>
  </si>
  <si>
    <t>CUST-0152</t>
  </si>
  <si>
    <t>CUST-0163</t>
  </si>
  <si>
    <t>CUST-0214</t>
  </si>
  <si>
    <t>CUST-0035</t>
  </si>
  <si>
    <t>CUST-0225</t>
  </si>
  <si>
    <t>CUST-0086</t>
  </si>
  <si>
    <t>CUST-0250</t>
  </si>
  <si>
    <t>CUST-0058</t>
  </si>
  <si>
    <t>CUST-0094</t>
  </si>
  <si>
    <t>CUST-0117</t>
  </si>
  <si>
    <t>CUST-0247</t>
  </si>
  <si>
    <t>CUST-0085</t>
  </si>
  <si>
    <t>CUST-0069</t>
  </si>
  <si>
    <t>CUST-0179</t>
  </si>
  <si>
    <t>CUST-0090</t>
  </si>
  <si>
    <t>CUST-0099</t>
  </si>
  <si>
    <t>CUST-0028</t>
  </si>
  <si>
    <t>CUST-0142</t>
  </si>
  <si>
    <t>CUST-0194</t>
  </si>
  <si>
    <t>CUST-0019</t>
  </si>
  <si>
    <t>CUST-0164</t>
  </si>
  <si>
    <t>CUST-0102</t>
  </si>
  <si>
    <t>CUST-0191</t>
  </si>
  <si>
    <t>CUST-0242</t>
  </si>
  <si>
    <t>CUST-0201</t>
  </si>
  <si>
    <t>CUST-0050</t>
  </si>
  <si>
    <t>CUST-0166</t>
  </si>
  <si>
    <t>CUST-0051</t>
  </si>
  <si>
    <t>CUST-0178</t>
  </si>
  <si>
    <t>CUST-0045</t>
  </si>
  <si>
    <t>CUST-0237</t>
  </si>
  <si>
    <t>CUST-0025</t>
  </si>
  <si>
    <t>CUST-0064</t>
  </si>
  <si>
    <t>CUST-0248</t>
  </si>
  <si>
    <t>CUST-0047</t>
  </si>
  <si>
    <t>CUST-0168</t>
  </si>
  <si>
    <t>CUST-0154</t>
  </si>
  <si>
    <t>CUST-0157</t>
  </si>
  <si>
    <t>CUST-0228</t>
  </si>
  <si>
    <t>CUST-0236</t>
  </si>
  <si>
    <t>CUST-0001</t>
  </si>
  <si>
    <t>CUST-0220</t>
  </si>
  <si>
    <t>CUST-0032</t>
  </si>
  <si>
    <t>CUST-0054</t>
  </si>
  <si>
    <t>CUST-0011</t>
  </si>
  <si>
    <t>CUST-0024</t>
  </si>
  <si>
    <t>CUST-0235</t>
  </si>
  <si>
    <t>CUST-0230</t>
  </si>
  <si>
    <t>CUST-0213</t>
  </si>
  <si>
    <t>CUST-0039</t>
  </si>
  <si>
    <t>CUST-0109</t>
  </si>
  <si>
    <t>CUST-0108</t>
  </si>
  <si>
    <t>CUST-0080</t>
  </si>
  <si>
    <t>CUST-0146</t>
  </si>
  <si>
    <t>CUST-0057</t>
  </si>
  <si>
    <t>CUST-0060</t>
  </si>
  <si>
    <t>CUST-0046</t>
  </si>
  <si>
    <t>CUST-0222</t>
  </si>
  <si>
    <t>CUST-0175</t>
  </si>
  <si>
    <t>CUST-0012</t>
  </si>
  <si>
    <t>CUST-0181</t>
  </si>
  <si>
    <t>CUST-0205</t>
  </si>
  <si>
    <t>CUST-0160</t>
  </si>
  <si>
    <t>CUST-0116</t>
  </si>
  <si>
    <t>CUST-0073</t>
  </si>
  <si>
    <t>CUST-0173</t>
  </si>
  <si>
    <t>CUST-0189</t>
  </si>
  <si>
    <t>CUST-0105</t>
  </si>
  <si>
    <t>CUST-0143</t>
  </si>
  <si>
    <t>CUST-0125</t>
  </si>
  <si>
    <t>CUST-0118</t>
  </si>
  <si>
    <t>CUST-0148</t>
  </si>
  <si>
    <t>CUST-0234</t>
  </si>
  <si>
    <t>CUST-0128</t>
  </si>
  <si>
    <t>CUST-0119</t>
  </si>
  <si>
    <t>CUST-0072</t>
  </si>
  <si>
    <t>CUST-0153</t>
  </si>
  <si>
    <t>CUST-0188</t>
  </si>
  <si>
    <t>CUST-0098</t>
  </si>
  <si>
    <t>CUST-0136</t>
  </si>
  <si>
    <t>CUST-0150</t>
  </si>
  <si>
    <t>CUST-0002</t>
  </si>
  <si>
    <t>CUST-0042</t>
  </si>
  <si>
    <t>CUST-0210</t>
  </si>
  <si>
    <t>CUST-0031</t>
  </si>
  <si>
    <t>CUST-0115</t>
  </si>
  <si>
    <t>CUST-0215</t>
  </si>
  <si>
    <t>CUST-0149</t>
  </si>
  <si>
    <t>CUST-0036</t>
  </si>
  <si>
    <t>CUST-0124</t>
  </si>
  <si>
    <t>CUST-0174</t>
  </si>
  <si>
    <t>CUST-0089</t>
  </si>
  <si>
    <t>CUST-0184</t>
  </si>
  <si>
    <t>CUST-0193</t>
  </si>
  <si>
    <t>CUST-0244</t>
  </si>
  <si>
    <t>CUST-0186</t>
  </si>
  <si>
    <t>CUST-0147</t>
  </si>
  <si>
    <t>CUST-0183</t>
  </si>
  <si>
    <t>CUST-0100</t>
  </si>
  <si>
    <t>CUST-0217</t>
  </si>
  <si>
    <t>CUST-0218</t>
  </si>
  <si>
    <t>CUST-0033</t>
  </si>
  <si>
    <t>CUST-0112</t>
  </si>
  <si>
    <t>CUST-0197</t>
  </si>
  <si>
    <t>CUST-0176</t>
  </si>
  <si>
    <t>CUST-0013</t>
  </si>
  <si>
    <t>CUST-0017</t>
  </si>
  <si>
    <t>CUST-0110</t>
  </si>
  <si>
    <t>CUST-0076</t>
  </si>
  <si>
    <t>CUST-0027</t>
  </si>
  <si>
    <t>CUST-0037</t>
  </si>
  <si>
    <t>CUST-0003</t>
  </si>
  <si>
    <t>CUST-0101</t>
  </si>
  <si>
    <t>CUST-0156</t>
  </si>
  <si>
    <t>CUST-0162</t>
  </si>
  <si>
    <t>CUST-0196</t>
  </si>
  <si>
    <t>CUST-0008</t>
  </si>
  <si>
    <t>CUST-0005</t>
  </si>
  <si>
    <t>CUST-0135</t>
  </si>
  <si>
    <t>CUST-0127</t>
  </si>
  <si>
    <t>CUST-0159</t>
  </si>
  <si>
    <t>CUST-0053</t>
  </si>
  <si>
    <t>CUST-0185</t>
  </si>
  <si>
    <t>CUST-0065</t>
  </si>
  <si>
    <t>CUST-0087</t>
  </si>
  <si>
    <t>CUST-0245</t>
  </si>
  <si>
    <t>CUST-0083</t>
  </si>
  <si>
    <t>CUST-0026</t>
  </si>
  <si>
    <t>CUST-0062</t>
  </si>
  <si>
    <t>CUST-0171</t>
  </si>
  <si>
    <t>CUST-0018</t>
  </si>
  <si>
    <t>CUST-0239</t>
  </si>
  <si>
    <t>CUST-0022</t>
  </si>
  <si>
    <t>CUST-0111</t>
  </si>
  <si>
    <t>CUST-0126</t>
  </si>
  <si>
    <t>CUST-0081</t>
  </si>
  <si>
    <t>CUST-0216</t>
  </si>
  <si>
    <t>CUST-0169</t>
  </si>
  <si>
    <t>CUST-0219</t>
  </si>
  <si>
    <t>CUST-0132</t>
  </si>
  <si>
    <t>CUST-0063</t>
  </si>
  <si>
    <t>CUST-0107</t>
  </si>
  <si>
    <t>CUST-0114</t>
  </si>
  <si>
    <t>CUST-0129</t>
  </si>
  <si>
    <t>CUST-0133</t>
  </si>
  <si>
    <t>CUST-0029</t>
  </si>
  <si>
    <t>CUST-0206</t>
  </si>
  <si>
    <t>CUST-0006</t>
  </si>
  <si>
    <t>CUST-0130</t>
  </si>
  <si>
    <t>CUST-0122</t>
  </si>
  <si>
    <t>CUST-0224</t>
  </si>
  <si>
    <t>CUST-0066</t>
  </si>
  <si>
    <t>CUST-0223</t>
  </si>
  <si>
    <t>CUST-0077</t>
  </si>
  <si>
    <t>CUST-0226</t>
  </si>
  <si>
    <t>CUST-0241</t>
  </si>
  <si>
    <t>CUST-0075</t>
  </si>
  <si>
    <t>CUST-0200</t>
  </si>
  <si>
    <t>CUST-0238</t>
  </si>
  <si>
    <t>CUST-0091</t>
  </si>
  <si>
    <t>CUST-0055</t>
  </si>
  <si>
    <t>CUST-0190</t>
  </si>
  <si>
    <t>CUST-0061</t>
  </si>
  <si>
    <t>CUST-0010</t>
  </si>
  <si>
    <t>CUST-0182</t>
  </si>
  <si>
    <t>CUST-0095</t>
  </si>
  <si>
    <t>CUST-0078</t>
  </si>
  <si>
    <t>CUST-0123</t>
  </si>
  <si>
    <t>CUST-0070</t>
  </si>
  <si>
    <t>CUST-0232</t>
  </si>
  <si>
    <t>CUST-0088</t>
  </si>
  <si>
    <t>CUST-0023</t>
  </si>
  <si>
    <t>CUST-0093</t>
  </si>
  <si>
    <t>CUST-0144</t>
  </si>
  <si>
    <t>CUST-0177</t>
  </si>
  <si>
    <t>CUST-0038</t>
  </si>
  <si>
    <t>CUST-0079</t>
  </si>
  <si>
    <t>CUST-0059</t>
  </si>
  <si>
    <t>CUST-0056</t>
  </si>
  <si>
    <t>CUST-0097</t>
  </si>
  <si>
    <t>CUST-0121</t>
  </si>
  <si>
    <t>CUST-0161</t>
  </si>
  <si>
    <t>CUST-0049</t>
  </si>
  <si>
    <t>CUST-0096</t>
  </si>
  <si>
    <t>CUST-0009</t>
  </si>
  <si>
    <t>CUST-0246</t>
  </si>
  <si>
    <t>CUST-0192</t>
  </si>
  <si>
    <t>CUST-0131</t>
  </si>
  <si>
    <t>CUST-0198</t>
  </si>
  <si>
    <t>CUST-0158</t>
  </si>
  <si>
    <t>CUST-0068</t>
  </si>
  <si>
    <t>CUST-0202</t>
  </si>
  <si>
    <t>CUST-0208</t>
  </si>
  <si>
    <t>CUST-0199</t>
  </si>
  <si>
    <t>CUST-0030</t>
  </si>
  <si>
    <t>CUST-0074</t>
  </si>
  <si>
    <t>CUST-0067</t>
  </si>
  <si>
    <t>CUST-0048</t>
  </si>
  <si>
    <t>CUST-0084</t>
  </si>
  <si>
    <t>CUST-0240</t>
  </si>
  <si>
    <t>CUST-0207</t>
  </si>
  <si>
    <t>CUST-0034</t>
  </si>
  <si>
    <t>CUST-0221</t>
  </si>
  <si>
    <t>CUST-0229</t>
  </si>
  <si>
    <t>CUST-0113</t>
  </si>
  <si>
    <t>CUST-0145</t>
  </si>
  <si>
    <t>CUST-0140</t>
  </si>
  <si>
    <t>CUST-0052</t>
  </si>
  <si>
    <t>CUST-0043</t>
  </si>
  <si>
    <t>CUST-0106</t>
  </si>
  <si>
    <t>CUST-0138</t>
  </si>
  <si>
    <t>CUST-0180</t>
  </si>
  <si>
    <t>CUST-0044</t>
  </si>
  <si>
    <t>CUST-0015</t>
  </si>
  <si>
    <t>CUST-0204</t>
  </si>
  <si>
    <t>CUST-0211</t>
  </si>
  <si>
    <t>CUST-0209</t>
  </si>
  <si>
    <t>CUST-0165</t>
  </si>
  <si>
    <t>CUST-0007</t>
  </si>
  <si>
    <t>CUST-0041</t>
  </si>
  <si>
    <t>CUST-0004</t>
  </si>
  <si>
    <t>CUST-0016</t>
  </si>
  <si>
    <t>CUST-0020</t>
  </si>
  <si>
    <t>CUST-0021</t>
  </si>
  <si>
    <t>CUST-0155</t>
  </si>
  <si>
    <t>CUST-0231</t>
  </si>
  <si>
    <t>CUST-0227</t>
  </si>
  <si>
    <t>CUST-0212</t>
  </si>
  <si>
    <t>CUST-0040</t>
  </si>
  <si>
    <t>CUST-0243</t>
  </si>
  <si>
    <t>CUST-0167</t>
  </si>
  <si>
    <t>CUST-0103</t>
  </si>
  <si>
    <t>Rahul Verma</t>
  </si>
  <si>
    <t>Divya Rao</t>
  </si>
  <si>
    <t>Ishita Roy</t>
  </si>
  <si>
    <t>Neha Gupta</t>
  </si>
  <si>
    <t>Sanjay Menon</t>
  </si>
  <si>
    <t>Manish Yadav</t>
  </si>
  <si>
    <t>Arjun Patel</t>
  </si>
  <si>
    <t>Vikram Rao</t>
  </si>
  <si>
    <t>Nikhil Jain</t>
  </si>
  <si>
    <t>Shreya Kapoor</t>
  </si>
  <si>
    <t>Aarav Sharma</t>
  </si>
  <si>
    <t>Priya Nair</t>
  </si>
  <si>
    <t>Rohan Mehta</t>
  </si>
  <si>
    <t>Kiran Joshi</t>
  </si>
  <si>
    <t>Aditya Kumar</t>
  </si>
  <si>
    <t>Kavya Iyer</t>
  </si>
  <si>
    <t>Sneha Reddy</t>
  </si>
  <si>
    <t>Meera Shah</t>
  </si>
  <si>
    <t>Pooja Das</t>
  </si>
  <si>
    <t>Ananya Singh</t>
  </si>
  <si>
    <t>Consumer</t>
  </si>
  <si>
    <t>Corporate</t>
  </si>
  <si>
    <t>Small Business</t>
  </si>
  <si>
    <t>Kolkata</t>
  </si>
  <si>
    <t>Bhubaneswar</t>
  </si>
  <si>
    <t>Ahmedabad</t>
  </si>
  <si>
    <t>Mysuru</t>
  </si>
  <si>
    <t>Jaipur</t>
  </si>
  <si>
    <t>Lucknow</t>
  </si>
  <si>
    <t>Chennai</t>
  </si>
  <si>
    <t>Hyderabad</t>
  </si>
  <si>
    <t>Mumbai</t>
  </si>
  <si>
    <t>Bengaluru</t>
  </si>
  <si>
    <t>Delhi</t>
  </si>
  <si>
    <t>Pune</t>
  </si>
  <si>
    <t>East</t>
  </si>
  <si>
    <t>West</t>
  </si>
  <si>
    <t>South</t>
  </si>
  <si>
    <t>North</t>
  </si>
  <si>
    <t>Office Supplies</t>
  </si>
  <si>
    <t>Home &amp; Kitchen</t>
  </si>
  <si>
    <t>Furniture</t>
  </si>
  <si>
    <t>Electronics</t>
  </si>
  <si>
    <t>Calculator</t>
  </si>
  <si>
    <t>Coffee Mug</t>
  </si>
  <si>
    <t>Desk Lamp</t>
  </si>
  <si>
    <t>USB-C Hub</t>
  </si>
  <si>
    <t>Storage Box</t>
  </si>
  <si>
    <t>Electric Kettle</t>
  </si>
  <si>
    <t>Water Bottle</t>
  </si>
  <si>
    <t>Wireless Mouse</t>
  </si>
  <si>
    <t>Office Chair</t>
  </si>
  <si>
    <t>Bookshelf</t>
  </si>
  <si>
    <t>Power Bank</t>
  </si>
  <si>
    <t>Desk Organizer</t>
  </si>
  <si>
    <t>Lunch Box</t>
  </si>
  <si>
    <t>Notebook</t>
  </si>
  <si>
    <t>File Folder</t>
  </si>
  <si>
    <t>Keyboard</t>
  </si>
  <si>
    <t>Study Table</t>
  </si>
  <si>
    <t>Folding Chair</t>
  </si>
  <si>
    <t>Pen Set</t>
  </si>
  <si>
    <t>Bluetooth Speaker</t>
  </si>
  <si>
    <t>Net Banking</t>
  </si>
  <si>
    <t>UPI</t>
  </si>
  <si>
    <t>Debit Card</t>
  </si>
  <si>
    <t>Credit Card</t>
  </si>
  <si>
    <t>Cash</t>
  </si>
  <si>
    <t>Data Quality Checked</t>
  </si>
  <si>
    <t>Find Duplicate Values</t>
  </si>
  <si>
    <t>Row ID Duplicates</t>
  </si>
  <si>
    <t>Find Missing Values</t>
  </si>
  <si>
    <t>Customer Name</t>
  </si>
  <si>
    <t>2 values / 4 affected rows</t>
  </si>
  <si>
    <t>Date_Check</t>
  </si>
  <si>
    <t>Quantity_Check</t>
  </si>
  <si>
    <t>Incorrect Values</t>
  </si>
  <si>
    <t>Discount_Check</t>
  </si>
  <si>
    <t>Check Discount (Less than 0 OR greater than 1.)</t>
  </si>
  <si>
    <t>Ship Date before Order Date</t>
  </si>
  <si>
    <t>Quanitity is zero or negative (Quantity ≤ 0)</t>
  </si>
  <si>
    <t>Payment_Missing</t>
  </si>
  <si>
    <t>Payment Mode</t>
  </si>
  <si>
    <t>NULL</t>
  </si>
  <si>
    <t>KPI</t>
  </si>
  <si>
    <t>Value</t>
  </si>
  <si>
    <t>Total Sales</t>
  </si>
  <si>
    <t>Total Profit</t>
  </si>
  <si>
    <t>Total Quantity</t>
  </si>
  <si>
    <t>customers purchased goods worth about ₹31.97 lakh</t>
  </si>
  <si>
    <t>the business made about ₹6.60 lakh profit.</t>
  </si>
  <si>
    <t>total quantity sold.</t>
  </si>
  <si>
    <t>Row Labels</t>
  </si>
  <si>
    <t>Grand Total</t>
  </si>
  <si>
    <t>Sum of Sales</t>
  </si>
  <si>
    <t>Sum of Profit</t>
  </si>
  <si>
    <t>Order_Month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</si>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</sst>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[Retail_Sales_Analytics_Dataset.xlsx]Sales by Category!PivotTable1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Home &amp; Kitchen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751422.00999999966</c:v>
                </c:pt>
                <c:pt idx="1">
                  <c:v>1880322.7900000007</c:v>
                </c:pt>
                <c:pt idx="2">
                  <c:v>423744.47999999986</c:v>
                </c:pt>
                <c:pt idx="3">
                  <c:v>141427.42999999993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7-488D-95AB-0608EFEC4C44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Home &amp; Kitchen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Category'!$C$4:$C$8</c:f>
              <c:numCache>
                <c:formatCode>General</c:formatCode>
                <c:ptCount val="4"/>
                <c:pt idx="0">
                  <c:v>159717.33000000002</c:v>
                </c:pt>
                <c:pt idx="1">
                  <c:v>386010.92</c:v>
                </c:pt>
                <c:pt idx="2">
                  <c:v>84586.190000000031</c:v>
                </c:pt>
                <c:pt idx="3">
                  <c:v>29745.690000000002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7-488D-95AB-0608EFEC4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396463"/>
        <c:axId val="1900721455"/>
      </c:barChart>
      <c:catAx>
        <c:axId val="195139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21455"/>
        <c:crosses val="autoZero"/>
        <c:auto val="1"/>
        <c:lblAlgn val="ctr"/>
        <c:lblOffset val="100"/>
        <c:noMultiLvlLbl val="0"/>
      </c:catAx>
      <c:valAx>
        <c:axId val="19007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9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[Retail_Sales_Analytics_Dataset.xlsx]Sales by City!PivotTable1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City'!$A$4:$A$16</c:f>
              <c:strCache>
                <c:ptCount val="12"/>
                <c:pt idx="0">
                  <c:v>Ahmedabad</c:v>
                </c:pt>
                <c:pt idx="1">
                  <c:v>Bengaluru</c:v>
                </c:pt>
                <c:pt idx="2">
                  <c:v>Bhubaneswar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  <c:pt idx="6">
                  <c:v>Jaipur</c:v>
                </c:pt>
                <c:pt idx="7">
                  <c:v>Kolkata</c:v>
                </c:pt>
                <c:pt idx="8">
                  <c:v>Lucknow</c:v>
                </c:pt>
                <c:pt idx="9">
                  <c:v>Mumbai</c:v>
                </c:pt>
                <c:pt idx="10">
                  <c:v>Mysuru</c:v>
                </c:pt>
                <c:pt idx="11">
                  <c:v>Pune</c:v>
                </c:pt>
              </c:strCache>
            </c:strRef>
          </c:cat>
          <c:val>
            <c:numRef>
              <c:f>'Sales by City'!$B$4:$B$16</c:f>
              <c:numCache>
                <c:formatCode>General</c:formatCode>
                <c:ptCount val="12"/>
                <c:pt idx="0">
                  <c:v>233094.34</c:v>
                </c:pt>
                <c:pt idx="1">
                  <c:v>238403.47000000012</c:v>
                </c:pt>
                <c:pt idx="2">
                  <c:v>244894.29000000007</c:v>
                </c:pt>
                <c:pt idx="3">
                  <c:v>277868.29000000004</c:v>
                </c:pt>
                <c:pt idx="4">
                  <c:v>274365.37</c:v>
                </c:pt>
                <c:pt idx="5">
                  <c:v>204184.97</c:v>
                </c:pt>
                <c:pt idx="6">
                  <c:v>407243.24999999988</c:v>
                </c:pt>
                <c:pt idx="7">
                  <c:v>254780.4</c:v>
                </c:pt>
                <c:pt idx="8">
                  <c:v>257144.90999999995</c:v>
                </c:pt>
                <c:pt idx="9">
                  <c:v>261500.02999999991</c:v>
                </c:pt>
                <c:pt idx="10">
                  <c:v>287505.84999999992</c:v>
                </c:pt>
                <c:pt idx="11">
                  <c:v>255931.53999999998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F89-A6CE-A20759464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9207760"/>
        <c:axId val="1017221232"/>
      </c:barChart>
      <c:catAx>
        <c:axId val="101920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21232"/>
        <c:crosses val="autoZero"/>
        <c:auto val="1"/>
        <c:lblAlgn val="ctr"/>
        <c:lblOffset val="100"/>
        <c:noMultiLvlLbl val="0"/>
      </c:catAx>
      <c:valAx>
        <c:axId val="10172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[Retail_Sales_Analytics_Dataset.xlsx]Sales by Customer Segment!PivotTable2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'Sales by Customer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Customer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'Sales by Customer Segment'!$B$4:$B$7</c:f>
              <c:numCache>
                <c:formatCode>General</c:formatCode>
                <c:ptCount val="3"/>
                <c:pt idx="0">
                  <c:v>1643758.8900000013</c:v>
                </c:pt>
                <c:pt idx="1">
                  <c:v>963128.17000000051</c:v>
                </c:pt>
                <c:pt idx="2">
                  <c:v>590029.65000000014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8-44CC-814D-0C9BCDD2C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9209616"/>
        <c:axId val="1017242352"/>
      </c:barChart>
      <c:catAx>
        <c:axId val="101920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42352"/>
        <c:crosses val="autoZero"/>
        <c:auto val="1"/>
        <c:lblAlgn val="ctr"/>
        <c:lblOffset val="100"/>
        <c:noMultiLvlLbl val="0"/>
      </c:catAx>
      <c:valAx>
        <c:axId val="10172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[Retail_Sales_Analytics_Dataset.xlsx]Sales by Payment Mode!PivotTable3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 Mode'!$A$4:$A$10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NULL</c:v>
                </c:pt>
                <c:pt idx="5">
                  <c:v>UPI</c:v>
                </c:pt>
              </c:strCache>
            </c:strRef>
          </c:cat>
          <c:val>
            <c:numRef>
              <c:f>'Sales by Payment Mode'!$B$4:$B$10</c:f>
              <c:numCache>
                <c:formatCode>General</c:formatCode>
                <c:ptCount val="6"/>
                <c:pt idx="0">
                  <c:v>184958.97999999995</c:v>
                </c:pt>
                <c:pt idx="1">
                  <c:v>604977.45000000007</c:v>
                </c:pt>
                <c:pt idx="2">
                  <c:v>595647.47</c:v>
                </c:pt>
                <c:pt idx="3">
                  <c:v>436990.52000000019</c:v>
                </c:pt>
                <c:pt idx="4">
                  <c:v>1027.74</c:v>
                </c:pt>
                <c:pt idx="5">
                  <c:v>1373314.5500000003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0-4F7A-AF31-7A5B0B789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0572544"/>
        <c:axId val="1017267312"/>
      </c:barChart>
      <c:catAx>
        <c:axId val="107057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67312"/>
        <c:crosses val="autoZero"/>
        <c:auto val="1"/>
        <c:lblAlgn val="ctr"/>
        <c:lblOffset val="100"/>
        <c:noMultiLvlLbl val="0"/>
      </c:catAx>
      <c:valAx>
        <c:axId val="101726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[Retail_Sales_Analytics_Dataset.xlsx]Monthly Sales Trend!PivotTable5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310797.0400000001</c:v>
                </c:pt>
                <c:pt idx="1">
                  <c:v>236970.41999999998</c:v>
                </c:pt>
                <c:pt idx="2">
                  <c:v>244668.68000000002</c:v>
                </c:pt>
                <c:pt idx="3">
                  <c:v>267784.33999999991</c:v>
                </c:pt>
                <c:pt idx="4">
                  <c:v>272347.10000000003</c:v>
                </c:pt>
                <c:pt idx="5">
                  <c:v>326949.64999999997</c:v>
                </c:pt>
                <c:pt idx="6">
                  <c:v>287405.88</c:v>
                </c:pt>
                <c:pt idx="7">
                  <c:v>318551.36</c:v>
                </c:pt>
                <c:pt idx="8">
                  <c:v>235137.25999999992</c:v>
                </c:pt>
                <c:pt idx="9">
                  <c:v>206863.41</c:v>
                </c:pt>
                <c:pt idx="10">
                  <c:v>294198.93999999994</c:v>
                </c:pt>
                <c:pt idx="11">
                  <c:v>195242.63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B-4FD3-ADA1-18B72350A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574864"/>
        <c:axId val="1017266352"/>
      </c:lineChart>
      <c:catAx>
        <c:axId val="107057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66352"/>
        <c:crosses val="autoZero"/>
        <c:auto val="1"/>
        <c:lblAlgn val="ctr"/>
        <c:lblOffset val="100"/>
        <c:noMultiLvlLbl val="0"/>
      </c:catAx>
      <c:valAx>
        <c:axId val="10172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7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4</xdr:row>
      <xdr:rowOff>140970</xdr:rowOff>
    </xdr:from>
    <xdr:to>
      <xdr:col>16</xdr:col>
      <xdr:colOff>129540</xdr:colOff>
      <xdr:row>19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85223-3EA9-B674-B6B3-06E5A3B85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</xdr:row>
      <xdr:rowOff>163830</xdr:rowOff>
    </xdr:from>
    <xdr:to>
      <xdr:col>10</xdr:col>
      <xdr:colOff>373380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62801-CEBD-6866-9810-F9188B8D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6</xdr:row>
      <xdr:rowOff>41910</xdr:rowOff>
    </xdr:from>
    <xdr:to>
      <xdr:col>11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CA9ED-0125-E17B-A768-4AD5D6918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908F5-CE87-C696-1EC6-113D971B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08BA3D-76CF-4CAD-54D9-6ECEA78AB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a Jennifer" refreshedDate="46280.652855324071" createdVersion="8" refreshedVersion="8" minRefreshableVersion="3" recordCount="1001" xr:uid="{4A31E9EF-5DAE-4E99-97D1-9CB68A057514}">
  <cacheSource type="worksheet">
    <worksheetSource ref="A1:V1002" sheet="Cleaned_Data"/>
  </cacheSource>
  <cacheFields count="21">
    <cacheField name="Row_ID" numFmtId="0">
      <sharedItems containsSemiMixedTypes="0" containsString="0" containsNumber="1" containsInteger="1" minValue="0" maxValue="1000"/>
    </cacheField>
    <cacheField name="Order_ID" numFmtId="0">
      <sharedItems containsMixedTypes="1" containsNumber="1" containsInteger="1" minValue="0" maxValue="0"/>
    </cacheField>
    <cacheField name="Order_Date" numFmtId="0">
      <sharedItems containsSemiMixedTypes="0" containsDate="1" containsString="0" containsMixedTypes="1" minDate="1899-12-31T00:00:00" maxDate="2026-01-01T00:00:00"/>
    </cacheField>
    <cacheField name="Ship_Date" numFmtId="0">
      <sharedItems containsSemiMixedTypes="0" containsDate="1" containsString="0" containsMixedTypes="1" minDate="1899-12-31T00:00:00" maxDate="2026-01-05T00:00:00"/>
    </cacheField>
    <cacheField name="Ship_Mode" numFmtId="0">
      <sharedItems containsMixedTypes="1" containsNumber="1" containsInteger="1" minValue="0" maxValue="0"/>
    </cacheField>
    <cacheField name="Customer_ID" numFmtId="0">
      <sharedItems containsMixedTypes="1" containsNumber="1" containsInteger="1" minValue="0" maxValue="0"/>
    </cacheField>
    <cacheField name="Customer_Name" numFmtId="0">
      <sharedItems containsMixedTypes="1" containsNumber="1" containsInteger="1" minValue="0" maxValue="0"/>
    </cacheField>
    <cacheField name="Segment" numFmtId="0">
      <sharedItems containsMixedTypes="1" containsNumber="1" containsInteger="1" minValue="0" maxValue="0"/>
    </cacheField>
    <cacheField name="City" numFmtId="0">
      <sharedItems containsMixedTypes="1" containsNumber="1" containsInteger="1" minValue="0" maxValue="0"/>
    </cacheField>
    <cacheField name="Region" numFmtId="0">
      <sharedItems containsMixedTypes="1" containsNumber="1" containsInteger="1" minValue="0" maxValue="0"/>
    </cacheField>
    <cacheField name="Category" numFmtId="0">
      <sharedItems containsMixedTypes="1" containsNumber="1" containsInteger="1" minValue="0" maxValue="0" count="5">
        <s v="Office Supplies"/>
        <s v="Home &amp; Kitchen"/>
        <s v="Furniture"/>
        <s v="Electronics"/>
        <n v="0"/>
      </sharedItems>
    </cacheField>
    <cacheField name="Product" numFmtId="0">
      <sharedItems containsMixedTypes="1" containsNumber="1" containsInteger="1" minValue="0" maxValue="0"/>
    </cacheField>
    <cacheField name="Quantity" numFmtId="0">
      <sharedItems containsMixedTypes="1" containsNumber="1" containsInteger="1" minValue="0" maxValue="5"/>
    </cacheField>
    <cacheField name="Discount" numFmtId="0">
      <sharedItems containsSemiMixedTypes="0" containsString="0" containsNumber="1" minValue="0" maxValue="1.25"/>
    </cacheField>
    <cacheField name="Sales" numFmtId="0">
      <sharedItems containsMixedTypes="1" containsNumber="1" minValue="0" maxValue="34668.75" count="1000">
        <n v="1684.8"/>
        <n v="282.12"/>
        <n v="5816.56"/>
        <n v="1316.56"/>
        <n v="1372.99"/>
        <n v="1539.81"/>
        <n v="3642.36"/>
        <n v="426.75"/>
        <n v="1363.71"/>
        <n v="1659.48"/>
        <n v="10361.81"/>
        <n v="1260.25"/>
        <n v="837.8"/>
        <n v="4176.72"/>
        <n v="277.17"/>
        <n v="5315.03"/>
        <n v="2346.58"/>
        <n v="1999.18"/>
        <n v="1177.97"/>
        <n v="1290.6600000000001"/>
        <n v="1126.24"/>
        <n v="528.91"/>
        <n v="1229.8"/>
        <n v="152.35"/>
        <n v="3873.22"/>
        <n v="780.59"/>
        <n v="482.8"/>
        <n v="22678.69"/>
        <n v="8700.01"/>
        <n v="285.20999999999998"/>
        <n v="798.4"/>
        <n v="923.32"/>
        <n v="188.25"/>
        <n v="593.63"/>
        <n v="3410"/>
        <n v="7262.12"/>
        <n v="1432.14"/>
        <n v="515.34"/>
        <n v="1497.92"/>
        <n v="2956.13"/>
        <n v="4366.57"/>
        <n v="525.69000000000005"/>
        <n v="8303.6200000000008"/>
        <n v="2396.56"/>
        <n v="3459.32"/>
        <n v="1758.5"/>
        <n v="264.99"/>
        <n v="14344.45"/>
        <n v="1163.79"/>
        <n v="3563.13"/>
        <n v="641.9"/>
        <n v="1603.65"/>
        <n v="151.15"/>
        <n v="186.31"/>
        <n v="88.63"/>
        <n v="27787.25"/>
        <n v="4159.22"/>
        <n v="1488.64"/>
        <n v="3694.12"/>
        <n v="8608.98"/>
        <n v="2096.04"/>
        <n v="834.9"/>
        <n v="4676.42"/>
        <n v="6145.41"/>
        <n v="2245.67"/>
        <n v="2946.66"/>
        <n v="242.28"/>
        <n v="1359.94"/>
        <n v="5479.79"/>
        <n v="156.85"/>
        <n v="315.29000000000002"/>
        <n v="6224.39"/>
        <n v="1468.55"/>
        <n v="1247.96"/>
        <n v="480.38"/>
        <n v="3236.68"/>
        <n v="2275.85"/>
        <n v="9003.64"/>
        <n v="1816.1"/>
        <n v="2148.6"/>
        <n v="2749.16"/>
        <n v="10491.46"/>
        <n v="4746.62"/>
        <n v="82.93"/>
        <n v="3894.25"/>
        <n v="845.53"/>
        <n v="1027.74"/>
        <n v="742.98"/>
        <n v="2728.68"/>
        <n v="5176.53"/>
        <n v="2328.0300000000002"/>
        <n v="5314.03"/>
        <n v="983.44"/>
        <n v="1440.27"/>
        <n v="646.09"/>
        <n v="5696.13"/>
        <n v="4952.28"/>
        <n v="2322.71"/>
        <n v="786.76"/>
        <n v="512.03"/>
        <n v="702.49"/>
        <n v="1469.55"/>
        <n v="6375.02"/>
        <n v="5725.59"/>
        <n v="885.79"/>
        <n v="206.36"/>
        <n v="1273.29"/>
        <n v="568.38"/>
        <n v="12913.34"/>
        <n v="515.01"/>
        <n v="4967.57"/>
        <n v="904.88"/>
        <n v="237.86"/>
        <n v="1147.6099999999999"/>
        <n v="2076.08"/>
        <n v="6224.8"/>
        <n v="4541.25"/>
        <n v="803.75"/>
        <n v="235.09"/>
        <n v="819.72"/>
        <n v="453.95"/>
        <n v="5317.13"/>
        <n v="178.2"/>
        <n v="382.71"/>
        <n v="2958.84"/>
        <n v="774.48"/>
        <n v="699.82"/>
        <n v="12277.51"/>
        <n v="2497.02"/>
        <n v="2590.06"/>
        <n v="1671.2"/>
        <n v="1572.77"/>
        <n v="1263.58"/>
        <n v="5378.6"/>
        <n v="674.8"/>
        <n v="1508.06"/>
        <n v="1711.28"/>
        <n v="1556.4"/>
        <n v="342.92"/>
        <n v="8921.76"/>
        <n v="1775.87"/>
        <n v="1116.75"/>
        <n v="17206.900000000001"/>
        <s v="NULL"/>
        <n v="1589.56"/>
        <n v="281.91000000000003"/>
        <n v="344.82"/>
        <n v="874.91"/>
        <n v="1811.6"/>
        <n v="4235.46"/>
        <n v="3705.79"/>
        <n v="1151.23"/>
        <n v="3925.04"/>
        <n v="1198.95"/>
        <n v="454.47"/>
        <n v="3292.64"/>
        <n v="13287.44"/>
        <n v="6334.02"/>
        <n v="477.49"/>
        <n v="2019.69"/>
        <n v="1171.8499999999999"/>
        <n v="5942.69"/>
        <n v="595.44000000000005"/>
        <n v="891.63"/>
        <n v="1213.1400000000001"/>
        <n v="282.91000000000003"/>
        <n v="932.32"/>
        <n v="152.26"/>
        <n v="4227.71"/>
        <n v="6860.22"/>
        <n v="1871.78"/>
        <n v="841.61"/>
        <n v="2048.84"/>
        <n v="1152.01"/>
        <n v="2440.5500000000002"/>
        <n v="117"/>
        <n v="4393.22"/>
        <n v="352.52"/>
        <n v="2347.7199999999998"/>
        <n v="4066.65"/>
        <n v="270.58"/>
        <n v="2199.5500000000002"/>
        <n v="2074.2600000000002"/>
        <n v="8571.8700000000008"/>
        <n v="1135.72"/>
        <n v="3434.87"/>
        <n v="294.72000000000003"/>
        <n v="2777.07"/>
        <n v="12120.76"/>
        <n v="2774.45"/>
        <n v="1141.6300000000001"/>
        <n v="2372.7800000000002"/>
        <n v="444.29"/>
        <n v="793.83"/>
        <n v="81.260000000000005"/>
        <n v="1588.46"/>
        <n v="2749.6"/>
        <n v="12291.76"/>
        <n v="3517.11"/>
        <n v="3441.4"/>
        <n v="1242.07"/>
        <n v="760.67"/>
        <n v="2235.25"/>
        <n v="4522.6400000000003"/>
        <n v="645.04"/>
        <n v="708.23"/>
        <n v="230.71"/>
        <n v="637.94000000000005"/>
        <n v="786.47"/>
        <n v="2522.8200000000002"/>
        <n v="1472.85"/>
        <n v="329.67"/>
        <n v="6929.46"/>
        <n v="5372.68"/>
        <n v="2659.93"/>
        <n v="2065.88"/>
        <n v="1592.01"/>
        <n v="76.650000000000006"/>
        <n v="571.58000000000004"/>
        <n v="3340.21"/>
        <n v="6459.44"/>
        <n v="2700.9"/>
        <n v="857.36"/>
        <n v="709.65"/>
        <n v="930.93"/>
        <n v="1456.63"/>
        <n v="1393.16"/>
        <n v="1061.01"/>
        <n v="8738.51"/>
        <n v="886.55"/>
        <n v="86.42"/>
        <n v="8036.81"/>
        <n v="4190"/>
        <n v="223.25"/>
        <n v="533.80999999999995"/>
        <n v="1254.97"/>
        <n v="648.35"/>
        <n v="107.8"/>
        <n v="296.74"/>
        <n v="1524.64"/>
        <n v="77.39"/>
        <n v="611.47"/>
        <n v="1298.92"/>
        <n v="5163.47"/>
        <n v="2621"/>
        <n v="890.58"/>
        <n v="2514.94"/>
        <n v="2753.19"/>
        <n v="447.71"/>
        <n v="10491.97"/>
        <n v="689.21"/>
        <n v="4996.62"/>
        <n v="5061.7700000000004"/>
        <n v="1364.06"/>
        <n v="1365.89"/>
        <n v="662.03"/>
        <n v="2967.99"/>
        <n v="557.72"/>
        <n v="747.58"/>
        <n v="295.76"/>
        <n v="1943.42"/>
        <n v="339.42"/>
        <n v="2119.27"/>
        <n v="1316.16"/>
        <n v="2394.83"/>
        <n v="792.25"/>
        <n v="4243.41"/>
        <n v="797.85"/>
        <n v="2124.98"/>
        <n v="84.93"/>
        <n v="4702.18"/>
        <n v="318.31"/>
        <n v="1834.28"/>
        <n v="1162.9000000000001"/>
        <n v="1467.75"/>
        <n v="7003.16"/>
        <n v="1269.1400000000001"/>
        <n v="342.95"/>
        <n v="16910.64"/>
        <n v="3261.76"/>
        <n v="3465.72"/>
        <n v="1696"/>
        <n v="401.52"/>
        <n v="2972.84"/>
        <n v="226.1"/>
        <n v="1361.76"/>
        <n v="3499.76"/>
        <n v="2350.96"/>
        <n v="4327.43"/>
        <n v="3644.04"/>
        <n v="4839.55"/>
        <n v="834.51"/>
        <n v="1279.79"/>
        <n v="280.45999999999998"/>
        <n v="991.17"/>
        <n v="1287.9100000000001"/>
        <n v="1220.1500000000001"/>
        <n v="1883.49"/>
        <n v="1210.67"/>
        <n v="91.94"/>
        <n v="1882.61"/>
        <n v="1314.92"/>
        <n v="5241.8100000000004"/>
        <n v="186.54"/>
        <n v="1430.83"/>
        <n v="880.73"/>
        <n v="1379.86"/>
        <n v="2626.9"/>
        <n v="406.18"/>
        <n v="1610.22"/>
        <n v="730.35"/>
        <n v="1598.53"/>
        <n v="230.79"/>
        <n v="3384.77"/>
        <n v="2195.91"/>
        <n v="2161.2399999999998"/>
        <n v="3867.55"/>
        <n v="4453.2"/>
        <n v="814.01"/>
        <n v="1713.66"/>
        <n v="206.54"/>
        <n v="2943.3"/>
        <n v="1568.77"/>
        <n v="4276.57"/>
        <n v="554.24"/>
        <n v="269.06"/>
        <n v="831.71"/>
        <n v="5139.3999999999996"/>
        <n v="608.4"/>
        <n v="1565.41"/>
        <n v="2321.12"/>
        <n v="1565.55"/>
        <n v="3634.31"/>
        <n v="1290.07"/>
        <n v="3656.1"/>
        <n v="1886.61"/>
        <n v="801.55"/>
        <n v="452.79"/>
        <n v="3555.71"/>
        <n v="1173.94"/>
        <n v="3822.09"/>
        <n v="887.28"/>
        <n v="15534.67"/>
        <n v="682.35"/>
        <n v="309.79000000000002"/>
        <n v="1221.6300000000001"/>
        <n v="569.17999999999995"/>
        <n v="1275.56"/>
        <n v="889.73"/>
        <n v="1086.69"/>
        <n v="1600.19"/>
        <n v="1069.58"/>
        <n v="656.06"/>
        <n v="1221.99"/>
        <n v="4121.6000000000004"/>
        <n v="1535.44"/>
        <n v="2291.39"/>
        <n v="583.49"/>
        <n v="159.16"/>
        <n v="13543.11"/>
        <n v="1286.48"/>
        <n v="817.6"/>
        <n v="1668.28"/>
        <n v="2051.69"/>
        <n v="1782.34"/>
        <n v="18435.72"/>
        <n v="1246.4100000000001"/>
        <n v="2305.61"/>
        <n v="1155.55"/>
        <n v="78.650000000000006"/>
        <n v="2657.57"/>
        <n v="3551.31"/>
        <n v="394.82"/>
        <n v="249.78"/>
        <n v="5872.91"/>
        <n v="5434.74"/>
        <n v="2450.7199999999998"/>
        <n v="1429.22"/>
        <n v="1351.45"/>
        <n v="1140.75"/>
        <n v="3720.1"/>
        <n v="3247.37"/>
        <n v="4682.2"/>
        <n v="3547.09"/>
        <n v="1466.07"/>
        <n v="1167.2"/>
        <n v="3743.73"/>
        <n v="1119.05"/>
        <n v="3230.52"/>
        <n v="8440.44"/>
        <n v="240.61"/>
        <n v="147.79"/>
        <n v="3343.75"/>
        <n v="734.41"/>
        <n v="4146.26"/>
        <n v="561"/>
        <n v="6320.87"/>
        <n v="1546.11"/>
        <n v="106.4"/>
        <n v="525.55999999999995"/>
        <n v="2497.42"/>
        <n v="200.87"/>
        <n v="620.35"/>
        <n v="841.25"/>
        <n v="5289.73"/>
        <n v="3169.64"/>
        <n v="2392.75"/>
        <n v="3974.31"/>
        <n v="360.24"/>
        <n v="1175.56"/>
        <n v="613.12"/>
        <n v="80.209999999999994"/>
        <n v="707.05"/>
        <n v="587.88"/>
        <n v="2550.56"/>
        <n v="1964.75"/>
        <n v="13964.86"/>
        <n v="897.17"/>
        <n v="1776.81"/>
        <n v="22967.68"/>
        <n v="1513.72"/>
        <n v="235.24"/>
        <n v="5289.02"/>
        <n v="6425.77"/>
        <n v="3128.88"/>
        <n v="31234.6"/>
        <n v="592.15"/>
        <n v="5514.22"/>
        <n v="1743.01"/>
        <n v="933.58"/>
        <n v="158.41999999999999"/>
        <n v="1243.32"/>
        <n v="6398.42"/>
        <n v="33584.629999999997"/>
        <n v="1055.01"/>
        <n v="2773.56"/>
        <n v="2782.05"/>
        <n v="21317.11"/>
        <n v="982.92"/>
        <n v="213.95"/>
        <n v="5552.95"/>
        <n v="140.69999999999999"/>
        <n v="2048.1"/>
        <n v="8022.36"/>
        <n v="2763"/>
        <n v="4167.79"/>
        <n v="805.47"/>
        <n v="4656.93"/>
        <n v="305.64999999999998"/>
        <n v="1683.77"/>
        <n v="1434.82"/>
        <n v="1105.72"/>
        <n v="191.3"/>
        <n v="347.55"/>
        <n v="3674.49"/>
        <n v="1200.68"/>
        <n v="836.64"/>
        <n v="8834.68"/>
        <n v="18921.560000000001"/>
        <n v="19162.71"/>
        <n v="3938.21"/>
        <n v="1351.23"/>
        <n v="16783.23"/>
        <n v="2312.6"/>
        <n v="1340.76"/>
        <n v="1672.92"/>
        <n v="933.79"/>
        <n v="908.13"/>
        <n v="3652.79"/>
        <n v="3794.43"/>
        <n v="1456.67"/>
        <n v="513.29999999999995"/>
        <n v="1677.3"/>
        <n v="909.59"/>
        <n v="34668.75"/>
        <n v="317.57"/>
        <n v="1351.25"/>
        <n v="147.15"/>
        <n v="1122.68"/>
        <n v="1279.1400000000001"/>
        <n v="11861.73"/>
        <n v="262.08"/>
        <n v="4383.54"/>
        <n v="1637.43"/>
        <n v="4737.01"/>
        <n v="557.41999999999996"/>
        <n v="18966.32"/>
        <n v="4318.41"/>
        <n v="4618.0200000000004"/>
        <n v="3225.91"/>
        <n v="4896.7299999999996"/>
        <n v="262.06"/>
        <n v="1209.18"/>
        <n v="697.89"/>
        <n v="248.91"/>
        <n v="698.55"/>
        <n v="4673.58"/>
        <n v="3909.8"/>
        <n v="580.4"/>
        <n v="7475.74"/>
        <n v="373.77"/>
        <n v="172.82"/>
        <n v="4215.43"/>
        <n v="103.73"/>
        <n v="188.21"/>
        <n v="427.28"/>
        <n v="187.05"/>
        <n v="9860.6299999999992"/>
        <n v="844.57"/>
        <n v="2013.64"/>
        <n v="249.36"/>
        <n v="841.48"/>
        <n v="5865.86"/>
        <n v="5253.82"/>
        <n v="4363.03"/>
        <n v="13037.22"/>
        <n v="2883.81"/>
        <n v="3187.84"/>
        <n v="6523.95"/>
        <n v="5194.9399999999996"/>
        <n v="641.27"/>
        <n v="2537.6"/>
        <n v="31658.29"/>
        <n v="10744.27"/>
        <n v="812.91"/>
        <n v="8271.91"/>
        <n v="1233.05"/>
        <n v="4641.08"/>
        <n v="1048"/>
        <n v="2756.19"/>
        <n v="3817.69"/>
        <n v="3463.22"/>
        <n v="172.06"/>
        <n v="3369.93"/>
        <n v="2482.9899999999998"/>
        <n v="10472.43"/>
        <n v="290.02"/>
        <n v="2383.4899999999998"/>
        <n v="726.43"/>
        <n v="1583.42"/>
        <n v="2565.2199999999998"/>
        <n v="72.77"/>
        <n v="1239.54"/>
        <n v="834.66"/>
        <n v="898.84"/>
        <n v="5812.1"/>
        <n v="3877.3"/>
        <n v="2360.89"/>
        <n v="1271.31"/>
        <n v="1771.3"/>
        <n v="114.04"/>
        <n v="1703.48"/>
        <n v="1750.03"/>
        <n v="3105.78"/>
        <n v="2543.42"/>
        <n v="326.26"/>
        <n v="662.34"/>
        <n v="21064.95"/>
        <n v="616.16"/>
        <n v="347.38"/>
        <n v="110.58"/>
        <n v="1311.93"/>
        <n v="1286.98"/>
        <n v="1177.29"/>
        <n v="4081.47"/>
        <n v="652.03"/>
        <n v="178.85"/>
        <n v="822.74"/>
        <n v="2784.77"/>
        <n v="394.2"/>
        <n v="148.21"/>
        <n v="745.23"/>
        <n v="3763.65"/>
        <n v="285.23"/>
        <n v="856.21"/>
        <n v="991.29"/>
        <n v="138.63"/>
        <n v="3308.12"/>
        <n v="5870.4"/>
        <n v="624.62"/>
        <n v="7765.18"/>
        <n v="574.05999999999995"/>
        <n v="12046.07"/>
        <n v="217.76"/>
        <n v="3285.93"/>
        <n v="2710.75"/>
        <n v="163.81"/>
        <n v="1573.79"/>
        <n v="737.34"/>
        <n v="2779.29"/>
        <n v="577.76"/>
        <n v="119.16"/>
        <n v="25309.49"/>
        <n v="598.5"/>
        <n v="2960.02"/>
        <n v="2337.09"/>
        <n v="1132.67"/>
        <n v="3040.02"/>
        <n v="3616.51"/>
        <n v="2429.96"/>
        <n v="418.82"/>
        <n v="1484.87"/>
        <n v="204.47"/>
        <n v="87.19"/>
        <n v="3870.37"/>
        <n v="3185.39"/>
        <n v="169.84"/>
        <n v="2425.7800000000002"/>
        <n v="1121.76"/>
        <n v="1023.03"/>
        <n v="3497.2"/>
        <n v="582.21"/>
        <n v="5003.82"/>
        <n v="2873.99"/>
        <n v="2549.2600000000002"/>
        <n v="4073.28"/>
        <n v="2253.6799999999998"/>
        <n v="12881.55"/>
        <n v="5596.51"/>
        <n v="1637.06"/>
        <n v="431.51"/>
        <n v="1033.58"/>
        <n v="1109.55"/>
        <n v="3466.91"/>
        <n v="1231.98"/>
        <n v="6342.89"/>
        <n v="2371.1999999999998"/>
        <n v="1726.9"/>
        <n v="3990.28"/>
        <n v="1067.8599999999999"/>
        <n v="20216.310000000001"/>
        <n v="1442.4"/>
        <n v="1787.73"/>
        <n v="772.92"/>
        <n v="1342.17"/>
        <n v="817.02"/>
        <n v="188.85"/>
        <n v="854.1"/>
        <n v="1166.1099999999999"/>
        <n v="8803.5"/>
        <n v="3349.17"/>
        <n v="111.48"/>
        <n v="1273.6500000000001"/>
        <n v="4491.5"/>
        <n v="1191.3599999999999"/>
        <n v="1004.99"/>
        <n v="486"/>
        <n v="7457.56"/>
        <n v="4680.5200000000004"/>
        <n v="5301.51"/>
        <n v="32142.12"/>
        <n v="279.26"/>
        <n v="1030.69"/>
        <n v="1493.36"/>
        <n v="4544.66"/>
        <n v="158.07"/>
        <n v="915.71"/>
        <n v="1862.77"/>
        <n v="2779.44"/>
        <n v="609.04999999999995"/>
        <n v="15573.84"/>
        <n v="2380.63"/>
        <n v="212.59"/>
        <n v="1138.3"/>
        <n v="1964.03"/>
        <n v="786.25"/>
        <n v="13018.28"/>
        <n v="123.73"/>
        <n v="17465.8"/>
        <n v="3302.93"/>
        <n v="3260.16"/>
        <n v="486.3"/>
        <n v="3642.58"/>
        <n v="707.76"/>
        <n v="1117.1500000000001"/>
        <n v="3137.3"/>
        <n v="1718.75"/>
        <n v="3953.08"/>
        <n v="7326.6"/>
        <n v="2461.52"/>
        <n v="196.99"/>
        <n v="3305.63"/>
        <n v="2783.95"/>
        <n v="21425.84"/>
        <n v="1096.42"/>
        <n v="1450.27"/>
        <n v="1068.78"/>
        <n v="8532.5300000000007"/>
        <n v="598.61"/>
        <n v="16960.47"/>
        <n v="1195.24"/>
        <n v="1547.07"/>
        <n v="6930.5"/>
        <n v="109.94"/>
        <n v="389.16"/>
        <n v="334.57"/>
        <n v="6107.6"/>
        <n v="66.34"/>
        <n v="1280.07"/>
        <n v="8302.3799999999992"/>
        <n v="9127.67"/>
        <n v="2371.92"/>
        <n v="1808.52"/>
        <n v="165.54"/>
        <n v="89.4"/>
        <n v="26692.12"/>
        <n v="1070.0999999999999"/>
        <n v="285.94"/>
        <n v="4904.05"/>
        <n v="1175.23"/>
        <n v="13838.23"/>
        <n v="6570.95"/>
        <n v="926.51"/>
        <n v="1279.0899999999999"/>
        <n v="1259.04"/>
        <n v="80.81"/>
        <n v="1715.62"/>
        <n v="3222.93"/>
        <n v="6349.28"/>
        <n v="854.75"/>
        <n v="4184.8500000000004"/>
        <n v="7494.58"/>
        <n v="86.4"/>
        <n v="325.60000000000002"/>
        <n v="477.3"/>
        <n v="10759.75"/>
        <n v="2190.29"/>
        <n v="1206.97"/>
        <n v="1620.5"/>
        <n v="1551.13"/>
        <n v="1222.1400000000001"/>
        <n v="3076.4"/>
        <n v="172.69"/>
        <n v="2899.09"/>
        <n v="565.71"/>
        <n v="1330.8"/>
        <n v="1627.9"/>
        <n v="749.55"/>
        <n v="1399.3"/>
        <n v="1225.76"/>
        <n v="160.34"/>
        <n v="28526.83"/>
        <n v="2398.4699999999998"/>
        <n v="469.33"/>
        <n v="1715.07"/>
        <n v="853.81"/>
        <n v="1283.9000000000001"/>
        <n v="1107.7"/>
        <n v="10304.81"/>
        <n v="3334.83"/>
        <n v="1528.3"/>
        <n v="2273.61"/>
        <n v="3171.4"/>
        <n v="1627.65"/>
        <n v="2430.2199999999998"/>
        <n v="687.06"/>
        <n v="1772.93"/>
        <n v="580.54"/>
        <n v="5045.74"/>
        <n v="841.05"/>
        <n v="773.97"/>
        <n v="28542.81"/>
        <n v="22312.01"/>
        <n v="353.24"/>
        <n v="2430.89"/>
        <n v="14981.81"/>
        <n v="1127.8"/>
        <n v="2659.07"/>
        <n v="2390.0100000000002"/>
        <n v="7296.68"/>
        <n v="9446.25"/>
        <n v="3072.2"/>
        <n v="5200.2700000000004"/>
        <n v="3019.12"/>
        <n v="4906.43"/>
        <n v="354.17"/>
        <n v="7220.49"/>
        <n v="459.81"/>
        <n v="3900.98"/>
        <n v="93.39"/>
        <n v="1488.58"/>
        <n v="326.52999999999997"/>
        <n v="7583.54"/>
        <n v="1578.51"/>
        <n v="13623.38"/>
        <n v="206.69"/>
        <n v="3250.64"/>
        <n v="3683.94"/>
        <n v="234.19"/>
        <n v="5004.57"/>
        <n v="3852.36"/>
        <n v="18604.73"/>
        <n v="693.71"/>
        <n v="739.36"/>
        <n v="892.44"/>
        <n v="1125.04"/>
        <n v="1532.33"/>
        <n v="3515.96"/>
        <n v="548.92999999999995"/>
        <n v="7571.78"/>
        <n v="687.36"/>
        <n v="2615.41"/>
        <n v="1434.67"/>
        <n v="81.95"/>
        <n v="1287.47"/>
        <n v="474.53"/>
        <n v="1677.82"/>
        <n v="3023.73"/>
        <n v="2631.1"/>
        <n v="2172.33"/>
        <n v="709.69"/>
        <n v="363"/>
        <n v="4576.7299999999996"/>
        <n v="3387.79"/>
        <n v="242.88"/>
        <n v="424.98"/>
        <n v="358.77"/>
        <n v="5207.1000000000004"/>
        <n v="3340.9"/>
        <n v="5415.43"/>
        <n v="160.51"/>
        <n v="5318.46"/>
        <n v="17903.599999999999"/>
        <n v="23023.5"/>
        <n v="4209.76"/>
        <n v="899.9"/>
        <n v="8185.4"/>
        <n v="699.46"/>
        <n v="1317.78"/>
        <n v="4957.0600000000004"/>
        <n v="320.2"/>
        <n v="159.05000000000001"/>
        <n v="1355.53"/>
        <n v="21771.54"/>
        <n v="181.53"/>
        <n v="1112.6600000000001"/>
        <n v="1842.56"/>
        <n v="1928.89"/>
        <n v="704.1"/>
        <n v="780.14"/>
        <n v="113.26"/>
        <n v="2055.61"/>
        <n v="1756.42"/>
        <n v="1618.64"/>
        <n v="178.12"/>
        <n v="1467.67"/>
        <n v="1768.34"/>
        <n v="1434.29"/>
        <n v="398"/>
        <n v="561.79"/>
        <n v="4706.9399999999996"/>
        <n v="2346.92"/>
        <n v="446.93"/>
        <n v="10334.969999999999"/>
        <n v="3689.06"/>
        <n v="1545.4"/>
        <n v="160.03"/>
        <n v="3000.91"/>
        <n v="4413.46"/>
        <n v="971.27"/>
        <n v="13753.34"/>
        <n v="16386.21"/>
        <n v="3125.3"/>
        <n v="1281.5999999999999"/>
        <n v="860.91"/>
        <n v="5555.91"/>
        <n v="1243.97"/>
        <n v="785.37"/>
        <n v="1733.04"/>
        <n v="399.34"/>
        <n v="1191.75"/>
        <n v="1704.09"/>
        <n v="262.58"/>
        <n v="10821.03"/>
        <n v="419.15"/>
        <n v="5398.3"/>
        <n v="549.36"/>
        <n v="2752.88"/>
        <n v="347.61"/>
        <n v="1654.22"/>
        <n v="605.98"/>
        <n v="28155.01"/>
        <n v="349.38"/>
        <n v="1122.3599999999999"/>
        <n v="81.91"/>
        <n v="800.15"/>
        <n v="630.66"/>
        <n v="6051.37"/>
        <n v="1705.81"/>
        <n v="1101.6300000000001"/>
        <n v="4928.9799999999996"/>
        <n v="1589.71"/>
        <n v="1308.27"/>
        <n v="606.32000000000005"/>
        <n v="1245.02"/>
        <n v="1354.1"/>
        <n v="1539.41"/>
        <n v="1272.69"/>
        <n v="385.29"/>
        <n v="1123.81"/>
        <n v="4780.62"/>
        <n v="4888.28"/>
        <n v="812.9"/>
        <n v="2224.94"/>
        <n v="3354.62"/>
        <n v="5165.9399999999996"/>
        <n v="2450.2800000000002"/>
        <n v="1555.34"/>
        <n v="184.31"/>
        <n v="1004.78"/>
        <n v="9118.43"/>
        <n v="449.56"/>
        <n v="3850.96"/>
        <n v="2970.82"/>
        <n v="2401.56"/>
        <n v="1011.24"/>
        <n v="2908.81"/>
        <n v="1326.08"/>
        <n v="562.26"/>
        <n v="13468.53"/>
        <n v="2439.2399999999998"/>
        <n v="1369.98"/>
        <n v="871.67"/>
        <n v="2071.5300000000002"/>
        <n v="4707.07"/>
        <n v="1070.5999999999999"/>
        <n v="92.04"/>
        <n v="5747.92"/>
        <n v="1727.62"/>
        <n v="1068.26"/>
        <n v="2900.32"/>
        <n v="2451.1999999999998"/>
        <n v="4069.73"/>
        <n v="1211.33"/>
        <n v="494.49"/>
        <n v="16847.63"/>
        <n v="2399.5300000000002"/>
        <n v="188.16"/>
        <n v="13081.86"/>
        <n v="3144.39"/>
        <n v="200.64"/>
        <n v="1777.33"/>
        <n v="2205.98"/>
        <n v="1341.69"/>
        <n v="1800.75"/>
        <n v="3658.19"/>
        <n v="5624.2"/>
        <n v="6053.47"/>
        <n v="1138.7"/>
        <n v="3823.09"/>
        <n v="13573.6"/>
        <n v="12199.64"/>
        <n v="697.27"/>
        <n v="3721.41"/>
        <n v="1819.52"/>
        <n v="1201.8599999999999"/>
        <n v="1262.53"/>
        <n v="1392.79"/>
        <n v="358.92"/>
        <n v="83.21"/>
        <n v="1233.4100000000001"/>
        <n v="6602.74"/>
        <n v="4196.01"/>
        <n v="1869.24"/>
        <n v="1737.07"/>
        <n v="20995.34"/>
        <n v="3895.35"/>
        <n v="5062.3999999999996"/>
        <n v="284.77999999999997"/>
        <n v="1587.37"/>
        <n v="4649.59"/>
        <n v="3220.01"/>
        <n v="435.15"/>
        <n v="938.69"/>
        <n v="276.92"/>
        <n v="7558.42"/>
        <n v="821.26"/>
        <n v="1012.84"/>
        <n v="87.41"/>
        <n v="323.25"/>
        <n v="1564.79"/>
        <n v="3846.56"/>
        <n v="541.64"/>
        <n v="1158.4000000000001"/>
        <n v="6392.43"/>
        <n v="20275.22"/>
        <n v="1963.29"/>
        <n v="3474.29"/>
        <n v="1426.36"/>
        <n v="1563.72"/>
        <n v="2304.73"/>
        <n v="2459.89"/>
        <n v="5242.1499999999996"/>
        <n v="479.26"/>
        <n v="169.94"/>
        <n v="2417.17"/>
        <n v="23604.62"/>
        <n v="487.31"/>
        <n v="347.8"/>
        <n v="0"/>
      </sharedItems>
    </cacheField>
    <cacheField name="Profit" numFmtId="0">
      <sharedItems containsSemiMixedTypes="0" containsString="0" containsNumber="1" minValue="-796.35" maxValue="11497.84"/>
    </cacheField>
    <cacheField name="Payment_Mode" numFmtId="0">
      <sharedItems containsMixedTypes="1" containsNumber="1" containsInteger="1" minValue="0" maxValue="0"/>
    </cacheField>
    <cacheField name="Date_Check" numFmtId="0">
      <sharedItems containsBlank="1"/>
    </cacheField>
    <cacheField name="Quantity_Check" numFmtId="0">
      <sharedItems containsBlank="1"/>
    </cacheField>
    <cacheField name="Discount_Check" numFmtId="0">
      <sharedItems containsBlank="1"/>
    </cacheField>
    <cacheField name="Payment_Missing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a Jennifer" refreshedDate="46281.52056365741" createdVersion="8" refreshedVersion="8" minRefreshableVersion="3" recordCount="1004" xr:uid="{D57DD790-44EE-4822-B19A-A471EA5A2AA7}">
  <cacheSource type="worksheet">
    <worksheetSource ref="A1:V1048576" sheet="Cleaned_Data"/>
  </cacheSource>
  <cacheFields count="22">
    <cacheField name="Row_ID" numFmtId="0">
      <sharedItems containsString="0" containsBlank="1" containsNumber="1" containsInteger="1" minValue="0" maxValue="1000"/>
    </cacheField>
    <cacheField name="Order_ID" numFmtId="0">
      <sharedItems containsBlank="1" containsMixedTypes="1" containsNumber="1" containsInteger="1" minValue="0" maxValue="0"/>
    </cacheField>
    <cacheField name="Order_Date" numFmtId="0">
      <sharedItems containsDate="1" containsString="0" containsBlank="1" containsMixedTypes="1" minDate="1899-12-31T00:00:00" maxDate="2026-01-01T00:00:00"/>
    </cacheField>
    <cacheField name="Order_Month" numFmtId="0">
      <sharedItems containsBlank="1" count="13">
        <s v="May-2025"/>
        <s v="Jan-2025"/>
        <s v="Nov-2025"/>
        <s v="Feb-2025"/>
        <s v="Dec-2025"/>
        <s v="Sep-2025"/>
        <s v="Aug-2025"/>
        <s v="Jul-2025"/>
        <s v="Jun-2025"/>
        <s v="Oct-2025"/>
        <s v="Apr-2025"/>
        <s v="Mar-2025"/>
        <m/>
      </sharedItems>
    </cacheField>
    <cacheField name="Ship_Date" numFmtId="0">
      <sharedItems containsDate="1" containsString="0" containsBlank="1" containsMixedTypes="1" minDate="1899-12-31T00:00:00" maxDate="2026-01-05T00:00:00"/>
    </cacheField>
    <cacheField name="Ship_Mode" numFmtId="0">
      <sharedItems containsBlank="1" containsMixedTypes="1" containsNumber="1" containsInteger="1" minValue="0" maxValue="0"/>
    </cacheField>
    <cacheField name="Customer_ID" numFmtId="0">
      <sharedItems containsBlank="1" containsMixedTypes="1" containsNumber="1" containsInteger="1" minValue="0" maxValue="0"/>
    </cacheField>
    <cacheField name="Customer_Name" numFmtId="0">
      <sharedItems containsBlank="1" containsMixedTypes="1" containsNumber="1" containsInteger="1" minValue="0" maxValue="0"/>
    </cacheField>
    <cacheField name="Segment" numFmtId="0">
      <sharedItems containsBlank="1" containsMixedTypes="1" containsNumber="1" containsInteger="1" minValue="0" maxValue="0" count="5">
        <s v="Consumer"/>
        <s v="Corporate"/>
        <s v="Small Business"/>
        <n v="0"/>
        <m/>
      </sharedItems>
    </cacheField>
    <cacheField name="City" numFmtId="0">
      <sharedItems containsBlank="1" containsMixedTypes="1" containsNumber="1" containsInteger="1" minValue="0" maxValue="0" count="14">
        <s v="Kolkata"/>
        <s v="Bhubaneswar"/>
        <s v="Ahmedabad"/>
        <s v="Mysuru"/>
        <s v="Jaipur"/>
        <s v="Lucknow"/>
        <s v="Chennai"/>
        <s v="Hyderabad"/>
        <s v="Mumbai"/>
        <s v="Bengaluru"/>
        <s v="Delhi"/>
        <s v="Pune"/>
        <n v="0"/>
        <m/>
      </sharedItems>
    </cacheField>
    <cacheField name="Region" numFmtId="0">
      <sharedItems containsBlank="1" containsMixedTypes="1" containsNumber="1" containsInteger="1" minValue="0" maxValue="0"/>
    </cacheField>
    <cacheField name="Category" numFmtId="0">
      <sharedItems containsBlank="1" containsMixedTypes="1" containsNumber="1" containsInteger="1" minValue="0" maxValue="0"/>
    </cacheField>
    <cacheField name="Product" numFmtId="0">
      <sharedItems containsBlank="1" containsMixedTypes="1" containsNumber="1" containsInteger="1" minValue="0" maxValue="0"/>
    </cacheField>
    <cacheField name="Quantity" numFmtId="0">
      <sharedItems containsBlank="1" containsMixedTypes="1" containsNumber="1" containsInteger="1" minValue="0" maxValue="5"/>
    </cacheField>
    <cacheField name="Discount" numFmtId="0">
      <sharedItems containsString="0" containsBlank="1" containsNumber="1" minValue="0" maxValue="1.25"/>
    </cacheField>
    <cacheField name="Sales" numFmtId="0">
      <sharedItems containsBlank="1" containsMixedTypes="1" containsNumber="1" minValue="0" maxValue="34668.75"/>
    </cacheField>
    <cacheField name="Profit" numFmtId="0">
      <sharedItems containsString="0" containsBlank="1" containsNumber="1" minValue="-796.35" maxValue="11497.84"/>
    </cacheField>
    <cacheField name="Payment_Mode" numFmtId="0">
      <sharedItems containsBlank="1" containsMixedTypes="1" containsNumber="1" containsInteger="1" minValue="0" maxValue="0" count="8">
        <s v="Net Banking"/>
        <s v="UPI"/>
        <s v="Debit Card"/>
        <s v="Credit Card"/>
        <s v="Cash"/>
        <s v="NULL"/>
        <n v="0"/>
        <m/>
      </sharedItems>
    </cacheField>
    <cacheField name="Date_Check" numFmtId="0">
      <sharedItems containsBlank="1"/>
    </cacheField>
    <cacheField name="Quantity_Check" numFmtId="0">
      <sharedItems containsBlank="1"/>
    </cacheField>
    <cacheField name="Discount_Check" numFmtId="0">
      <sharedItems containsBlank="1"/>
    </cacheField>
    <cacheField name="Payment_Missing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s v="ORD-2025-0001"/>
    <d v="2025-05-02T00:00:00"/>
    <d v="2025-05-05T00:00:00"/>
    <s v="Standard"/>
    <s v="CUST-0104"/>
    <s v="Rahul Verma"/>
    <s v="Consumer"/>
    <s v="Kolkata"/>
    <s v="East"/>
    <x v="0"/>
    <s v="Calculator"/>
    <n v="3"/>
    <n v="0.1"/>
    <x v="0"/>
    <n v="296.69"/>
    <s v="Net Banking"/>
    <b v="0"/>
    <b v="0"/>
    <b v="0"/>
    <m/>
  </r>
  <r>
    <n v="2"/>
    <s v="ORD-2025-0002"/>
    <d v="2025-01-22T00:00:00"/>
    <d v="2025-01-27T00:00:00"/>
    <s v="Express"/>
    <s v="CUST-0170"/>
    <s v="Divya Rao"/>
    <s v="Consumer"/>
    <s v="Bhubaneswar"/>
    <s v="East"/>
    <x v="1"/>
    <s v="Coffee Mug"/>
    <n v="1"/>
    <n v="0.05"/>
    <x v="1"/>
    <n v="79.319999999999993"/>
    <s v="UPI"/>
    <b v="0"/>
    <b v="0"/>
    <b v="0"/>
    <m/>
  </r>
  <r>
    <n v="3"/>
    <s v="ORD-2025-0003"/>
    <d v="2025-11-03T00:00:00"/>
    <d v="2025-11-08T00:00:00"/>
    <s v="Same Day"/>
    <s v="CUST-0014"/>
    <s v="Ishita Roy"/>
    <s v="Consumer"/>
    <s v="Ahmedabad"/>
    <s v="West"/>
    <x v="2"/>
    <s v="Desk Lamp"/>
    <n v="5"/>
    <n v="0.1"/>
    <x v="2"/>
    <n v="1772.43"/>
    <s v="UPI"/>
    <b v="0"/>
    <b v="0"/>
    <b v="0"/>
    <m/>
  </r>
  <r>
    <n v="4"/>
    <s v="ORD-2025-0004"/>
    <d v="2025-02-04T00:00:00"/>
    <d v="2025-02-05T00:00:00"/>
    <s v="Standard"/>
    <s v="CUST-0134"/>
    <s v="Neha Gupta"/>
    <s v="Corporate"/>
    <s v="Bhubaneswar"/>
    <s v="East"/>
    <x v="3"/>
    <s v="USB-C Hub"/>
    <n v="1"/>
    <n v="0.1"/>
    <x v="3"/>
    <n v="188.56"/>
    <s v="UPI"/>
    <b v="0"/>
    <b v="0"/>
    <b v="0"/>
    <m/>
  </r>
  <r>
    <n v="5"/>
    <s v="ORD-2025-0005"/>
    <d v="2025-12-17T00:00:00"/>
    <d v="2025-12-21T00:00:00"/>
    <s v="Standard"/>
    <s v="CUST-0082"/>
    <s v="Sanjay Menon"/>
    <s v="Small Business"/>
    <s v="Mysuru"/>
    <s v="South"/>
    <x v="1"/>
    <s v="Storage Box"/>
    <n v="2"/>
    <n v="0.2"/>
    <x v="4"/>
    <n v="141.24"/>
    <s v="UPI"/>
    <b v="0"/>
    <b v="0"/>
    <b v="0"/>
    <m/>
  </r>
  <r>
    <n v="6"/>
    <s v="ORD-2025-0006"/>
    <d v="2025-12-11T00:00:00"/>
    <d v="2025-12-12T00:00:00"/>
    <s v="Standard"/>
    <s v="CUST-0139"/>
    <s v="Manish Yadav"/>
    <s v="Corporate"/>
    <s v="Jaipur"/>
    <s v="North"/>
    <x v="3"/>
    <s v="USB-C Hub"/>
    <n v="1"/>
    <n v="0"/>
    <x v="5"/>
    <n v="550.86"/>
    <s v="Debit Card"/>
    <b v="0"/>
    <b v="0"/>
    <b v="0"/>
    <m/>
  </r>
  <r>
    <n v="7"/>
    <s v="ORD-2025-0007"/>
    <d v="2025-05-15T00:00:00"/>
    <d v="2025-05-16T00:00:00"/>
    <s v="Standard"/>
    <s v="CUST-0151"/>
    <s v="Arjun Patel"/>
    <s v="Corporate"/>
    <s v="Lucknow"/>
    <s v="North"/>
    <x v="1"/>
    <s v="Electric Kettle"/>
    <n v="2"/>
    <n v="0"/>
    <x v="6"/>
    <n v="1173.49"/>
    <s v="Debit Card"/>
    <b v="0"/>
    <b v="0"/>
    <b v="0"/>
    <m/>
  </r>
  <r>
    <n v="8"/>
    <s v="ORD-2025-0008"/>
    <d v="2025-09-14T00:00:00"/>
    <d v="2025-09-19T00:00:00"/>
    <s v="Standard"/>
    <s v="CUST-0137"/>
    <s v="Sanjay Menon"/>
    <s v="Consumer"/>
    <s v="Chennai"/>
    <s v="South"/>
    <x v="1"/>
    <s v="Water Bottle"/>
    <n v="1"/>
    <n v="0.15"/>
    <x v="7"/>
    <n v="40.43"/>
    <s v="UPI"/>
    <b v="0"/>
    <b v="0"/>
    <b v="0"/>
    <m/>
  </r>
  <r>
    <n v="9"/>
    <s v="ORD-2025-0009"/>
    <d v="2025-08-19T00:00:00"/>
    <d v="2025-08-24T00:00:00"/>
    <s v="Same Day"/>
    <s v="CUST-0071"/>
    <s v="Manish Yadav"/>
    <s v="Consumer"/>
    <s v="Hyderabad"/>
    <s v="South"/>
    <x v="3"/>
    <s v="Wireless Mouse"/>
    <n v="2"/>
    <n v="0.15"/>
    <x v="8"/>
    <n v="308.05"/>
    <s v="Net Banking"/>
    <b v="0"/>
    <b v="0"/>
    <b v="0"/>
    <m/>
  </r>
  <r>
    <n v="10"/>
    <s v="ORD-2025-0010"/>
    <d v="2025-02-13T00:00:00"/>
    <d v="2025-02-17T00:00:00"/>
    <s v="Express"/>
    <s v="CUST-0092"/>
    <s v="Vikram Rao"/>
    <s v="Small Business"/>
    <s v="Mumbai"/>
    <s v="West"/>
    <x v="1"/>
    <s v="Water Bottle"/>
    <n v="4"/>
    <n v="0.2"/>
    <x v="9"/>
    <n v="206.65"/>
    <s v="UPI"/>
    <b v="0"/>
    <b v="0"/>
    <b v="0"/>
    <m/>
  </r>
  <r>
    <n v="11"/>
    <s v="ORD-2025-0011"/>
    <d v="2025-07-17T00:00:00"/>
    <d v="2025-07-20T00:00:00"/>
    <s v="Standard"/>
    <s v="CUST-0172"/>
    <s v="Sanjay Menon"/>
    <s v="Consumer"/>
    <s v="Hyderabad"/>
    <s v="South"/>
    <x v="2"/>
    <s v="Office Chair"/>
    <n v="2"/>
    <n v="0.05"/>
    <x v="10"/>
    <n v="3054.5"/>
    <s v="UPI"/>
    <b v="0"/>
    <b v="0"/>
    <b v="0"/>
    <m/>
  </r>
  <r>
    <n v="12"/>
    <s v="ORD-2025-0012"/>
    <d v="2025-09-25T00:00:00"/>
    <d v="2025-09-27T00:00:00"/>
    <s v="Same Day"/>
    <s v="CUST-0187"/>
    <s v="Nikhil Jain"/>
    <s v="Small Business"/>
    <s v="Bengaluru"/>
    <s v="South"/>
    <x v="2"/>
    <s v="Desk Lamp"/>
    <n v="1"/>
    <n v="0.05"/>
    <x v="11"/>
    <n v="416.4"/>
    <s v="Credit Card"/>
    <b v="0"/>
    <b v="0"/>
    <b v="0"/>
    <m/>
  </r>
  <r>
    <n v="13"/>
    <s v="ORD-2025-0013"/>
    <d v="2025-06-21T00:00:00"/>
    <d v="2025-06-23T00:00:00"/>
    <s v="Express"/>
    <s v="CUST-0203"/>
    <s v="Nikhil Jain"/>
    <s v="Corporate"/>
    <s v="Bengaluru"/>
    <s v="South"/>
    <x v="3"/>
    <s v="Wireless Mouse"/>
    <n v="1"/>
    <n v="0"/>
    <x v="12"/>
    <n v="303.74"/>
    <s v="UPI"/>
    <b v="0"/>
    <b v="0"/>
    <b v="0"/>
    <m/>
  </r>
  <r>
    <n v="14"/>
    <s v="ORD-2025-0014"/>
    <d v="2025-12-15T00:00:00"/>
    <d v="2025-12-18T00:00:00"/>
    <s v="Standard"/>
    <s v="CUST-0195"/>
    <s v="Manish Yadav"/>
    <s v="Consumer"/>
    <s v="Bengaluru"/>
    <s v="South"/>
    <x v="2"/>
    <s v="Bookshelf"/>
    <n v="1"/>
    <n v="0.1"/>
    <x v="13"/>
    <n v="702.12"/>
    <s v="UPI"/>
    <b v="0"/>
    <b v="0"/>
    <b v="0"/>
    <m/>
  </r>
  <r>
    <n v="15"/>
    <s v="ORD-2025-0015"/>
    <d v="2025-05-31T00:00:00"/>
    <d v="2025-06-02T00:00:00"/>
    <s v="Express"/>
    <s v="CUST-0249"/>
    <s v="Shreya Kapoor"/>
    <s v="Consumer"/>
    <s v="Delhi"/>
    <s v="North"/>
    <x v="1"/>
    <s v="Coffee Mug"/>
    <n v="1"/>
    <n v="0.05"/>
    <x v="14"/>
    <n v="52.32"/>
    <s v="UPI"/>
    <b v="0"/>
    <b v="0"/>
    <b v="0"/>
    <m/>
  </r>
  <r>
    <n v="16"/>
    <s v="ORD-2025-0016"/>
    <d v="2025-01-09T00:00:00"/>
    <d v="2025-01-10T00:00:00"/>
    <s v="Express"/>
    <s v="CUST-0152"/>
    <s v="Aarav Sharma"/>
    <s v="Corporate"/>
    <s v="Mumbai"/>
    <s v="West"/>
    <x v="3"/>
    <s v="USB-C Hub"/>
    <n v="4"/>
    <n v="0.1"/>
    <x v="15"/>
    <n v="726.94"/>
    <s v="UPI"/>
    <b v="0"/>
    <b v="0"/>
    <b v="0"/>
    <m/>
  </r>
  <r>
    <n v="17"/>
    <s v="ORD-2025-0017"/>
    <d v="2025-06-02T00:00:00"/>
    <d v="2025-06-07T00:00:00"/>
    <s v="Standard"/>
    <s v="CUST-0163"/>
    <s v="Divya Rao"/>
    <s v="Small Business"/>
    <s v="Chennai"/>
    <s v="South"/>
    <x v="3"/>
    <s v="USB-C Hub"/>
    <n v="2"/>
    <n v="0.2"/>
    <x v="16"/>
    <n v="304.72000000000003"/>
    <s v="UPI"/>
    <b v="0"/>
    <b v="0"/>
    <b v="0"/>
    <m/>
  </r>
  <r>
    <n v="18"/>
    <s v="ORD-2025-0018"/>
    <d v="2025-07-14T00:00:00"/>
    <d v="2025-07-15T00:00:00"/>
    <s v="Standard"/>
    <s v="CUST-0214"/>
    <s v="NULL"/>
    <s v="Corporate"/>
    <s v="Hyderabad"/>
    <s v="South"/>
    <x v="3"/>
    <s v="Power Bank"/>
    <n v="2"/>
    <n v="0.15"/>
    <x v="17"/>
    <n v="252.22"/>
    <s v="Net Banking"/>
    <b v="0"/>
    <b v="0"/>
    <b v="0"/>
    <m/>
  </r>
  <r>
    <n v="19"/>
    <s v="ORD-2025-0019"/>
    <d v="2025-10-11T00:00:00"/>
    <d v="2025-10-12T00:00:00"/>
    <s v="Standard"/>
    <s v="CUST-0035"/>
    <s v="Nikhil Jain"/>
    <s v="Consumer"/>
    <s v="Kolkata"/>
    <s v="East"/>
    <x v="0"/>
    <s v="Desk Organizer"/>
    <n v="3"/>
    <n v="0.1"/>
    <x v="18"/>
    <n v="145.91"/>
    <s v="Net Banking"/>
    <b v="0"/>
    <b v="0"/>
    <b v="0"/>
    <m/>
  </r>
  <r>
    <n v="20"/>
    <s v="ORD-2025-0020"/>
    <d v="2025-10-07T00:00:00"/>
    <d v="2025-10-12T00:00:00"/>
    <s v="Same Day"/>
    <s v="CUST-0225"/>
    <s v="Shreya Kapoor"/>
    <s v="Consumer"/>
    <s v="Pune"/>
    <s v="West"/>
    <x v="0"/>
    <s v="Calculator"/>
    <n v="2"/>
    <n v="0"/>
    <x v="19"/>
    <n v="233.33"/>
    <s v="UPI"/>
    <b v="0"/>
    <b v="0"/>
    <b v="0"/>
    <m/>
  </r>
  <r>
    <n v="21"/>
    <s v="ORD-2025-0021"/>
    <d v="2025-02-27T00:00:00"/>
    <d v="2025-03-02T00:00:00"/>
    <s v="Express"/>
    <s v="CUST-0086"/>
    <s v="Priya Nair"/>
    <s v="Consumer"/>
    <s v="Mysuru"/>
    <s v="South"/>
    <x v="1"/>
    <s v="Lunch Box"/>
    <n v="2"/>
    <n v="0.2"/>
    <x v="20"/>
    <n v="232.31"/>
    <s v="UPI"/>
    <b v="0"/>
    <b v="0"/>
    <b v="0"/>
    <m/>
  </r>
  <r>
    <n v="22"/>
    <s v="ORD-2025-0022"/>
    <d v="2025-06-19T00:00:00"/>
    <d v="2025-06-21T00:00:00"/>
    <s v="Same Day"/>
    <s v="CUST-0250"/>
    <s v="Vikram Rao"/>
    <s v="Consumer"/>
    <s v="Jaipur"/>
    <s v="North"/>
    <x v="0"/>
    <s v="Notebook"/>
    <n v="3"/>
    <n v="0.05"/>
    <x v="21"/>
    <n v="100.47"/>
    <s v="Debit Card"/>
    <b v="0"/>
    <b v="0"/>
    <b v="0"/>
    <m/>
  </r>
  <r>
    <n v="23"/>
    <s v="ORD-2025-0023"/>
    <d v="2025-11-18T00:00:00"/>
    <d v="2025-11-21T00:00:00"/>
    <s v="Standard"/>
    <s v="CUST-0058"/>
    <s v="Nikhil Jain"/>
    <s v="Consumer"/>
    <s v="Chennai"/>
    <s v="South"/>
    <x v="2"/>
    <s v="Desk Lamp"/>
    <n v="1"/>
    <n v="0.05"/>
    <x v="22"/>
    <n v="283.44"/>
    <s v="Cash"/>
    <b v="0"/>
    <b v="0"/>
    <b v="0"/>
    <m/>
  </r>
  <r>
    <n v="24"/>
    <s v="ORD-2025-0024"/>
    <d v="2025-04-18T00:00:00"/>
    <d v="2025-04-23T00:00:00"/>
    <s v="Standard"/>
    <s v="CUST-0094"/>
    <s v="Sanjay Menon"/>
    <s v="Corporate"/>
    <s v="Mumbai"/>
    <s v="West"/>
    <x v="0"/>
    <s v="File Folder"/>
    <n v="2"/>
    <n v="0.15"/>
    <x v="23"/>
    <n v="10.44"/>
    <s v="UPI"/>
    <b v="0"/>
    <b v="0"/>
    <b v="0"/>
    <m/>
  </r>
  <r>
    <n v="25"/>
    <s v="ORD-2025-0025"/>
    <d v="2025-04-30T00:00:00"/>
    <d v="2025-05-03T00:00:00"/>
    <s v="Standard"/>
    <s v="CUST-0117"/>
    <s v="Rohan Mehta"/>
    <s v="Corporate"/>
    <s v="Bhubaneswar"/>
    <s v="East"/>
    <x v="3"/>
    <s v="Keyboard"/>
    <n v="3"/>
    <n v="0"/>
    <x v="24"/>
    <n v="1395.93"/>
    <s v="UPI"/>
    <b v="0"/>
    <b v="0"/>
    <b v="0"/>
    <m/>
  </r>
  <r>
    <n v="26"/>
    <s v="ORD-2025-0026"/>
    <d v="2025-09-29T00:00:00"/>
    <d v="2025-10-04T00:00:00"/>
    <s v="Express"/>
    <s v="CUST-0247"/>
    <s v="Rahul Verma"/>
    <s v="Consumer"/>
    <s v="Pune"/>
    <s v="West"/>
    <x v="1"/>
    <s v="Coffee Mug"/>
    <n v="3"/>
    <n v="0.15"/>
    <x v="25"/>
    <n v="125"/>
    <s v="UPI"/>
    <b v="0"/>
    <b v="0"/>
    <b v="0"/>
    <m/>
  </r>
  <r>
    <n v="27"/>
    <s v="ORD-2025-0027"/>
    <d v="2025-08-26T00:00:00"/>
    <d v="2025-08-30T00:00:00"/>
    <s v="Express"/>
    <s v="CUST-0085"/>
    <s v="Vikram Rao"/>
    <s v="Consumer"/>
    <s v="Bhubaneswar"/>
    <s v="East"/>
    <x v="1"/>
    <s v="Water Bottle"/>
    <n v="1"/>
    <n v="0"/>
    <x v="26"/>
    <n v="171.71"/>
    <s v="Credit Card"/>
    <b v="0"/>
    <b v="0"/>
    <b v="0"/>
    <m/>
  </r>
  <r>
    <n v="28"/>
    <s v="ORD-2025-0028"/>
    <d v="2025-06-29T00:00:00"/>
    <d v="2025-07-01T00:00:00"/>
    <s v="Express"/>
    <s v="CUST-0069"/>
    <s v="Kiran Joshi"/>
    <s v="Consumer"/>
    <s v="Lucknow"/>
    <s v="North"/>
    <x v="2"/>
    <s v="Study Table"/>
    <n v="4"/>
    <n v="0.2"/>
    <x v="27"/>
    <n v="2504.0100000000002"/>
    <s v="UPI"/>
    <b v="0"/>
    <b v="0"/>
    <b v="0"/>
    <m/>
  </r>
  <r>
    <n v="29"/>
    <s v="ORD-2025-0029"/>
    <d v="2025-06-01T00:00:00"/>
    <d v="2025-06-05T00:00:00"/>
    <s v="Standard"/>
    <s v="CUST-0179"/>
    <s v="Aditya Kumar"/>
    <s v="Small Business"/>
    <s v="Bhubaneswar"/>
    <s v="East"/>
    <x v="2"/>
    <s v="Office Chair"/>
    <n v="2"/>
    <n v="0.2"/>
    <x v="28"/>
    <n v="466.27"/>
    <s v="UPI"/>
    <b v="0"/>
    <b v="0"/>
    <b v="0"/>
    <m/>
  </r>
  <r>
    <n v="30"/>
    <s v="ORD-2025-0030"/>
    <d v="2025-04-05T00:00:00"/>
    <d v="2025-04-07T00:00:00"/>
    <s v="Standard"/>
    <s v="CUST-0090"/>
    <s v="Kavya Iyer"/>
    <s v="Consumer"/>
    <s v="Kolkata"/>
    <s v="East"/>
    <x v="1"/>
    <s v="Coffee Mug"/>
    <n v="1"/>
    <n v="0"/>
    <x v="29"/>
    <n v="62.86"/>
    <s v="Debit Card"/>
    <b v="0"/>
    <b v="0"/>
    <b v="0"/>
    <m/>
  </r>
  <r>
    <n v="31"/>
    <s v="ORD-2025-0031"/>
    <d v="2025-04-24T00:00:00"/>
    <d v="2025-04-29T00:00:00"/>
    <s v="Standard"/>
    <s v="CUST-0249"/>
    <s v="Sneha Reddy"/>
    <s v="Consumer"/>
    <s v="Jaipur"/>
    <s v="North"/>
    <x v="0"/>
    <s v="Desk Organizer"/>
    <n v="2"/>
    <n v="0.15"/>
    <x v="30"/>
    <n v="233.35"/>
    <s v="Debit Card"/>
    <b v="0"/>
    <b v="0"/>
    <b v="0"/>
    <m/>
  </r>
  <r>
    <n v="32"/>
    <s v="ORD-2025-0032"/>
    <d v="2025-04-06T00:00:00"/>
    <d v="2025-04-11T00:00:00"/>
    <s v="Express"/>
    <s v="CUST-0099"/>
    <s v="Rohan Mehta"/>
    <s v="Consumer"/>
    <s v="Chennai"/>
    <s v="South"/>
    <x v="1"/>
    <s v="Water Bottle"/>
    <n v="2"/>
    <n v="0.05"/>
    <x v="31"/>
    <n v="168.86"/>
    <s v="Credit Card"/>
    <b v="0"/>
    <b v="0"/>
    <b v="0"/>
    <m/>
  </r>
  <r>
    <n v="33"/>
    <s v="ORD-2025-0033"/>
    <d v="2025-04-10T00:00:00"/>
    <d v="2025-04-14T00:00:00"/>
    <s v="Standard"/>
    <s v="CUST-0028"/>
    <s v="Meera Shah"/>
    <s v="Corporate"/>
    <s v="Pune"/>
    <s v="West"/>
    <x v="0"/>
    <s v="Notebook"/>
    <n v="1"/>
    <n v="0"/>
    <x v="32"/>
    <n v="46.15"/>
    <s v="Credit Card"/>
    <b v="0"/>
    <b v="0"/>
    <b v="0"/>
    <m/>
  </r>
  <r>
    <n v="34"/>
    <s v="ORD-2025-0034"/>
    <d v="2025-02-22T00:00:00"/>
    <d v="2025-02-23T00:00:00"/>
    <s v="Same Day"/>
    <s v="CUST-0142"/>
    <s v="Arjun Patel"/>
    <s v="Corporate"/>
    <s v="Mumbai"/>
    <s v="West"/>
    <x v="0"/>
    <s v="Calculator"/>
    <n v="1"/>
    <n v="0.05"/>
    <x v="33"/>
    <n v="69.61"/>
    <s v="Credit Card"/>
    <b v="0"/>
    <b v="0"/>
    <b v="0"/>
    <m/>
  </r>
  <r>
    <n v="35"/>
    <s v="ORD-2025-0035"/>
    <d v="2025-09-10T00:00:00"/>
    <d v="2025-09-15T00:00:00"/>
    <s v="Express"/>
    <s v="CUST-0194"/>
    <s v="Arjun Patel"/>
    <s v="Consumer"/>
    <s v="Jaipur"/>
    <s v="North"/>
    <x v="2"/>
    <s v="Desk Lamp"/>
    <n v="3"/>
    <n v="0.1"/>
    <x v="34"/>
    <n v="684.71"/>
    <s v="UPI"/>
    <b v="0"/>
    <b v="0"/>
    <b v="0"/>
    <m/>
  </r>
  <r>
    <n v="36"/>
    <s v="ORD-2025-0036"/>
    <d v="2025-11-23T00:00:00"/>
    <d v="2025-11-24T00:00:00"/>
    <s v="Express"/>
    <s v="CUST-0019"/>
    <s v="Pooja Das"/>
    <s v="Corporate"/>
    <s v="Bengaluru"/>
    <s v="South"/>
    <x v="2"/>
    <s v="Folding Chair"/>
    <n v="4"/>
    <n v="0"/>
    <x v="35"/>
    <n v="2296.5700000000002"/>
    <s v="Credit Card"/>
    <b v="0"/>
    <b v="0"/>
    <b v="0"/>
    <m/>
  </r>
  <r>
    <n v="37"/>
    <s v="ORD-2025-0037"/>
    <d v="2025-11-13T00:00:00"/>
    <d v="2025-11-14T00:00:00"/>
    <s v="Standard"/>
    <s v="CUST-0249"/>
    <s v="Nikhil Jain"/>
    <s v="Consumer"/>
    <s v="Mysuru"/>
    <s v="South"/>
    <x v="1"/>
    <s v="Lunch Box"/>
    <n v="2"/>
    <n v="0"/>
    <x v="36"/>
    <n v="374.96"/>
    <s v="Credit Card"/>
    <b v="0"/>
    <b v="0"/>
    <b v="0"/>
    <m/>
  </r>
  <r>
    <n v="38"/>
    <s v="ORD-2025-0038"/>
    <d v="2025-10-30T00:00:00"/>
    <d v="2025-11-04T00:00:00"/>
    <s v="Same Day"/>
    <s v="CUST-0164"/>
    <s v="Rahul Verma"/>
    <s v="Corporate"/>
    <s v="Bhubaneswar"/>
    <s v="East"/>
    <x v="0"/>
    <s v="Pen Set"/>
    <n v="5"/>
    <n v="0.1"/>
    <x v="37"/>
    <n v="32.380000000000003"/>
    <s v="UPI"/>
    <b v="0"/>
    <b v="0"/>
    <b v="0"/>
    <m/>
  </r>
  <r>
    <n v="39"/>
    <s v="ORD-2025-0039"/>
    <d v="2025-05-24T00:00:00"/>
    <d v="2025-05-25T00:00:00"/>
    <s v="Standard"/>
    <s v="CUST-0102"/>
    <s v="Pooja Das"/>
    <s v="Consumer"/>
    <s v="Bengaluru"/>
    <s v="South"/>
    <x v="3"/>
    <s v="Wireless Mouse"/>
    <n v="2"/>
    <n v="0.1"/>
    <x v="38"/>
    <n v="200.76"/>
    <s v="UPI"/>
    <b v="0"/>
    <b v="0"/>
    <b v="0"/>
    <m/>
  </r>
  <r>
    <n v="40"/>
    <s v="ORD-2025-0040"/>
    <d v="2025-01-28T00:00:00"/>
    <d v="2025-02-01T00:00:00"/>
    <s v="Standard"/>
    <s v="CUST-0191"/>
    <s v="Nikhil Jain"/>
    <s v="Consumer"/>
    <s v="Lucknow"/>
    <s v="North"/>
    <x v="3"/>
    <s v="USB-C Hub"/>
    <n v="2"/>
    <n v="0"/>
    <x v="39"/>
    <n v="941.5"/>
    <s v="Credit Card"/>
    <b v="0"/>
    <b v="0"/>
    <b v="0"/>
    <m/>
  </r>
  <r>
    <n v="41"/>
    <s v="ORD-2025-0041"/>
    <d v="2025-09-13T00:00:00"/>
    <d v="2025-09-18T00:00:00"/>
    <s v="Same Day"/>
    <s v="CUST-0242"/>
    <s v="Kiran Joshi"/>
    <s v="Consumer"/>
    <s v="Chennai"/>
    <s v="South"/>
    <x v="2"/>
    <s v="Folding Chair"/>
    <n v="3"/>
    <n v="0.2"/>
    <x v="40"/>
    <n v="568.98"/>
    <s v="Credit Card"/>
    <b v="0"/>
    <b v="0"/>
    <b v="0"/>
    <m/>
  </r>
  <r>
    <n v="42"/>
    <s v="ORD-2025-0042"/>
    <d v="2025-08-05T00:00:00"/>
    <d v="2025-08-08T00:00:00"/>
    <s v="Standard"/>
    <s v="CUST-0099"/>
    <s v="Aarav Sharma"/>
    <s v="Consumer"/>
    <s v="Bengaluru"/>
    <s v="South"/>
    <x v="1"/>
    <s v="Coffee Mug"/>
    <n v="2"/>
    <n v="0.15"/>
    <x v="41"/>
    <n v="54.67"/>
    <s v="UPI"/>
    <b v="0"/>
    <b v="0"/>
    <b v="0"/>
    <m/>
  </r>
  <r>
    <n v="43"/>
    <s v="ORD-2025-0043"/>
    <d v="2025-02-22T00:00:00"/>
    <d v="2025-02-27T00:00:00"/>
    <s v="Standard"/>
    <s v="CUST-0201"/>
    <s v="Meera Shah"/>
    <s v="Consumer"/>
    <s v="Mumbai"/>
    <s v="West"/>
    <x v="2"/>
    <s v="Folding Chair"/>
    <n v="5"/>
    <n v="0.1"/>
    <x v="42"/>
    <n v="2046.97"/>
    <s v="UPI"/>
    <b v="0"/>
    <b v="0"/>
    <b v="0"/>
    <m/>
  </r>
  <r>
    <n v="44"/>
    <s v="ORD-2025-0044"/>
    <d v="2025-04-05T00:00:00"/>
    <d v="2025-04-07T00:00:00"/>
    <s v="Express"/>
    <s v="CUST-0050"/>
    <s v="Pooja Das"/>
    <s v="Small Business"/>
    <s v="Bengaluru"/>
    <s v="South"/>
    <x v="3"/>
    <s v="Wireless Mouse"/>
    <n v="3"/>
    <n v="0"/>
    <x v="43"/>
    <n v="682.12"/>
    <s v="Net Banking"/>
    <b v="0"/>
    <b v="0"/>
    <b v="0"/>
    <m/>
  </r>
  <r>
    <n v="45"/>
    <s v="ORD-2025-0045"/>
    <d v="2025-07-26T00:00:00"/>
    <d v="2025-07-31T00:00:00"/>
    <s v="Standard"/>
    <s v="CUST-0166"/>
    <s v="Priya Nair"/>
    <s v="Consumer"/>
    <s v="Jaipur"/>
    <s v="North"/>
    <x v="3"/>
    <s v="Bluetooth Speaker"/>
    <n v="2"/>
    <n v="0.1"/>
    <x v="44"/>
    <n v="569.74"/>
    <s v="Credit Card"/>
    <b v="0"/>
    <b v="0"/>
    <b v="0"/>
    <m/>
  </r>
  <r>
    <n v="46"/>
    <s v="ORD-2025-0046"/>
    <d v="2025-06-15T00:00:00"/>
    <d v="2025-06-16T00:00:00"/>
    <s v="Express"/>
    <s v="CUST-0051"/>
    <s v="Nikhil Jain"/>
    <s v="Small Business"/>
    <s v="Chennai"/>
    <s v="South"/>
    <x v="0"/>
    <s v="Desk Organizer"/>
    <n v="4"/>
    <n v="0.05"/>
    <x v="45"/>
    <n v="499.74"/>
    <s v="UPI"/>
    <b v="0"/>
    <b v="0"/>
    <b v="0"/>
    <m/>
  </r>
  <r>
    <n v="47"/>
    <s v="ORD-2025-0047"/>
    <d v="2025-02-03T00:00:00"/>
    <d v="2025-02-08T00:00:00"/>
    <s v="Standard"/>
    <s v="CUST-0203"/>
    <s v="Manish Yadav"/>
    <s v="Consumer"/>
    <s v="Bengaluru"/>
    <s v="South"/>
    <x v="1"/>
    <s v="Coffee Mug"/>
    <n v="1"/>
    <n v="0.1"/>
    <x v="46"/>
    <n v="67.099999999999994"/>
    <s v="Credit Card"/>
    <b v="0"/>
    <b v="0"/>
    <b v="0"/>
    <m/>
  </r>
  <r>
    <n v="48"/>
    <s v="ORD-2025-0048"/>
    <d v="2025-07-03T00:00:00"/>
    <d v="2025-07-04T00:00:00"/>
    <s v="Express"/>
    <s v="CUST-0178"/>
    <s v="Manish Yadav"/>
    <s v="Consumer"/>
    <s v="Pune"/>
    <s v="West"/>
    <x v="2"/>
    <s v="Bookshelf"/>
    <n v="3"/>
    <n v="0"/>
    <x v="47"/>
    <n v="4482.46"/>
    <s v="UPI"/>
    <b v="0"/>
    <b v="0"/>
    <b v="0"/>
    <m/>
  </r>
  <r>
    <n v="49"/>
    <s v="ORD-2025-0049"/>
    <d v="2025-08-21T00:00:00"/>
    <d v="2025-08-25T00:00:00"/>
    <s v="Standard"/>
    <s v="CUST-0045"/>
    <s v="Rohan Mehta"/>
    <s v="Consumer"/>
    <s v="Pune"/>
    <s v="West"/>
    <x v="3"/>
    <s v="Power Bank"/>
    <n v="1"/>
    <n v="0"/>
    <x v="48"/>
    <n v="333.06"/>
    <s v="Credit Card"/>
    <b v="0"/>
    <b v="0"/>
    <b v="0"/>
    <m/>
  </r>
  <r>
    <n v="50"/>
    <s v="ORD-2025-0050"/>
    <d v="2025-04-23T00:00:00"/>
    <d v="2025-04-26T00:00:00"/>
    <s v="Standard"/>
    <s v="CUST-0214"/>
    <s v="Meera Shah"/>
    <s v="Corporate"/>
    <s v="Bengaluru"/>
    <s v="South"/>
    <x v="2"/>
    <s v="Bookshelf"/>
    <n v="1"/>
    <n v="0.2"/>
    <x v="49"/>
    <n v="519.19000000000005"/>
    <s v="UPI"/>
    <b v="0"/>
    <b v="0"/>
    <b v="0"/>
    <m/>
  </r>
  <r>
    <n v="51"/>
    <s v="ORD-2025-0051"/>
    <d v="2025-01-07T00:00:00"/>
    <d v="2025-01-10T00:00:00"/>
    <s v="Standard"/>
    <s v="CUST-0237"/>
    <s v="Ishita Roy"/>
    <s v="Consumer"/>
    <s v="Lucknow"/>
    <s v="North"/>
    <x v="0"/>
    <s v="Calculator"/>
    <n v="1"/>
    <n v="0.05"/>
    <x v="50"/>
    <n v="172.38"/>
    <s v="Credit Card"/>
    <b v="0"/>
    <b v="0"/>
    <b v="0"/>
    <m/>
  </r>
  <r>
    <n v="52"/>
    <s v="ORD-2025-0052"/>
    <d v="2025-09-30T00:00:00"/>
    <d v="2025-10-02T00:00:00"/>
    <s v="Standard"/>
    <s v="CUST-0025"/>
    <s v="Sneha Reddy"/>
    <s v="Consumer"/>
    <s v="Ahmedabad"/>
    <s v="West"/>
    <x v="3"/>
    <s v="Wireless Mouse"/>
    <n v="2"/>
    <n v="0"/>
    <x v="51"/>
    <n v="538.35"/>
    <s v="Debit Card"/>
    <b v="0"/>
    <b v="0"/>
    <b v="0"/>
    <m/>
  </r>
  <r>
    <n v="53"/>
    <s v="ORD-2025-0053"/>
    <d v="2025-08-24T00:00:00"/>
    <d v="2025-08-27T00:00:00"/>
    <s v="Express"/>
    <s v="CUST-0064"/>
    <s v="Priya Nair"/>
    <s v="Consumer"/>
    <s v="Pune"/>
    <s v="West"/>
    <x v="0"/>
    <s v="File Folder"/>
    <n v="2"/>
    <n v="0.15"/>
    <x v="52"/>
    <n v="27.4"/>
    <s v="Credit Card"/>
    <b v="0"/>
    <b v="0"/>
    <b v="0"/>
    <m/>
  </r>
  <r>
    <n v="54"/>
    <s v="ORD-2025-0054"/>
    <d v="2025-03-11T00:00:00"/>
    <d v="2025-03-15T00:00:00"/>
    <s v="Express"/>
    <s v="CUST-0152"/>
    <s v="Rohan Mehta"/>
    <s v="Consumer"/>
    <s v="Bengaluru"/>
    <s v="South"/>
    <x v="0"/>
    <s v="Notebook"/>
    <n v="1"/>
    <n v="0"/>
    <x v="53"/>
    <n v="71.55"/>
    <s v="Credit Card"/>
    <b v="0"/>
    <b v="0"/>
    <b v="0"/>
    <m/>
  </r>
  <r>
    <n v="55"/>
    <s v="ORD-2025-0055"/>
    <d v="2025-08-08T00:00:00"/>
    <d v="2025-08-11T00:00:00"/>
    <s v="Standard"/>
    <s v="CUST-0248"/>
    <s v="Ananya Singh"/>
    <s v="Corporate"/>
    <s v="Delhi"/>
    <s v="North"/>
    <x v="0"/>
    <s v="File Folder"/>
    <n v="1"/>
    <n v="0.05"/>
    <x v="54"/>
    <n v="18.12"/>
    <s v="Net Banking"/>
    <b v="0"/>
    <b v="0"/>
    <b v="0"/>
    <m/>
  </r>
  <r>
    <n v="56"/>
    <s v="ORD-2025-0056"/>
    <d v="2025-04-28T00:00:00"/>
    <d v="2025-05-02T00:00:00"/>
    <s v="Standard"/>
    <s v="CUST-0047"/>
    <s v="Aarav Sharma"/>
    <s v="Corporate"/>
    <s v="Chennai"/>
    <s v="South"/>
    <x v="2"/>
    <s v="Study Table"/>
    <n v="4"/>
    <n v="0"/>
    <x v="55"/>
    <n v="7587.52"/>
    <s v="UPI"/>
    <b v="0"/>
    <b v="0"/>
    <b v="0"/>
    <m/>
  </r>
  <r>
    <n v="57"/>
    <s v="ORD-2025-0057"/>
    <d v="2025-06-27T00:00:00"/>
    <d v="2025-06-29T00:00:00"/>
    <s v="Standard"/>
    <s v="CUST-0168"/>
    <s v="Priya Nair"/>
    <s v="Consumer"/>
    <s v="Hyderabad"/>
    <s v="South"/>
    <x v="2"/>
    <s v="Bookshelf"/>
    <n v="1"/>
    <n v="0.1"/>
    <x v="56"/>
    <n v="802.94"/>
    <s v="UPI"/>
    <b v="0"/>
    <b v="0"/>
    <b v="0"/>
    <m/>
  </r>
  <r>
    <n v="58"/>
    <s v="ORD-2025-0058"/>
    <d v="2025-04-04T00:00:00"/>
    <d v="2025-04-05T00:00:00"/>
    <s v="Standard"/>
    <s v="CUST-0117"/>
    <s v="Aditya Kumar"/>
    <s v="Small Business"/>
    <s v="Kolkata"/>
    <s v="East"/>
    <x v="3"/>
    <s v="Wireless Mouse"/>
    <n v="2"/>
    <n v="0.1"/>
    <x v="57"/>
    <n v="259.47000000000003"/>
    <s v="UPI"/>
    <b v="0"/>
    <b v="0"/>
    <b v="0"/>
    <m/>
  </r>
  <r>
    <n v="59"/>
    <s v="ORD-2025-0059"/>
    <d v="2025-11-12T00:00:00"/>
    <d v="2025-11-15T00:00:00"/>
    <s v="Express"/>
    <s v="CUST-0154"/>
    <s v="Sneha Reddy"/>
    <s v="Consumer"/>
    <s v="Delhi"/>
    <s v="North"/>
    <x v="3"/>
    <s v="USB-C Hub"/>
    <n v="3"/>
    <n v="0.15"/>
    <x v="58"/>
    <n v="173.35"/>
    <s v="Credit Card"/>
    <b v="0"/>
    <b v="0"/>
    <b v="0"/>
    <m/>
  </r>
  <r>
    <n v="60"/>
    <s v="ORD-2025-0060"/>
    <d v="2025-06-02T00:00:00"/>
    <d v="2025-06-03T00:00:00"/>
    <s v="Standard"/>
    <s v="CUST-0104"/>
    <s v="Kavya Iyer"/>
    <s v="Corporate"/>
    <s v="Pune"/>
    <s v="West"/>
    <x v="2"/>
    <s v="Bookshelf"/>
    <n v="2"/>
    <n v="0.1"/>
    <x v="59"/>
    <n v="2200.0100000000002"/>
    <s v="UPI"/>
    <b v="0"/>
    <b v="0"/>
    <b v="0"/>
    <m/>
  </r>
  <r>
    <n v="61"/>
    <s v="ORD-2025-0061"/>
    <d v="2025-04-21T00:00:00"/>
    <d v="2025-04-26T00:00:00"/>
    <s v="Standard"/>
    <s v="CUST-0157"/>
    <s v="Ananya Singh"/>
    <s v="Corporate"/>
    <s v="Delhi"/>
    <s v="North"/>
    <x v="1"/>
    <s v="Lunch Box"/>
    <n v="3"/>
    <n v="0"/>
    <x v="60"/>
    <n v="484.93"/>
    <s v="Debit Card"/>
    <b v="0"/>
    <b v="0"/>
    <b v="0"/>
    <m/>
  </r>
  <r>
    <n v="62"/>
    <s v="ORD-2025-0062"/>
    <d v="2025-05-03T00:00:00"/>
    <d v="2025-05-05T00:00:00"/>
    <s v="Standard"/>
    <s v="CUST-0228"/>
    <s v="Kiran Joshi"/>
    <s v="Consumer"/>
    <s v="Hyderabad"/>
    <s v="South"/>
    <x v="1"/>
    <s v="Water Bottle"/>
    <n v="2"/>
    <n v="0.15"/>
    <x v="61"/>
    <n v="52.22"/>
    <s v="UPI"/>
    <b v="0"/>
    <b v="0"/>
    <b v="0"/>
    <m/>
  </r>
  <r>
    <n v="63"/>
    <s v="ORD-2025-0063"/>
    <d v="2025-04-05T00:00:00"/>
    <d v="2025-04-08T00:00:00"/>
    <s v="Standard"/>
    <s v="CUST-0069"/>
    <s v="Shreya Kapoor"/>
    <s v="Consumer"/>
    <s v="Hyderabad"/>
    <s v="South"/>
    <x v="1"/>
    <s v="Electric Kettle"/>
    <n v="3"/>
    <n v="0.15"/>
    <x v="62"/>
    <n v="744.46"/>
    <s v="Net Banking"/>
    <b v="0"/>
    <b v="0"/>
    <b v="0"/>
    <m/>
  </r>
  <r>
    <n v="64"/>
    <s v="ORD-2025-0064"/>
    <d v="2025-07-29T00:00:00"/>
    <d v="2025-07-30T00:00:00"/>
    <s v="Standard"/>
    <s v="CUST-0236"/>
    <s v="Sneha Reddy"/>
    <s v="Small Business"/>
    <s v="Kolkata"/>
    <s v="East"/>
    <x v="2"/>
    <s v="Study Table"/>
    <n v="1"/>
    <n v="0.1"/>
    <x v="63"/>
    <n v="789.64"/>
    <s v="Debit Card"/>
    <b v="0"/>
    <b v="0"/>
    <b v="0"/>
    <m/>
  </r>
  <r>
    <n v="65"/>
    <s v="ORD-2025-0065"/>
    <d v="2025-02-20T00:00:00"/>
    <d v="2025-02-25T00:00:00"/>
    <s v="Same Day"/>
    <s v="CUST-0001"/>
    <s v="Meera Shah"/>
    <s v="Consumer"/>
    <s v="Bengaluru"/>
    <s v="South"/>
    <x v="3"/>
    <s v="Keyboard"/>
    <n v="2"/>
    <n v="0.1"/>
    <x v="64"/>
    <n v="198.22"/>
    <s v="UPI"/>
    <b v="0"/>
    <b v="0"/>
    <b v="0"/>
    <m/>
  </r>
  <r>
    <n v="66"/>
    <s v="ORD-2025-0066"/>
    <d v="2025-05-29T00:00:00"/>
    <d v="2025-05-30T00:00:00"/>
    <s v="Express"/>
    <s v="CUST-0154"/>
    <s v="Rohan Mehta"/>
    <s v="Consumer"/>
    <s v="Bengaluru"/>
    <s v="South"/>
    <x v="3"/>
    <s v="Wireless Mouse"/>
    <n v="4"/>
    <n v="0.1"/>
    <x v="65"/>
    <n v="833.73"/>
    <s v="Credit Card"/>
    <b v="0"/>
    <b v="0"/>
    <b v="0"/>
    <m/>
  </r>
  <r>
    <n v="67"/>
    <s v="ORD-2025-0067"/>
    <d v="2025-01-17T00:00:00"/>
    <d v="2025-01-20T00:00:00"/>
    <s v="Standard"/>
    <s v="CUST-0025"/>
    <s v="Vikram Rao"/>
    <s v="Consumer"/>
    <s v="Ahmedabad"/>
    <s v="West"/>
    <x v="1"/>
    <s v="Coffee Mug"/>
    <n v="1"/>
    <n v="0.15"/>
    <x v="66"/>
    <n v="2.3199999999999998"/>
    <s v="UPI"/>
    <b v="0"/>
    <b v="0"/>
    <b v="0"/>
    <m/>
  </r>
  <r>
    <n v="68"/>
    <s v="ORD-2025-0068"/>
    <d v="2025-02-18T00:00:00"/>
    <d v="2025-02-19T00:00:00"/>
    <s v="Standard"/>
    <s v="CUST-0220"/>
    <s v="Kavya Iyer"/>
    <s v="Consumer"/>
    <s v="Kolkata"/>
    <s v="East"/>
    <x v="0"/>
    <s v="Calculator"/>
    <n v="2"/>
    <n v="0"/>
    <x v="67"/>
    <n v="515.29"/>
    <s v="Credit Card"/>
    <b v="0"/>
    <b v="0"/>
    <b v="0"/>
    <m/>
  </r>
  <r>
    <n v="69"/>
    <s v="ORD-2025-0069"/>
    <d v="2025-06-07T00:00:00"/>
    <d v="2025-06-12T00:00:00"/>
    <s v="Express"/>
    <s v="CUST-0019"/>
    <s v="Ishita Roy"/>
    <s v="Consumer"/>
    <s v="Kolkata"/>
    <s v="East"/>
    <x v="3"/>
    <s v="Bluetooth Speaker"/>
    <n v="3"/>
    <n v="0.05"/>
    <x v="68"/>
    <n v="1517.27"/>
    <s v="Debit Card"/>
    <b v="0"/>
    <b v="0"/>
    <b v="0"/>
    <m/>
  </r>
  <r>
    <n v="70"/>
    <s v="ORD-2025-0070"/>
    <d v="2025-11-15T00:00:00"/>
    <d v="2025-11-19T00:00:00"/>
    <s v="Same Day"/>
    <s v="CUST-0032"/>
    <s v="Neha Gupta"/>
    <s v="Consumer"/>
    <s v="Bengaluru"/>
    <s v="South"/>
    <x v="0"/>
    <s v="File Folder"/>
    <n v="2"/>
    <n v="0.1"/>
    <x v="69"/>
    <n v="14.23"/>
    <s v="Debit Card"/>
    <b v="0"/>
    <b v="0"/>
    <b v="0"/>
    <m/>
  </r>
  <r>
    <n v="71"/>
    <s v="ORD-2025-0071"/>
    <d v="2025-11-09T00:00:00"/>
    <d v="2025-11-12T00:00:00"/>
    <s v="Standard"/>
    <s v="CUST-0054"/>
    <s v="Sanjay Menon"/>
    <s v="Corporate"/>
    <s v="Mysuru"/>
    <s v="South"/>
    <x v="0"/>
    <s v="File Folder"/>
    <n v="4"/>
    <n v="0.1"/>
    <x v="70"/>
    <n v="43.71"/>
    <s v="Net Banking"/>
    <b v="0"/>
    <b v="0"/>
    <b v="0"/>
    <m/>
  </r>
  <r>
    <n v="72"/>
    <s v="ORD-2025-0072"/>
    <d v="2025-04-30T00:00:00"/>
    <d v="2025-05-03T00:00:00"/>
    <s v="Standard"/>
    <s v="CUST-0142"/>
    <s v="Divya Rao"/>
    <s v="Consumer"/>
    <s v="Chennai"/>
    <s v="South"/>
    <x v="2"/>
    <s v="Study Table"/>
    <n v="1"/>
    <n v="0.15"/>
    <x v="71"/>
    <n v="563.03"/>
    <s v="Debit Card"/>
    <b v="0"/>
    <b v="0"/>
    <b v="0"/>
    <m/>
  </r>
  <r>
    <n v="73"/>
    <s v="ORD-2025-0073"/>
    <d v="2025-10-12T00:00:00"/>
    <d v="2025-10-16T00:00:00"/>
    <s v="Express"/>
    <s v="CUST-0011"/>
    <s v="Neha Gupta"/>
    <s v="Small Business"/>
    <s v="Chennai"/>
    <s v="South"/>
    <x v="2"/>
    <s v="Folding Chair"/>
    <n v="1"/>
    <n v="0.2"/>
    <x v="72"/>
    <n v="25.53"/>
    <s v="UPI"/>
    <b v="0"/>
    <b v="0"/>
    <b v="0"/>
    <m/>
  </r>
  <r>
    <n v="74"/>
    <s v="ORD-2025-0074"/>
    <d v="2025-08-14T00:00:00"/>
    <d v="2025-08-19T00:00:00"/>
    <s v="Express"/>
    <s v="CUST-0024"/>
    <s v="Nikhil Jain"/>
    <s v="Small Business"/>
    <s v="Mumbai"/>
    <s v="West"/>
    <x v="3"/>
    <s v="USB-C Hub"/>
    <n v="1"/>
    <n v="0.15"/>
    <x v="73"/>
    <n v="34.229999999999997"/>
    <s v="Credit Card"/>
    <b v="0"/>
    <b v="0"/>
    <b v="0"/>
    <m/>
  </r>
  <r>
    <n v="75"/>
    <s v="ORD-2025-0075"/>
    <d v="2025-02-09T00:00:00"/>
    <d v="2025-02-11T00:00:00"/>
    <s v="Standard"/>
    <s v="CUST-0235"/>
    <s v="Meera Shah"/>
    <s v="Small Business"/>
    <s v="Mysuru"/>
    <s v="South"/>
    <x v="1"/>
    <s v="Water Bottle"/>
    <n v="1"/>
    <n v="0.05"/>
    <x v="74"/>
    <n v="145.26"/>
    <s v="Credit Card"/>
    <b v="0"/>
    <b v="0"/>
    <b v="0"/>
    <m/>
  </r>
  <r>
    <n v="76"/>
    <s v="ORD-2025-0076"/>
    <d v="2025-02-11T00:00:00"/>
    <d v="2025-02-15T00:00:00"/>
    <s v="Standard"/>
    <s v="CUST-0230"/>
    <s v="Pooja Das"/>
    <s v="Consumer"/>
    <s v="Kolkata"/>
    <s v="East"/>
    <x v="3"/>
    <s v="Power Bank"/>
    <n v="3"/>
    <n v="0.1"/>
    <x v="75"/>
    <n v="958.21"/>
    <s v="UPI"/>
    <b v="0"/>
    <b v="0"/>
    <b v="0"/>
    <m/>
  </r>
  <r>
    <n v="77"/>
    <s v="ORD-2025-0077"/>
    <d v="2025-08-25T00:00:00"/>
    <d v="2025-08-26T00:00:00"/>
    <s v="Express"/>
    <s v="CUST-0213"/>
    <s v="Meera Shah"/>
    <s v="Consumer"/>
    <s v="Pune"/>
    <s v="West"/>
    <x v="3"/>
    <s v="Wireless Mouse"/>
    <n v="3"/>
    <n v="0.05"/>
    <x v="76"/>
    <n v="514.87"/>
    <s v="UPI"/>
    <b v="0"/>
    <b v="0"/>
    <b v="0"/>
    <m/>
  </r>
  <r>
    <n v="78"/>
    <s v="ORD-2025-0078"/>
    <d v="2025-05-29T00:00:00"/>
    <d v="2025-06-01T00:00:00"/>
    <s v="Express"/>
    <s v="CUST-0039"/>
    <s v="Kavya Iyer"/>
    <s v="Corporate"/>
    <s v="Mumbai"/>
    <s v="West"/>
    <x v="2"/>
    <s v="Bookshelf"/>
    <n v="2"/>
    <n v="0"/>
    <x v="77"/>
    <n v="2646.58"/>
    <s v="Credit Card"/>
    <b v="0"/>
    <b v="0"/>
    <b v="0"/>
    <m/>
  </r>
  <r>
    <n v="79"/>
    <s v="ORD-2025-0079"/>
    <d v="2025-05-28T00:00:00"/>
    <d v="2025-05-31T00:00:00"/>
    <s v="Standard"/>
    <s v="CUST-0109"/>
    <s v="Aditya Kumar"/>
    <s v="Consumer"/>
    <s v="Delhi"/>
    <s v="North"/>
    <x v="2"/>
    <s v="Folding Chair"/>
    <n v="1"/>
    <n v="0"/>
    <x v="78"/>
    <n v="682.22"/>
    <s v="Debit Card"/>
    <b v="0"/>
    <b v="0"/>
    <b v="0"/>
    <m/>
  </r>
  <r>
    <n v="80"/>
    <s v="ORD-2025-0080"/>
    <d v="2025-04-14T00:00:00"/>
    <d v="2025-04-16T00:00:00"/>
    <s v="Standard"/>
    <s v="CUST-0108"/>
    <s v="Pooja Das"/>
    <s v="Small Business"/>
    <s v="Delhi"/>
    <s v="North"/>
    <x v="3"/>
    <s v="Wireless Mouse"/>
    <n v="3"/>
    <n v="0.1"/>
    <x v="79"/>
    <n v="626.05999999999995"/>
    <s v="UPI"/>
    <b v="0"/>
    <b v="0"/>
    <b v="0"/>
    <m/>
  </r>
  <r>
    <n v="81"/>
    <s v="ORD-2025-0081"/>
    <d v="2025-01-17T00:00:00"/>
    <d v="2025-01-19T00:00:00"/>
    <s v="Standard"/>
    <s v="CUST-0080"/>
    <s v="Manish Yadav"/>
    <s v="Corporate"/>
    <s v="Bhubaneswar"/>
    <s v="East"/>
    <x v="3"/>
    <s v="Power Bank"/>
    <n v="3"/>
    <n v="0.25"/>
    <x v="80"/>
    <n v="144"/>
    <s v="Cash"/>
    <b v="0"/>
    <b v="0"/>
    <b v="0"/>
    <m/>
  </r>
  <r>
    <n v="82"/>
    <s v="ORD-2025-0082"/>
    <d v="2025-12-31T00:00:00"/>
    <d v="2026-01-02T00:00:00"/>
    <s v="Same Day"/>
    <s v="CUST-0151"/>
    <s v="Vikram Rao"/>
    <s v="Consumer"/>
    <s v="Mysuru"/>
    <s v="South"/>
    <x v="2"/>
    <s v="Office Chair"/>
    <n v="2"/>
    <n v="0"/>
    <x v="81"/>
    <n v="2120.7199999999998"/>
    <s v="Debit Card"/>
    <b v="0"/>
    <b v="0"/>
    <b v="0"/>
    <m/>
  </r>
  <r>
    <n v="83"/>
    <s v="ORD-2025-0083"/>
    <d v="2025-04-13T00:00:00"/>
    <d v="2025-04-14T00:00:00"/>
    <s v="Standard"/>
    <s v="CUST-0045"/>
    <s v="Priya Nair"/>
    <s v="Small Business"/>
    <s v="Kolkata"/>
    <s v="East"/>
    <x v="3"/>
    <s v="Keyboard"/>
    <n v="4"/>
    <n v="0.1"/>
    <x v="82"/>
    <n v="1146.1099999999999"/>
    <s v="Credit Card"/>
    <b v="0"/>
    <b v="0"/>
    <b v="0"/>
    <m/>
  </r>
  <r>
    <n v="84"/>
    <s v="ORD-2025-0084"/>
    <d v="2025-12-15T00:00:00"/>
    <d v="2025-12-16T00:00:00"/>
    <s v="Standard"/>
    <s v="CUST-0108"/>
    <s v="Priya Nair"/>
    <s v="Consumer"/>
    <s v="Ahmedabad"/>
    <s v="West"/>
    <x v="0"/>
    <s v="File Folder"/>
    <n v="1"/>
    <n v="0.1"/>
    <x v="83"/>
    <n v="17.77"/>
    <s v="Cash"/>
    <b v="0"/>
    <b v="0"/>
    <b v="0"/>
    <m/>
  </r>
  <r>
    <n v="85"/>
    <s v="ORD-2025-0085"/>
    <d v="2025-02-08T00:00:00"/>
    <d v="2025-02-12T00:00:00"/>
    <s v="Standard"/>
    <s v="CUST-0236"/>
    <s v="Divya Rao"/>
    <s v="Small Business"/>
    <s v="Mysuru"/>
    <s v="South"/>
    <x v="3"/>
    <s v="Power Bank"/>
    <n v="4"/>
    <n v="0.15"/>
    <x v="84"/>
    <n v="835.8"/>
    <s v="Net Banking"/>
    <b v="0"/>
    <b v="0"/>
    <b v="0"/>
    <m/>
  </r>
  <r>
    <n v="86"/>
    <s v="ORD-2025-0086"/>
    <d v="2025-06-26T00:00:00"/>
    <d v="2025-06-29T00:00:00"/>
    <s v="Express"/>
    <s v="CUST-0146"/>
    <s v="Arjun Patel"/>
    <s v="Consumer"/>
    <s v="Ahmedabad"/>
    <s v="West"/>
    <x v="1"/>
    <s v="Water Bottle"/>
    <n v="2"/>
    <n v="0.15"/>
    <x v="85"/>
    <n v="167.49"/>
    <s v="UPI"/>
    <b v="0"/>
    <b v="0"/>
    <b v="0"/>
    <m/>
  </r>
  <r>
    <n v="87"/>
    <s v="ORD-2025-0087"/>
    <d v="2025-07-06T00:00:00"/>
    <d v="2025-07-08T00:00:00"/>
    <s v="Standard"/>
    <s v="CUST-0039"/>
    <s v="Meera Shah"/>
    <s v="Corporate"/>
    <s v="Bengaluru"/>
    <s v="South"/>
    <x v="1"/>
    <s v="Water Bottle"/>
    <n v="2"/>
    <n v="0"/>
    <x v="86"/>
    <n v="357.29"/>
    <s v="NULL"/>
    <b v="0"/>
    <b v="0"/>
    <b v="0"/>
    <m/>
  </r>
  <r>
    <n v="88"/>
    <s v="ORD-2025-0088"/>
    <d v="2025-03-04T00:00:00"/>
    <d v="2025-03-09T00:00:00"/>
    <s v="Standard"/>
    <s v="CUST-0057"/>
    <s v="Rohan Mehta"/>
    <s v="Consumer"/>
    <s v="Hyderabad"/>
    <s v="South"/>
    <x v="1"/>
    <s v="Storage Box"/>
    <n v="1"/>
    <n v="0.2"/>
    <x v="87"/>
    <n v="163.96"/>
    <s v="Debit Card"/>
    <b v="0"/>
    <b v="0"/>
    <b v="0"/>
    <m/>
  </r>
  <r>
    <n v="89"/>
    <s v="ORD-2025-0089"/>
    <d v="2025-04-09T00:00:00"/>
    <d v="2025-04-13T00:00:00"/>
    <s v="Standard"/>
    <s v="CUST-0178"/>
    <s v="Ishita Roy"/>
    <s v="Corporate"/>
    <s v="Pune"/>
    <s v="West"/>
    <x v="0"/>
    <s v="Calculator"/>
    <n v="5"/>
    <n v="0.2"/>
    <x v="88"/>
    <n v="600.65"/>
    <s v="UPI"/>
    <b v="0"/>
    <b v="0"/>
    <b v="0"/>
    <m/>
  </r>
  <r>
    <n v="90"/>
    <s v="ORD-2025-0090"/>
    <d v="2025-03-09T00:00:00"/>
    <d v="2025-03-14T00:00:00"/>
    <s v="Standard"/>
    <s v="CUST-0220"/>
    <s v="Rohan Mehta"/>
    <s v="Consumer"/>
    <s v="Delhi"/>
    <s v="North"/>
    <x v="1"/>
    <s v="Electric Kettle"/>
    <n v="3"/>
    <n v="0"/>
    <x v="89"/>
    <n v="883.26"/>
    <s v="Cash"/>
    <b v="0"/>
    <b v="0"/>
    <b v="0"/>
    <m/>
  </r>
  <r>
    <n v="91"/>
    <s v="ORD-2025-0091"/>
    <d v="2025-05-04T00:00:00"/>
    <d v="2025-05-07T00:00:00"/>
    <s v="Standard"/>
    <s v="CUST-0060"/>
    <s v="Divya Rao"/>
    <s v="Corporate"/>
    <s v="Mumbai"/>
    <s v="West"/>
    <x v="3"/>
    <s v="Wireless Mouse"/>
    <n v="3"/>
    <n v="0.05"/>
    <x v="90"/>
    <n v="604.16999999999996"/>
    <s v="UPI"/>
    <b v="0"/>
    <b v="0"/>
    <b v="0"/>
    <m/>
  </r>
  <r>
    <n v="92"/>
    <s v="ORD-2025-0092"/>
    <d v="2025-12-20T00:00:00"/>
    <d v="2025-12-23T00:00:00"/>
    <s v="Standard"/>
    <s v="CUST-0080"/>
    <s v="Kavya Iyer"/>
    <s v="Consumer"/>
    <s v="Chennai"/>
    <s v="South"/>
    <x v="1"/>
    <s v="Electric Kettle"/>
    <n v="3"/>
    <n v="0.05"/>
    <x v="91"/>
    <n v="1175.71"/>
    <s v="UPI"/>
    <b v="0"/>
    <b v="0"/>
    <b v="0"/>
    <m/>
  </r>
  <r>
    <n v="93"/>
    <s v="ORD-2025-0093"/>
    <d v="2025-12-22T00:00:00"/>
    <d v="2025-12-25T00:00:00"/>
    <s v="Express"/>
    <s v="CUST-0058"/>
    <s v="Manish Yadav"/>
    <s v="Small Business"/>
    <s v="Kolkata"/>
    <s v="East"/>
    <x v="3"/>
    <s v="Power Bank"/>
    <n v="1"/>
    <n v="0.2"/>
    <x v="92"/>
    <n v="202.03"/>
    <s v="UPI"/>
    <b v="0"/>
    <b v="0"/>
    <b v="0"/>
    <m/>
  </r>
  <r>
    <n v="94"/>
    <s v="ORD-2025-0094"/>
    <d v="2025-07-25T00:00:00"/>
    <d v="2025-07-30T00:00:00"/>
    <s v="Standard"/>
    <s v="CUST-0046"/>
    <s v="Nikhil Jain"/>
    <s v="Corporate"/>
    <s v="Ahmedabad"/>
    <s v="West"/>
    <x v="1"/>
    <s v="Electric Kettle"/>
    <n v="1"/>
    <n v="0.2"/>
    <x v="93"/>
    <n v="322.58999999999997"/>
    <s v="UPI"/>
    <b v="0"/>
    <b v="0"/>
    <b v="0"/>
    <m/>
  </r>
  <r>
    <n v="95"/>
    <s v="ORD-2025-0095"/>
    <d v="2025-03-15T00:00:00"/>
    <d v="2025-03-16T00:00:00"/>
    <s v="Express"/>
    <s v="CUST-0222"/>
    <s v="Arjun Patel"/>
    <s v="Consumer"/>
    <s v="Chennai"/>
    <s v="South"/>
    <x v="0"/>
    <s v="Calculator"/>
    <n v="1"/>
    <n v="0.05"/>
    <x v="94"/>
    <n v="198.65"/>
    <s v="Net Banking"/>
    <b v="0"/>
    <b v="0"/>
    <b v="0"/>
    <m/>
  </r>
  <r>
    <n v="96"/>
    <s v="ORD-2025-0096"/>
    <d v="2025-07-12T00:00:00"/>
    <d v="2025-07-14T00:00:00"/>
    <s v="Same Day"/>
    <s v="CUST-0175"/>
    <s v="Pooja Das"/>
    <s v="Corporate"/>
    <s v="Hyderabad"/>
    <s v="South"/>
    <x v="2"/>
    <s v="Study Table"/>
    <n v="1"/>
    <n v="0.15"/>
    <x v="95"/>
    <n v="163.54"/>
    <s v="UPI"/>
    <b v="0"/>
    <b v="0"/>
    <b v="0"/>
    <m/>
  </r>
  <r>
    <n v="97"/>
    <s v="ORD-2025-0097"/>
    <d v="2025-02-27T00:00:00"/>
    <d v="2025-03-01T00:00:00"/>
    <s v="Same Day"/>
    <s v="CUST-0099"/>
    <s v="Kiran Joshi"/>
    <s v="Small Business"/>
    <s v="Kolkata"/>
    <s v="East"/>
    <x v="1"/>
    <s v="Electric Kettle"/>
    <n v="3"/>
    <n v="0.05"/>
    <x v="96"/>
    <n v="1100.4000000000001"/>
    <s v="Credit Card"/>
    <b v="0"/>
    <b v="0"/>
    <b v="0"/>
    <m/>
  </r>
  <r>
    <n v="98"/>
    <s v="ORD-2025-0098"/>
    <d v="2025-03-25T00:00:00"/>
    <d v="2025-03-28T00:00:00"/>
    <s v="Standard"/>
    <s v="CUST-0092"/>
    <s v="Sanjay Menon"/>
    <s v="Consumer"/>
    <s v="Hyderabad"/>
    <s v="South"/>
    <x v="1"/>
    <s v="Lunch Box"/>
    <n v="4"/>
    <n v="0.15"/>
    <x v="97"/>
    <n v="57.47"/>
    <s v="Debit Card"/>
    <b v="0"/>
    <b v="0"/>
    <b v="0"/>
    <m/>
  </r>
  <r>
    <n v="99"/>
    <s v="ORD-2025-0099"/>
    <d v="2025-01-15T00:00:00"/>
    <d v="2025-01-17T00:00:00"/>
    <s v="Express"/>
    <s v="CUST-0012"/>
    <s v="Ishita Roy"/>
    <s v="Small Business"/>
    <s v="Mumbai"/>
    <s v="West"/>
    <x v="0"/>
    <s v="Notebook"/>
    <n v="5"/>
    <n v="0.1"/>
    <x v="98"/>
    <n v="223.16"/>
    <s v="Credit Card"/>
    <b v="0"/>
    <b v="0"/>
    <b v="0"/>
    <m/>
  </r>
  <r>
    <n v="100"/>
    <s v="ORD-2025-0100"/>
    <d v="2025-01-27T00:00:00"/>
    <d v="2025-01-29T00:00:00"/>
    <s v="Standard"/>
    <s v="CUST-0181"/>
    <s v="Rahul Verma"/>
    <s v="Consumer"/>
    <s v="Bengaluru"/>
    <s v="South"/>
    <x v="1"/>
    <s v="Water Bottle"/>
    <n v="1"/>
    <n v="0"/>
    <x v="99"/>
    <n v="140.15"/>
    <s v="Credit Card"/>
    <b v="0"/>
    <b v="0"/>
    <b v="0"/>
    <m/>
  </r>
  <r>
    <n v="101"/>
    <s v="ORD-2025-0101"/>
    <d v="2025-11-15T00:00:00"/>
    <d v="2025-11-20T00:00:00"/>
    <s v="Standard"/>
    <s v="CUST-0205"/>
    <s v="Nikhil Jain"/>
    <s v="Consumer"/>
    <s v="Bhubaneswar"/>
    <s v="East"/>
    <x v="3"/>
    <s v="Wireless Mouse"/>
    <n v="1"/>
    <n v="0.1"/>
    <x v="100"/>
    <n v="79.66"/>
    <s v="UPI"/>
    <b v="0"/>
    <b v="0"/>
    <b v="0"/>
    <m/>
  </r>
  <r>
    <n v="102"/>
    <s v="ORD-2025-0102"/>
    <d v="2025-09-24T00:00:00"/>
    <d v="2025-09-27T00:00:00"/>
    <s v="Same Day"/>
    <s v="CUST-0160"/>
    <s v="Sanjay Menon"/>
    <s v="Consumer"/>
    <s v="Jaipur"/>
    <s v="North"/>
    <x v="0"/>
    <s v="Desk Organizer"/>
    <n v="4"/>
    <n v="0.15"/>
    <x v="101"/>
    <n v="266.41000000000003"/>
    <s v="Debit Card"/>
    <b v="0"/>
    <b v="0"/>
    <b v="0"/>
    <m/>
  </r>
  <r>
    <n v="103"/>
    <s v="ORD-2025-0103"/>
    <d v="2025-01-02T00:00:00"/>
    <d v="2025-01-03T00:00:00"/>
    <s v="Standard"/>
    <s v="CUST-0116"/>
    <s v="Vikram Rao"/>
    <s v="Consumer"/>
    <s v="Delhi"/>
    <s v="North"/>
    <x v="2"/>
    <s v="Study Table"/>
    <n v="1"/>
    <n v="0.05"/>
    <x v="102"/>
    <n v="1544.83"/>
    <s v="Credit Card"/>
    <b v="0"/>
    <b v="0"/>
    <b v="0"/>
    <m/>
  </r>
  <r>
    <n v="104"/>
    <s v="ORD-2025-0104"/>
    <d v="2025-12-26T00:00:00"/>
    <d v="2025-12-29T00:00:00"/>
    <s v="Standard"/>
    <s v="CUST-0073"/>
    <s v="Vikram Rao"/>
    <s v="Corporate"/>
    <s v="Mysuru"/>
    <s v="South"/>
    <x v="2"/>
    <s v="Study Table"/>
    <n v="1"/>
    <n v="0.15"/>
    <x v="103"/>
    <n v="131.68"/>
    <s v="UPI"/>
    <b v="0"/>
    <b v="0"/>
    <b v="0"/>
    <m/>
  </r>
  <r>
    <n v="105"/>
    <s v="ORD-2025-0105"/>
    <d v="2025-09-08T00:00:00"/>
    <d v="2025-09-11T00:00:00"/>
    <s v="Express"/>
    <s v="CUST-0154"/>
    <s v="Rahul Verma"/>
    <s v="Consumer"/>
    <s v="Bhubaneswar"/>
    <s v="East"/>
    <x v="1"/>
    <s v="Coffee Mug"/>
    <n v="3"/>
    <n v="0.05"/>
    <x v="104"/>
    <n v="231.41"/>
    <s v="UPI"/>
    <b v="0"/>
    <b v="0"/>
    <b v="0"/>
    <m/>
  </r>
  <r>
    <n v="106"/>
    <s v="ORD-2025-0106"/>
    <d v="2025-01-25T00:00:00"/>
    <d v="2025-01-30T00:00:00"/>
    <s v="Standard"/>
    <s v="CUST-0173"/>
    <s v="Kavya Iyer"/>
    <s v="Small Business"/>
    <s v="Pune"/>
    <s v="West"/>
    <x v="0"/>
    <s v="Pen Set"/>
    <n v="2"/>
    <n v="0.15"/>
    <x v="105"/>
    <n v="41.77"/>
    <s v="Credit Card"/>
    <b v="0"/>
    <b v="0"/>
    <b v="0"/>
    <m/>
  </r>
  <r>
    <n v="107"/>
    <s v="ORD-2025-0107"/>
    <d v="2025-02-06T00:00:00"/>
    <d v="2025-02-07T00:00:00"/>
    <s v="Standard"/>
    <s v="CUST-0189"/>
    <s v="Sanjay Menon"/>
    <s v="Consumer"/>
    <s v="Mysuru"/>
    <s v="South"/>
    <x v="3"/>
    <s v="USB-C Hub"/>
    <n v="1"/>
    <n v="0.15"/>
    <x v="106"/>
    <n v="319.47000000000003"/>
    <s v="Credit Card"/>
    <b v="0"/>
    <b v="0"/>
    <b v="0"/>
    <m/>
  </r>
  <r>
    <n v="108"/>
    <s v="ORD-2025-0108"/>
    <d v="2025-12-30T00:00:00"/>
    <d v="2026-01-03T00:00:00"/>
    <s v="Standard"/>
    <s v="CUST-0105"/>
    <s v="Sneha Reddy"/>
    <s v="Consumer"/>
    <s v="Delhi"/>
    <s v="North"/>
    <x v="1"/>
    <s v="Coffee Mug"/>
    <n v="2"/>
    <n v="0.05"/>
    <x v="107"/>
    <n v="132.63999999999999"/>
    <s v="UPI"/>
    <b v="0"/>
    <b v="0"/>
    <b v="0"/>
    <m/>
  </r>
  <r>
    <n v="109"/>
    <s v="ORD-2025-0109"/>
    <d v="2025-07-05T00:00:00"/>
    <d v="2025-07-10T00:00:00"/>
    <s v="Express"/>
    <s v="CUST-0143"/>
    <s v="Aarav Sharma"/>
    <s v="Consumer"/>
    <s v="Hyderabad"/>
    <s v="South"/>
    <x v="2"/>
    <s v="Study Table"/>
    <n v="2"/>
    <n v="0.05"/>
    <x v="108"/>
    <n v="2490.52"/>
    <s v="Debit Card"/>
    <b v="0"/>
    <b v="0"/>
    <b v="0"/>
    <m/>
  </r>
  <r>
    <n v="110"/>
    <s v="ORD-2025-0110"/>
    <d v="2025-10-20T00:00:00"/>
    <d v="2025-10-25T00:00:00"/>
    <s v="Standard"/>
    <s v="CUST-0125"/>
    <s v="Sanjay Menon"/>
    <s v="Corporate"/>
    <s v="Bhubaneswar"/>
    <s v="East"/>
    <x v="1"/>
    <s v="Coffee Mug"/>
    <n v="2"/>
    <n v="0.1"/>
    <x v="109"/>
    <n v="91.97"/>
    <s v="Credit Card"/>
    <b v="0"/>
    <b v="0"/>
    <b v="0"/>
    <m/>
  </r>
  <r>
    <n v="111"/>
    <s v="ORD-2025-0111"/>
    <d v="2025-06-12T00:00:00"/>
    <d v="2025-06-17T00:00:00"/>
    <s v="Standard"/>
    <s v="CUST-0164"/>
    <s v="Kiran Joshi"/>
    <s v="Consumer"/>
    <s v="Kolkata"/>
    <s v="East"/>
    <x v="2"/>
    <s v="Office Chair"/>
    <n v="1"/>
    <n v="0.05"/>
    <x v="110"/>
    <n v="911.05"/>
    <s v="UPI"/>
    <b v="0"/>
    <b v="0"/>
    <b v="0"/>
    <m/>
  </r>
  <r>
    <n v="112"/>
    <s v="ORD-2025-0112"/>
    <d v="2025-05-13T00:00:00"/>
    <d v="2025-05-17T00:00:00"/>
    <s v="Standard"/>
    <s v="CUST-0118"/>
    <s v="Shreya Kapoor"/>
    <s v="Consumer"/>
    <s v="Lucknow"/>
    <s v="North"/>
    <x v="1"/>
    <s v="Coffee Mug"/>
    <n v="3"/>
    <n v="0"/>
    <x v="111"/>
    <n v="178.56"/>
    <s v="Debit Card"/>
    <b v="0"/>
    <b v="0"/>
    <b v="0"/>
    <m/>
  </r>
  <r>
    <n v="113"/>
    <s v="ORD-2025-0113"/>
    <d v="2025-11-08T00:00:00"/>
    <d v="2025-11-12T00:00:00"/>
    <s v="Standard"/>
    <s v="CUST-0148"/>
    <s v="Ishita Roy"/>
    <s v="Small Business"/>
    <s v="Mumbai"/>
    <s v="West"/>
    <x v="0"/>
    <s v="File Folder"/>
    <n v="3"/>
    <n v="0.15"/>
    <x v="112"/>
    <n v="40.32"/>
    <s v="UPI"/>
    <b v="0"/>
    <b v="0"/>
    <b v="0"/>
    <m/>
  </r>
  <r>
    <n v="114"/>
    <s v="ORD-2025-0114"/>
    <d v="2025-09-02T00:00:00"/>
    <d v="2025-09-05T00:00:00"/>
    <s v="Standard"/>
    <s v="CUST-0234"/>
    <s v="Shreya Kapoor"/>
    <s v="Small Business"/>
    <s v="Bengaluru"/>
    <s v="South"/>
    <x v="3"/>
    <s v="Keyboard"/>
    <n v="1"/>
    <n v="0.1"/>
    <x v="113"/>
    <n v="210.45"/>
    <s v="Net Banking"/>
    <b v="0"/>
    <b v="0"/>
    <b v="0"/>
    <m/>
  </r>
  <r>
    <n v="115"/>
    <s v="ORD-2025-0115"/>
    <d v="2025-08-11T00:00:00"/>
    <d v="2025-08-14T00:00:00"/>
    <s v="Standard"/>
    <s v="CUST-0128"/>
    <s v="Kiran Joshi"/>
    <s v="Consumer"/>
    <s v="Jaipur"/>
    <s v="North"/>
    <x v="3"/>
    <s v="Keyboard"/>
    <n v="2"/>
    <n v="0.2"/>
    <x v="114"/>
    <n v="118.82"/>
    <s v="Net Banking"/>
    <b v="0"/>
    <b v="0"/>
    <b v="0"/>
    <m/>
  </r>
  <r>
    <n v="116"/>
    <s v="ORD-2025-0116"/>
    <d v="2025-12-18T00:00:00"/>
    <d v="2025-12-23T00:00:00"/>
    <s v="Express"/>
    <s v="CUST-0119"/>
    <s v="Aditya Kumar"/>
    <s v="Corporate"/>
    <s v="Mumbai"/>
    <s v="West"/>
    <x v="2"/>
    <s v="Study Table"/>
    <n v="1"/>
    <n v="0.15"/>
    <x v="115"/>
    <n v="1528.04"/>
    <s v="Credit Card"/>
    <b v="0"/>
    <b v="0"/>
    <b v="0"/>
    <m/>
  </r>
  <r>
    <n v="117"/>
    <s v="ORD-2025-0117"/>
    <d v="2025-10-16T00:00:00"/>
    <d v="2025-10-17T00:00:00"/>
    <s v="Standard"/>
    <s v="CUST-0069"/>
    <s v="Rohan Mehta"/>
    <s v="Consumer"/>
    <s v="Bhubaneswar"/>
    <s v="East"/>
    <x v="2"/>
    <s v="Office Chair"/>
    <n v="1"/>
    <n v="0.15"/>
    <x v="116"/>
    <n v="407.23"/>
    <s v="Debit Card"/>
    <b v="0"/>
    <b v="0"/>
    <b v="0"/>
    <m/>
  </r>
  <r>
    <n v="118"/>
    <s v="ORD-2025-0118"/>
    <d v="2025-03-14T00:00:00"/>
    <d v="2025-03-19T00:00:00"/>
    <s v="Express"/>
    <s v="CUST-0125"/>
    <s v="Ananya Singh"/>
    <s v="Consumer"/>
    <s v="Bengaluru"/>
    <s v="South"/>
    <x v="1"/>
    <s v="Water Bottle"/>
    <n v="2"/>
    <n v="0.2"/>
    <x v="117"/>
    <n v="37.6"/>
    <s v="Debit Card"/>
    <b v="0"/>
    <b v="0"/>
    <b v="0"/>
    <m/>
  </r>
  <r>
    <n v="119"/>
    <s v="ORD-2025-0119"/>
    <d v="2025-05-09T00:00:00"/>
    <d v="2025-05-10T00:00:00"/>
    <s v="Express"/>
    <s v="CUST-0143"/>
    <s v="Manish Yadav"/>
    <s v="Consumer"/>
    <s v="Jaipur"/>
    <s v="North"/>
    <x v="1"/>
    <s v="Coffee Mug"/>
    <n v="1"/>
    <n v="0.2"/>
    <x v="118"/>
    <n v="12.02"/>
    <s v="Credit Card"/>
    <b v="0"/>
    <b v="0"/>
    <b v="0"/>
    <m/>
  </r>
  <r>
    <n v="120"/>
    <s v="ORD-2025-0120"/>
    <d v="2025-12-21T00:00:00"/>
    <d v="2025-12-23T00:00:00"/>
    <s v="Standard"/>
    <s v="CUST-0072"/>
    <s v="Divya Rao"/>
    <s v="Small Business"/>
    <s v="Chennai"/>
    <s v="South"/>
    <x v="3"/>
    <s v="Wireless Mouse"/>
    <n v="1"/>
    <n v="0"/>
    <x v="119"/>
    <n v="244.37"/>
    <s v="Net Banking"/>
    <b v="0"/>
    <b v="0"/>
    <b v="0"/>
    <m/>
  </r>
  <r>
    <n v="121"/>
    <s v="ORD-2025-0121"/>
    <d v="2025-10-27T00:00:00"/>
    <d v="2025-10-31T00:00:00"/>
    <s v="Express"/>
    <s v="CUST-0242"/>
    <s v="Pooja Das"/>
    <s v="Small Business"/>
    <s v="Bhubaneswar"/>
    <s v="East"/>
    <x v="1"/>
    <s v="Water Bottle"/>
    <n v="1"/>
    <n v="0.1"/>
    <x v="120"/>
    <n v="68.23"/>
    <s v="UPI"/>
    <b v="0"/>
    <b v="0"/>
    <b v="0"/>
    <m/>
  </r>
  <r>
    <n v="122"/>
    <s v="ORD-2025-0122"/>
    <d v="2025-02-20T00:00:00"/>
    <d v="2025-02-24T00:00:00"/>
    <s v="Standard"/>
    <s v="CUST-0125"/>
    <s v="Sneha Reddy"/>
    <s v="Consumer"/>
    <s v="Bhubaneswar"/>
    <s v="East"/>
    <x v="3"/>
    <s v="Power Bank"/>
    <n v="5"/>
    <n v="0.15"/>
    <x v="121"/>
    <n v="1178.6300000000001"/>
    <s v="UPI"/>
    <b v="0"/>
    <b v="0"/>
    <b v="0"/>
    <m/>
  </r>
  <r>
    <n v="123"/>
    <s v="ORD-2025-0123"/>
    <d v="2025-06-07T00:00:00"/>
    <d v="2025-06-09T00:00:00"/>
    <s v="Express"/>
    <s v="CUST-0094"/>
    <s v="Aditya Kumar"/>
    <s v="Consumer"/>
    <s v="Chennai"/>
    <s v="South"/>
    <x v="0"/>
    <s v="File Folder"/>
    <n v="2"/>
    <n v="0"/>
    <x v="122"/>
    <n v="31.44"/>
    <s v="Cash"/>
    <b v="0"/>
    <b v="0"/>
    <b v="0"/>
    <m/>
  </r>
  <r>
    <n v="124"/>
    <s v="ORD-2025-0124"/>
    <d v="2025-03-25T00:00:00"/>
    <d v="2025-03-29T00:00:00"/>
    <s v="Standard"/>
    <s v="CUST-0173"/>
    <s v="Neha Gupta"/>
    <s v="Consumer"/>
    <s v="Lucknow"/>
    <s v="North"/>
    <x v="1"/>
    <s v="Water Bottle"/>
    <n v="1"/>
    <n v="0.2"/>
    <x v="123"/>
    <n v="-8.08"/>
    <s v="UPI"/>
    <b v="0"/>
    <b v="0"/>
    <b v="0"/>
    <m/>
  </r>
  <r>
    <n v="125"/>
    <s v="ORD-2025-0125"/>
    <d v="2025-09-28T00:00:00"/>
    <d v="2025-09-30T00:00:00"/>
    <s v="Same Day"/>
    <s v="CUST-0152"/>
    <s v="Divya Rao"/>
    <s v="Corporate"/>
    <s v="Pune"/>
    <s v="West"/>
    <x v="2"/>
    <s v="Folding Chair"/>
    <n v="2"/>
    <n v="0.15"/>
    <x v="124"/>
    <n v="468.47"/>
    <s v="UPI"/>
    <b v="0"/>
    <b v="0"/>
    <b v="0"/>
    <m/>
  </r>
  <r>
    <n v="126"/>
    <s v="ORD-2025-0126"/>
    <d v="2025-05-26T00:00:00"/>
    <d v="2025-05-29T00:00:00"/>
    <s v="Standard"/>
    <s v="CUST-0175"/>
    <s v="Nikhil Jain"/>
    <s v="Corporate"/>
    <s v="Hyderabad"/>
    <s v="South"/>
    <x v="0"/>
    <s v="Desk Organizer"/>
    <n v="2"/>
    <n v="0.15"/>
    <x v="125"/>
    <n v="135.16"/>
    <s v="Cash"/>
    <b v="0"/>
    <b v="0"/>
    <b v="0"/>
    <m/>
  </r>
  <r>
    <n v="127"/>
    <s v="ORD-2025-0127"/>
    <d v="2025-06-09T00:00:00"/>
    <d v="2025-06-12T00:00:00"/>
    <s v="Standard"/>
    <s v="CUST-0153"/>
    <s v="Priya Nair"/>
    <s v="Consumer"/>
    <s v="Pune"/>
    <s v="West"/>
    <x v="3"/>
    <s v="Wireless Mouse"/>
    <n v="1"/>
    <n v="0.1"/>
    <x v="126"/>
    <n v="141.97"/>
    <s v="Credit Card"/>
    <b v="0"/>
    <b v="0"/>
    <b v="0"/>
    <m/>
  </r>
  <r>
    <n v="128"/>
    <s v="ORD-2025-0128"/>
    <d v="2025-10-07T00:00:00"/>
    <d v="2025-10-11T00:00:00"/>
    <s v="Standard"/>
    <s v="CUST-0032"/>
    <s v="Vikram Rao"/>
    <s v="Corporate"/>
    <s v="Pune"/>
    <s v="West"/>
    <x v="2"/>
    <s v="Study Table"/>
    <n v="2"/>
    <n v="0.15"/>
    <x v="127"/>
    <n v="1909.98"/>
    <s v="UPI"/>
    <b v="0"/>
    <b v="0"/>
    <b v="0"/>
    <m/>
  </r>
  <r>
    <n v="129"/>
    <s v="ORD-2025-0129"/>
    <d v="2025-03-11T00:00:00"/>
    <d v="2025-03-12T00:00:00"/>
    <s v="Express"/>
    <s v="CUST-0188"/>
    <s v="Arjun Patel"/>
    <s v="Consumer"/>
    <s v="Chennai"/>
    <s v="South"/>
    <x v="2"/>
    <s v="Desk Lamp"/>
    <n v="2"/>
    <n v="0.05"/>
    <x v="128"/>
    <n v="656.38"/>
    <s v="Debit Card"/>
    <b v="0"/>
    <b v="0"/>
    <b v="0"/>
    <m/>
  </r>
  <r>
    <n v="130"/>
    <s v="ORD-2025-0130"/>
    <d v="2025-09-16T00:00:00"/>
    <d v="2025-09-18T00:00:00"/>
    <s v="Standard"/>
    <s v="CUST-0098"/>
    <s v="Shreya Kapoor"/>
    <s v="Consumer"/>
    <s v="Chennai"/>
    <s v="South"/>
    <x v="3"/>
    <s v="Keyboard"/>
    <n v="2"/>
    <n v="0.05"/>
    <x v="129"/>
    <n v="635.41"/>
    <s v="Credit Card"/>
    <b v="0"/>
    <b v="0"/>
    <b v="0"/>
    <m/>
  </r>
  <r>
    <n v="131"/>
    <s v="ORD-2025-0131"/>
    <d v="2025-06-07T00:00:00"/>
    <d v="2025-06-08T00:00:00"/>
    <s v="Standard"/>
    <s v="CUST-0136"/>
    <s v="Shreya Kapoor"/>
    <s v="Consumer"/>
    <s v="Jaipur"/>
    <s v="North"/>
    <x v="1"/>
    <s v="Electric Kettle"/>
    <n v="1"/>
    <n v="0.1"/>
    <x v="130"/>
    <n v="555.38"/>
    <s v="UPI"/>
    <b v="0"/>
    <b v="0"/>
    <b v="0"/>
    <m/>
  </r>
  <r>
    <n v="132"/>
    <s v="ORD-2025-0132"/>
    <d v="2025-09-05T00:00:00"/>
    <d v="2025-09-09T00:00:00"/>
    <s v="Standard"/>
    <s v="CUST-0150"/>
    <s v="Ishita Roy"/>
    <s v="Corporate"/>
    <s v="Delhi"/>
    <s v="North"/>
    <x v="3"/>
    <s v="Bluetooth Speaker"/>
    <n v="1"/>
    <n v="0.15"/>
    <x v="131"/>
    <n v="140.33000000000001"/>
    <s v="Cash"/>
    <b v="0"/>
    <b v="0"/>
    <b v="0"/>
    <m/>
  </r>
  <r>
    <n v="133"/>
    <s v="ORD-2025-0133"/>
    <d v="2025-10-19T00:00:00"/>
    <d v="2025-10-20T00:00:00"/>
    <s v="Standard"/>
    <s v="CUST-0002"/>
    <s v="Rohan Mehta"/>
    <s v="Consumer"/>
    <s v="Pune"/>
    <s v="West"/>
    <x v="2"/>
    <s v="Desk Lamp"/>
    <n v="1"/>
    <n v="0"/>
    <x v="132"/>
    <n v="369.43"/>
    <s v="Cash"/>
    <b v="0"/>
    <b v="0"/>
    <b v="0"/>
    <m/>
  </r>
  <r>
    <n v="134"/>
    <s v="ORD-2025-0134"/>
    <d v="2025-05-23T00:00:00"/>
    <d v="2025-05-27T00:00:00"/>
    <s v="Same Day"/>
    <s v="CUST-0042"/>
    <s v="Ananya Singh"/>
    <s v="Small Business"/>
    <s v="Hyderabad"/>
    <s v="South"/>
    <x v="3"/>
    <s v="Keyboard"/>
    <n v="4"/>
    <n v="0"/>
    <x v="133"/>
    <n v="1940.4"/>
    <s v="UPI"/>
    <b v="0"/>
    <b v="0"/>
    <b v="0"/>
    <m/>
  </r>
  <r>
    <n v="135"/>
    <s v="ORD-2025-0135"/>
    <d v="2025-06-12T00:00:00"/>
    <d v="2025-06-14T00:00:00"/>
    <s v="Same Day"/>
    <s v="CUST-0210"/>
    <s v="Neha Gupta"/>
    <s v="Small Business"/>
    <s v="Ahmedabad"/>
    <s v="West"/>
    <x v="1"/>
    <s v="Lunch Box"/>
    <n v="1"/>
    <n v="0"/>
    <x v="134"/>
    <n v="210.16"/>
    <s v="UPI"/>
    <b v="0"/>
    <b v="0"/>
    <b v="0"/>
    <m/>
  </r>
  <r>
    <n v="136"/>
    <s v="ORD-2025-0136"/>
    <d v="2025-01-25T00:00:00"/>
    <d v="2025-01-30T00:00:00"/>
    <s v="Standard"/>
    <s v="CUST-0025"/>
    <s v="Sanjay Menon"/>
    <s v="Small Business"/>
    <s v="Bengaluru"/>
    <s v="South"/>
    <x v="1"/>
    <s v="Storage Box"/>
    <n v="2"/>
    <n v="0.15"/>
    <x v="135"/>
    <n v="368.79"/>
    <s v="Credit Card"/>
    <b v="0"/>
    <b v="0"/>
    <b v="0"/>
    <m/>
  </r>
  <r>
    <n v="137"/>
    <s v="ORD-2025-0137"/>
    <d v="2025-06-09T00:00:00"/>
    <d v="2025-06-14T00:00:00"/>
    <s v="Standard"/>
    <s v="CUST-0031"/>
    <s v="Manish Yadav"/>
    <s v="Corporate"/>
    <s v="Hyderabad"/>
    <s v="South"/>
    <x v="1"/>
    <s v="Storage Box"/>
    <n v="2"/>
    <n v="0"/>
    <x v="136"/>
    <n v="379.84"/>
    <s v="UPI"/>
    <b v="0"/>
    <b v="0"/>
    <b v="0"/>
    <m/>
  </r>
  <r>
    <n v="138"/>
    <s v="ORD-2025-0138"/>
    <d v="2025-03-24T00:00:00"/>
    <d v="2025-03-25T00:00:00"/>
    <s v="Standard"/>
    <s v="CUST-0115"/>
    <s v="Vikram Rao"/>
    <s v="Corporate"/>
    <s v="Mysuru"/>
    <s v="South"/>
    <x v="3"/>
    <s v="Bluetooth Speaker"/>
    <n v="1"/>
    <n v="0.15"/>
    <x v="137"/>
    <n v="332.92"/>
    <s v="UPI"/>
    <b v="0"/>
    <b v="0"/>
    <b v="0"/>
    <m/>
  </r>
  <r>
    <n v="139"/>
    <s v="ORD-2025-0139"/>
    <d v="2025-11-04T00:00:00"/>
    <d v="2025-11-08T00:00:00"/>
    <s v="Standard"/>
    <s v="CUST-0116"/>
    <s v="Rahul Verma"/>
    <s v="Consumer"/>
    <s v="Mumbai"/>
    <s v="West"/>
    <x v="0"/>
    <s v="Notebook"/>
    <n v="2"/>
    <n v="0.05"/>
    <x v="138"/>
    <n v="89.04"/>
    <s v="Credit Card"/>
    <b v="0"/>
    <b v="0"/>
    <b v="0"/>
    <m/>
  </r>
  <r>
    <n v="140"/>
    <s v="ORD-2025-0140"/>
    <d v="2025-03-03T00:00:00"/>
    <d v="2025-03-06T00:00:00"/>
    <s v="Standard"/>
    <s v="CUST-0215"/>
    <s v="Vikram Rao"/>
    <s v="Corporate"/>
    <s v="Pune"/>
    <s v="West"/>
    <x v="1"/>
    <s v="Electric Kettle"/>
    <n v="5"/>
    <n v="0"/>
    <x v="139"/>
    <n v="1923.04"/>
    <s v="UPI"/>
    <b v="0"/>
    <b v="0"/>
    <b v="0"/>
    <m/>
  </r>
  <r>
    <n v="141"/>
    <s v="ORD-2025-0141"/>
    <d v="2025-06-09T00:00:00"/>
    <d v="2025-06-13T00:00:00"/>
    <s v="Express"/>
    <s v="CUST-0149"/>
    <s v="Shreya Kapoor"/>
    <s v="Consumer"/>
    <s v="Mumbai"/>
    <s v="West"/>
    <x v="1"/>
    <s v="Electric Kettle"/>
    <n v="1"/>
    <n v="0"/>
    <x v="140"/>
    <n v="564.84"/>
    <s v="UPI"/>
    <b v="0"/>
    <b v="0"/>
    <b v="0"/>
    <m/>
  </r>
  <r>
    <n v="142"/>
    <s v="ORD-2025-0142"/>
    <d v="2025-08-15T00:00:00"/>
    <d v="2025-08-16T00:00:00"/>
    <s v="Standard"/>
    <s v="CUST-0042"/>
    <s v="Kiran Joshi"/>
    <s v="Consumer"/>
    <s v="Hyderabad"/>
    <s v="South"/>
    <x v="3"/>
    <s v="Keyboard"/>
    <n v="1"/>
    <n v="0.15"/>
    <x v="141"/>
    <n v="88.05"/>
    <s v="UPI"/>
    <b v="0"/>
    <b v="0"/>
    <b v="0"/>
    <m/>
  </r>
  <r>
    <n v="143"/>
    <s v="ORD-2025-0143"/>
    <d v="2025-04-07T00:00:00"/>
    <d v="2025-04-09T00:00:00"/>
    <s v="Express"/>
    <s v="CUST-0028"/>
    <s v="Aditya Kumar"/>
    <s v="Consumer"/>
    <s v="Bengaluru"/>
    <s v="South"/>
    <x v="2"/>
    <s v="Office Chair"/>
    <n v="3"/>
    <n v="0"/>
    <x v="142"/>
    <n v="6143.82"/>
    <s v="UPI"/>
    <b v="0"/>
    <b v="0"/>
    <b v="0"/>
    <m/>
  </r>
  <r>
    <n v="144"/>
    <s v="ORD-2025-0144"/>
    <d v="2025-03-10T00:00:00"/>
    <d v="2025-03-14T00:00:00"/>
    <s v="Standard"/>
    <s v="CUST-0249"/>
    <s v="Aditya Kumar"/>
    <s v="Corporate"/>
    <s v="Bengaluru"/>
    <s v="South"/>
    <x v="0"/>
    <s v="Notebook"/>
    <n v="1"/>
    <n v="0.1"/>
    <x v="143"/>
    <n v="26.11"/>
    <s v="Cash"/>
    <b v="0"/>
    <b v="0"/>
    <b v="0"/>
    <m/>
  </r>
  <r>
    <n v="145"/>
    <s v="ORD-2025-0145"/>
    <d v="2025-08-16T00:00:00"/>
    <d v="2025-08-19T00:00:00"/>
    <s v="Express"/>
    <s v="CUST-0051"/>
    <s v="Aditya Kumar"/>
    <s v="Consumer"/>
    <s v="Mumbai"/>
    <s v="West"/>
    <x v="3"/>
    <s v="Wireless Mouse"/>
    <n v="2"/>
    <n v="0.05"/>
    <x v="144"/>
    <n v="297.64"/>
    <s v="Credit Card"/>
    <b v="0"/>
    <b v="0"/>
    <b v="0"/>
    <m/>
  </r>
  <r>
    <n v="146"/>
    <s v="ORD-2025-0146"/>
    <d v="2025-12-03T00:00:00"/>
    <d v="2025-12-04T00:00:00"/>
    <s v="Standard"/>
    <s v="CUST-0036"/>
    <s v="Sneha Reddy"/>
    <s v="Corporate"/>
    <s v="Pune"/>
    <s v="West"/>
    <x v="1"/>
    <s v="Coffee Mug"/>
    <n v="1"/>
    <n v="0.1"/>
    <x v="145"/>
    <n v="56.62"/>
    <s v="Debit Card"/>
    <b v="0"/>
    <b v="0"/>
    <b v="0"/>
    <m/>
  </r>
  <r>
    <n v="147"/>
    <s v="ORD-2025-0147"/>
    <d v="2025-09-15T00:00:00"/>
    <d v="2025-09-20T00:00:00"/>
    <s v="Express"/>
    <s v="CUST-0124"/>
    <s v="Priya Nair"/>
    <s v="Consumer"/>
    <s v="Lucknow"/>
    <s v="North"/>
    <x v="0"/>
    <s v="Pen Set"/>
    <n v="3"/>
    <n v="0.05"/>
    <x v="146"/>
    <n v="67.760000000000005"/>
    <s v="UPI"/>
    <b v="0"/>
    <b v="0"/>
    <b v="0"/>
    <m/>
  </r>
  <r>
    <n v="148"/>
    <s v="ORD-2025-0148"/>
    <d v="2025-04-24T00:00:00"/>
    <d v="2025-04-28T00:00:00"/>
    <s v="Standard"/>
    <s v="CUST-0174"/>
    <s v="Nikhil Jain"/>
    <s v="Corporate"/>
    <s v="Jaipur"/>
    <s v="North"/>
    <x v="1"/>
    <s v="Water Bottle"/>
    <n v="2"/>
    <n v="0.1"/>
    <x v="147"/>
    <n v="231.9"/>
    <s v="UPI"/>
    <b v="0"/>
    <b v="0"/>
    <b v="0"/>
    <m/>
  </r>
  <r>
    <n v="149"/>
    <s v="ORD-2025-0149"/>
    <d v="2025-05-29T00:00:00"/>
    <d v="2025-06-02T00:00:00"/>
    <s v="Express"/>
    <s v="CUST-0089"/>
    <s v="Kiran Joshi"/>
    <s v="Consumer"/>
    <s v="Bhubaneswar"/>
    <s v="East"/>
    <x v="1"/>
    <s v="Water Bottle"/>
    <n v="4"/>
    <n v="0.05"/>
    <x v="148"/>
    <n v="446.31"/>
    <s v="UPI"/>
    <b v="0"/>
    <b v="0"/>
    <b v="0"/>
    <m/>
  </r>
  <r>
    <n v="150"/>
    <s v="ORD-2025-0150"/>
    <d v="2025-03-29T00:00:00"/>
    <d v="2025-04-02T00:00:00"/>
    <s v="Standard"/>
    <s v="CUST-0184"/>
    <s v="Rahul Verma"/>
    <s v="Consumer"/>
    <s v="Mysuru"/>
    <s v="South"/>
    <x v="2"/>
    <s v="Bookshelf"/>
    <n v="1"/>
    <n v="0.1"/>
    <x v="149"/>
    <n v="885.33"/>
    <s v="Credit Card"/>
    <b v="0"/>
    <b v="0"/>
    <b v="0"/>
    <m/>
  </r>
  <r>
    <n v="151"/>
    <s v="ORD-2025-0151"/>
    <d v="2025-12-28T00:00:00"/>
    <d v="2025-12-30T00:00:00"/>
    <s v="Express"/>
    <s v="CUST-0193"/>
    <s v="Sneha Reddy"/>
    <s v="Consumer"/>
    <s v="Jaipur"/>
    <s v="North"/>
    <x v="2"/>
    <s v="Desk Lamp"/>
    <n v="3"/>
    <n v="0"/>
    <x v="150"/>
    <n v="1097.3900000000001"/>
    <s v="Credit Card"/>
    <b v="0"/>
    <b v="0"/>
    <b v="0"/>
    <m/>
  </r>
  <r>
    <n v="152"/>
    <s v="ORD-2025-0152"/>
    <d v="2025-08-19T00:00:00"/>
    <d v="2025-08-22T00:00:00"/>
    <s v="Express"/>
    <s v="CUST-0244"/>
    <s v="Sneha Reddy"/>
    <s v="Consumer"/>
    <s v="Jaipur"/>
    <s v="North"/>
    <x v="1"/>
    <s v="Lunch Box"/>
    <n v="2"/>
    <n v="0.15"/>
    <x v="151"/>
    <n v="185.1"/>
    <s v="Debit Card"/>
    <b v="0"/>
    <b v="0"/>
    <b v="0"/>
    <m/>
  </r>
  <r>
    <n v="153"/>
    <s v="ORD-2025-0153"/>
    <d v="2025-03-16T00:00:00"/>
    <d v="2025-03-19T00:00:00"/>
    <s v="Standard"/>
    <s v="CUST-0186"/>
    <s v="Sneha Reddy"/>
    <s v="Consumer"/>
    <s v="Jaipur"/>
    <s v="North"/>
    <x v="3"/>
    <s v="Wireless Mouse"/>
    <n v="5"/>
    <n v="0.05"/>
    <x v="152"/>
    <n v="1072.3599999999999"/>
    <s v="Debit Card"/>
    <b v="0"/>
    <b v="0"/>
    <b v="0"/>
    <m/>
  </r>
  <r>
    <n v="154"/>
    <s v="ORD-2025-0154"/>
    <d v="2025-12-25T00:00:00"/>
    <d v="2025-12-30T00:00:00"/>
    <s v="Standard"/>
    <s v="CUST-0173"/>
    <s v="Shreya Kapoor"/>
    <s v="Consumer"/>
    <s v="Lucknow"/>
    <s v="North"/>
    <x v="1"/>
    <s v="Lunch Box"/>
    <n v="2"/>
    <n v="0.1"/>
    <x v="153"/>
    <n v="285.52999999999997"/>
    <s v="Cash"/>
    <b v="0"/>
    <b v="0"/>
    <b v="0"/>
    <m/>
  </r>
  <r>
    <n v="155"/>
    <s v="ORD-2025-0155"/>
    <d v="2025-09-11T00:00:00"/>
    <d v="2025-09-13T00:00:00"/>
    <s v="Standard"/>
    <s v="CUST-0147"/>
    <s v="Nikhil Jain"/>
    <s v="Corporate"/>
    <s v="Delhi"/>
    <s v="North"/>
    <x v="0"/>
    <s v="Desk Organizer"/>
    <n v="1"/>
    <n v="0"/>
    <x v="154"/>
    <n v="121.28"/>
    <s v="UPI"/>
    <b v="0"/>
    <b v="0"/>
    <b v="0"/>
    <m/>
  </r>
  <r>
    <n v="156"/>
    <s v="ORD-2025-0156"/>
    <d v="2025-07-11T00:00:00"/>
    <d v="2025-07-14T00:00:00"/>
    <s v="Standard"/>
    <s v="CUST-0183"/>
    <s v="Aarav Sharma"/>
    <s v="Consumer"/>
    <s v="Lucknow"/>
    <s v="North"/>
    <x v="2"/>
    <s v="Desk Lamp"/>
    <n v="3"/>
    <n v="0.15"/>
    <x v="155"/>
    <n v="761.58"/>
    <s v="UPI"/>
    <b v="0"/>
    <b v="0"/>
    <b v="0"/>
    <m/>
  </r>
  <r>
    <n v="157"/>
    <s v="ORD-2025-0157"/>
    <d v="2025-06-10T00:00:00"/>
    <d v="2025-06-11T00:00:00"/>
    <s v="Standard"/>
    <s v="CUST-0143"/>
    <s v="Ananya Singh"/>
    <s v="Small Business"/>
    <s v="Kolkata"/>
    <s v="East"/>
    <x v="2"/>
    <s v="Bookshelf"/>
    <n v="3"/>
    <n v="0.05"/>
    <x v="156"/>
    <n v="3364.18"/>
    <s v="Debit Card"/>
    <b v="0"/>
    <b v="0"/>
    <b v="0"/>
    <m/>
  </r>
  <r>
    <n v="158"/>
    <s v="ORD-2025-0158"/>
    <d v="2025-02-19T00:00:00"/>
    <d v="2025-02-22T00:00:00"/>
    <s v="Express"/>
    <s v="CUST-0237"/>
    <s v="Ananya Singh"/>
    <s v="Consumer"/>
    <s v="Mumbai"/>
    <s v="West"/>
    <x v="2"/>
    <s v="Study Table"/>
    <n v="1"/>
    <n v="0.05"/>
    <x v="157"/>
    <n v="1960.78"/>
    <s v="UPI"/>
    <b v="0"/>
    <b v="0"/>
    <b v="0"/>
    <m/>
  </r>
  <r>
    <n v="159"/>
    <s v="ORD-2025-0159"/>
    <d v="2025-12-15T00:00:00"/>
    <d v="2025-12-20T00:00:00"/>
    <s v="Same Day"/>
    <s v="CUST-0100"/>
    <s v="Ananya Singh"/>
    <s v="Corporate"/>
    <s v="Chennai"/>
    <s v="South"/>
    <x v="1"/>
    <s v="Coffee Mug"/>
    <n v="2"/>
    <n v="0.2"/>
    <x v="158"/>
    <n v="54.68"/>
    <s v="UPI"/>
    <b v="0"/>
    <b v="0"/>
    <b v="0"/>
    <m/>
  </r>
  <r>
    <n v="160"/>
    <s v="ORD-2025-0160"/>
    <d v="2025-10-24T00:00:00"/>
    <d v="2025-10-28T00:00:00"/>
    <s v="Same Day"/>
    <s v="CUST-0217"/>
    <s v="Sneha Reddy"/>
    <s v="Consumer"/>
    <s v="Bengaluru"/>
    <s v="South"/>
    <x v="1"/>
    <s v="Lunch Box"/>
    <n v="3"/>
    <n v="0"/>
    <x v="159"/>
    <n v="552.28"/>
    <s v="UPI"/>
    <b v="0"/>
    <b v="0"/>
    <b v="0"/>
    <m/>
  </r>
  <r>
    <n v="161"/>
    <s v="ORD-2025-0161"/>
    <d v="2025-04-30T00:00:00"/>
    <d v="2025-05-02T00:00:00"/>
    <s v="Standard"/>
    <s v="CUST-0205"/>
    <s v="Ananya Singh"/>
    <s v="Consumer"/>
    <s v="Ahmedabad"/>
    <s v="West"/>
    <x v="3"/>
    <s v="USB-C Hub"/>
    <n v="1"/>
    <n v="0.2"/>
    <x v="160"/>
    <n v="14.8"/>
    <s v="Credit Card"/>
    <b v="0"/>
    <b v="0"/>
    <b v="0"/>
    <m/>
  </r>
  <r>
    <n v="162"/>
    <s v="ORD-2025-0162"/>
    <d v="2025-07-15T00:00:00"/>
    <d v="2025-07-17T00:00:00"/>
    <s v="Express"/>
    <s v="CUST-0210"/>
    <s v="Aditya Kumar"/>
    <s v="Small Business"/>
    <s v="Mysuru"/>
    <s v="South"/>
    <x v="3"/>
    <s v="USB-C Hub"/>
    <n v="4"/>
    <n v="0"/>
    <x v="161"/>
    <n v="1808.64"/>
    <s v="Credit Card"/>
    <b v="0"/>
    <b v="0"/>
    <b v="0"/>
    <m/>
  </r>
  <r>
    <n v="163"/>
    <s v="ORD-2025-0163"/>
    <d v="2025-11-09T00:00:00"/>
    <d v="2025-11-14T00:00:00"/>
    <s v="Express"/>
    <s v="CUST-0218"/>
    <s v="Arjun Patel"/>
    <s v="Corporate"/>
    <s v="Lucknow"/>
    <s v="North"/>
    <x v="1"/>
    <s v="Coffee Mug"/>
    <n v="2"/>
    <n v="0.05"/>
    <x v="162"/>
    <n v="194"/>
    <s v="Credit Card"/>
    <b v="0"/>
    <b v="0"/>
    <b v="0"/>
    <m/>
  </r>
  <r>
    <n v="164"/>
    <s v="ORD-2025-0164"/>
    <d v="2025-04-27T00:00:00"/>
    <d v="2025-05-01T00:00:00"/>
    <s v="Express"/>
    <s v="CUST-0033"/>
    <s v="Nikhil Jain"/>
    <s v="Small Business"/>
    <s v="Jaipur"/>
    <s v="North"/>
    <x v="1"/>
    <s v="Storage Box"/>
    <n v="1"/>
    <n v="0"/>
    <x v="163"/>
    <n v="318.27999999999997"/>
    <s v="UPI"/>
    <b v="0"/>
    <b v="0"/>
    <b v="0"/>
    <m/>
  </r>
  <r>
    <n v="165"/>
    <s v="ORD-2025-0165"/>
    <d v="2025-04-08T00:00:00"/>
    <d v="2025-04-10T00:00:00"/>
    <s v="Same Day"/>
    <s v="CUST-0112"/>
    <s v="Priya Nair"/>
    <s v="Consumer"/>
    <s v="Jaipur"/>
    <s v="North"/>
    <x v="0"/>
    <s v="Desk Organizer"/>
    <n v="3"/>
    <n v="0.1"/>
    <x v="164"/>
    <n v="331.38"/>
    <s v="Cash"/>
    <b v="0"/>
    <b v="0"/>
    <b v="0"/>
    <m/>
  </r>
  <r>
    <n v="166"/>
    <s v="ORD-2025-0166"/>
    <d v="2025-02-28T00:00:00"/>
    <d v="2025-03-02T00:00:00"/>
    <s v="Standard"/>
    <s v="CUST-0032"/>
    <s v="Vikram Rao"/>
    <s v="Small Business"/>
    <s v="Delhi"/>
    <s v="North"/>
    <x v="0"/>
    <s v="File Folder"/>
    <n v="3"/>
    <n v="0"/>
    <x v="165"/>
    <n v="72.63"/>
    <s v="Credit Card"/>
    <b v="0"/>
    <b v="0"/>
    <b v="0"/>
    <m/>
  </r>
  <r>
    <n v="167"/>
    <s v="ORD-2025-0167"/>
    <d v="2025-03-20T00:00:00"/>
    <d v="2025-03-24T00:00:00"/>
    <s v="Standard"/>
    <s v="CUST-0058"/>
    <s v="Nikhil Jain"/>
    <s v="Consumer"/>
    <s v="Pune"/>
    <s v="West"/>
    <x v="1"/>
    <s v="Storage Box"/>
    <n v="1"/>
    <n v="0"/>
    <x v="166"/>
    <n v="332"/>
    <s v="UPI"/>
    <b v="0"/>
    <b v="0"/>
    <b v="0"/>
    <m/>
  </r>
  <r>
    <n v="168"/>
    <s v="ORD-2025-0168"/>
    <d v="2025-06-16T00:00:00"/>
    <d v="2025-06-20T00:00:00"/>
    <s v="Standard"/>
    <s v="CUST-0197"/>
    <s v="Manish Yadav"/>
    <s v="Consumer"/>
    <s v="Bengaluru"/>
    <s v="South"/>
    <x v="0"/>
    <s v="File Folder"/>
    <n v="2"/>
    <n v="0.15"/>
    <x v="167"/>
    <n v="26.35"/>
    <s v="UPI"/>
    <b v="0"/>
    <b v="0"/>
    <b v="0"/>
    <m/>
  </r>
  <r>
    <n v="169"/>
    <s v="ORD-2025-0169"/>
    <d v="2025-03-13T00:00:00"/>
    <d v="2025-03-14T00:00:00"/>
    <s v="Standard"/>
    <s v="CUST-0042"/>
    <s v="Shreya Kapoor"/>
    <s v="Corporate"/>
    <s v="Bhubaneswar"/>
    <s v="East"/>
    <x v="3"/>
    <s v="USB-C Hub"/>
    <n v="3"/>
    <n v="0.05"/>
    <x v="168"/>
    <n v="616.54"/>
    <s v="UPI"/>
    <b v="0"/>
    <b v="0"/>
    <b v="0"/>
    <m/>
  </r>
  <r>
    <n v="170"/>
    <s v="ORD-2025-0170"/>
    <d v="2025-08-08T00:00:00"/>
    <d v="2025-08-09T00:00:00"/>
    <s v="Express"/>
    <s v="CUST-0176"/>
    <s v="Aditya Kumar"/>
    <s v="Consumer"/>
    <s v="Chennai"/>
    <s v="South"/>
    <x v="2"/>
    <s v="Folding Chair"/>
    <n v="4"/>
    <n v="0"/>
    <x v="169"/>
    <n v="1875.27"/>
    <s v="Debit Card"/>
    <b v="0"/>
    <b v="0"/>
    <b v="0"/>
    <m/>
  </r>
  <r>
    <n v="171"/>
    <s v="ORD-2025-0171"/>
    <d v="2025-01-16T00:00:00"/>
    <d v="2025-01-17T00:00:00"/>
    <s v="Express"/>
    <s v="CUST-0013"/>
    <s v="Priya Nair"/>
    <s v="Consumer"/>
    <s v="Jaipur"/>
    <s v="North"/>
    <x v="1"/>
    <s v="Lunch Box"/>
    <n v="3"/>
    <n v="0.1"/>
    <x v="170"/>
    <n v="158.9"/>
    <s v="Net Banking"/>
    <b v="0"/>
    <b v="0"/>
    <b v="0"/>
    <m/>
  </r>
  <r>
    <n v="172"/>
    <s v="ORD-2025-0172"/>
    <d v="2025-10-08T00:00:00"/>
    <d v="2025-10-12T00:00:00"/>
    <s v="Express"/>
    <s v="CUST-0189"/>
    <s v="Rohan Mehta"/>
    <s v="Small Business"/>
    <s v="Mumbai"/>
    <s v="West"/>
    <x v="0"/>
    <s v="Desk Organizer"/>
    <n v="2"/>
    <n v="0.1"/>
    <x v="171"/>
    <n v="269.32"/>
    <s v="Credit Card"/>
    <b v="0"/>
    <b v="0"/>
    <b v="0"/>
    <m/>
  </r>
  <r>
    <n v="173"/>
    <s v="ORD-2025-0173"/>
    <d v="2025-12-30T00:00:00"/>
    <d v="2025-12-31T00:00:00"/>
    <s v="Express"/>
    <s v="CUST-0220"/>
    <s v="Divya Rao"/>
    <s v="Corporate"/>
    <s v="Jaipur"/>
    <s v="North"/>
    <x v="2"/>
    <s v="Desk Lamp"/>
    <n v="2"/>
    <n v="0.2"/>
    <x v="172"/>
    <n v="181.29"/>
    <s v="Cash"/>
    <b v="0"/>
    <b v="0"/>
    <b v="0"/>
    <m/>
  </r>
  <r>
    <n v="174"/>
    <s v="ORD-2025-0174"/>
    <d v="2025-12-04T00:00:00"/>
    <d v="2025-12-06T00:00:00"/>
    <s v="Standard"/>
    <s v="CUST-0017"/>
    <s v="Arjun Patel"/>
    <s v="Small Business"/>
    <s v="Chennai"/>
    <s v="South"/>
    <x v="3"/>
    <s v="Power Bank"/>
    <n v="1"/>
    <n v="0.05"/>
    <x v="173"/>
    <n v="304.2"/>
    <s v="Cash"/>
    <b v="0"/>
    <b v="0"/>
    <b v="0"/>
    <m/>
  </r>
  <r>
    <n v="175"/>
    <s v="ORD-2025-0175"/>
    <d v="2025-09-05T00:00:00"/>
    <d v="2025-09-09T00:00:00"/>
    <s v="Express"/>
    <s v="CUST-0001"/>
    <s v="Kavya Iyer"/>
    <s v="Consumer"/>
    <s v="Hyderabad"/>
    <s v="South"/>
    <x v="3"/>
    <s v="Wireless Mouse"/>
    <n v="3"/>
    <n v="0"/>
    <x v="174"/>
    <n v="874.29"/>
    <s v="UPI"/>
    <b v="0"/>
    <b v="0"/>
    <b v="0"/>
    <m/>
  </r>
  <r>
    <n v="176"/>
    <s v="ORD-2025-0176"/>
    <d v="2025-01-21T00:00:00"/>
    <d v="2025-01-24T00:00:00"/>
    <s v="Express"/>
    <s v="CUST-0228"/>
    <s v="Pooja Das"/>
    <s v="Consumer"/>
    <s v="Jaipur"/>
    <s v="North"/>
    <x v="0"/>
    <s v="Pen Set"/>
    <n v="1"/>
    <n v="0.05"/>
    <x v="175"/>
    <n v="32.799999999999997"/>
    <s v="Cash"/>
    <b v="0"/>
    <b v="0"/>
    <b v="0"/>
    <m/>
  </r>
  <r>
    <n v="177"/>
    <s v="ORD-2025-0177"/>
    <d v="2025-04-01T00:00:00"/>
    <d v="2025-04-03T00:00:00"/>
    <s v="Express"/>
    <s v="CUST-0072"/>
    <s v="Rahul Verma"/>
    <s v="Consumer"/>
    <s v="Chennai"/>
    <s v="South"/>
    <x v="3"/>
    <s v="Keyboard"/>
    <n v="4"/>
    <n v="0.15"/>
    <x v="176"/>
    <n v="693.3"/>
    <s v="Cash"/>
    <b v="0"/>
    <b v="0"/>
    <b v="0"/>
    <m/>
  </r>
  <r>
    <n v="178"/>
    <s v="ORD-2025-0178"/>
    <d v="2025-04-12T00:00:00"/>
    <d v="2025-04-13T00:00:00"/>
    <s v="Express"/>
    <s v="CUST-0201"/>
    <s v="Shreya Kapoor"/>
    <s v="Small Business"/>
    <s v="Jaipur"/>
    <s v="North"/>
    <x v="0"/>
    <s v="Notebook"/>
    <n v="2"/>
    <n v="0"/>
    <x v="177"/>
    <n v="63.74"/>
    <s v="Debit Card"/>
    <b v="0"/>
    <b v="0"/>
    <b v="0"/>
    <m/>
  </r>
  <r>
    <n v="179"/>
    <s v="ORD-2025-0179"/>
    <d v="2025-04-30T00:00:00"/>
    <d v="2025-05-05T00:00:00"/>
    <s v="Standard"/>
    <s v="CUST-0064"/>
    <s v="Aarav Sharma"/>
    <s v="Consumer"/>
    <s v="Ahmedabad"/>
    <s v="West"/>
    <x v="2"/>
    <s v="Desk Lamp"/>
    <n v="2"/>
    <n v="0.1"/>
    <x v="178"/>
    <n v="686.8"/>
    <s v="UPI"/>
    <b v="0"/>
    <b v="0"/>
    <b v="0"/>
    <m/>
  </r>
  <r>
    <n v="180"/>
    <s v="ORD-2025-0180"/>
    <d v="2025-07-15T00:00:00"/>
    <d v="2025-07-18T00:00:00"/>
    <s v="Express"/>
    <s v="CUST-0110"/>
    <s v="Rohan Mehta"/>
    <s v="Small Business"/>
    <s v="Jaipur"/>
    <s v="North"/>
    <x v="2"/>
    <s v="Bookshelf"/>
    <n v="1"/>
    <n v="0.15"/>
    <x v="179"/>
    <n v="431.36"/>
    <s v="Debit Card"/>
    <b v="0"/>
    <b v="0"/>
    <b v="0"/>
    <m/>
  </r>
  <r>
    <n v="181"/>
    <s v="ORD-2025-0181"/>
    <d v="2025-02-19T00:00:00"/>
    <d v="2025-02-24T00:00:00"/>
    <s v="Express"/>
    <s v="CUST-0195"/>
    <s v="Pooja Das"/>
    <s v="Consumer"/>
    <s v="Bhubaneswar"/>
    <s v="East"/>
    <x v="0"/>
    <s v="Notebook"/>
    <n v="2"/>
    <n v="0.25"/>
    <x v="180"/>
    <n v="42.8"/>
    <s v="UPI"/>
    <b v="0"/>
    <b v="0"/>
    <b v="0"/>
    <m/>
  </r>
  <r>
    <n v="182"/>
    <s v="ORD-2025-0182"/>
    <d v="2025-03-06T00:00:00"/>
    <d v="2025-03-11T00:00:00"/>
    <s v="Same Day"/>
    <s v="CUST-0174"/>
    <s v="Sanjay Menon"/>
    <s v="Consumer"/>
    <s v="Chennai"/>
    <s v="South"/>
    <x v="1"/>
    <s v="Storage Box"/>
    <n v="3"/>
    <n v="0.2"/>
    <x v="181"/>
    <n v="483.07"/>
    <s v="UPI"/>
    <b v="0"/>
    <b v="0"/>
    <b v="0"/>
    <m/>
  </r>
  <r>
    <n v="183"/>
    <s v="ORD-2025-0183"/>
    <d v="2025-06-28T00:00:00"/>
    <d v="2025-07-02T00:00:00"/>
    <s v="Standard"/>
    <s v="CUST-0076"/>
    <s v="Kiran Joshi"/>
    <s v="Small Business"/>
    <s v="Chennai"/>
    <s v="South"/>
    <x v="3"/>
    <s v="Power Bank"/>
    <n v="2"/>
    <n v="0.15"/>
    <x v="182"/>
    <n v="524.34"/>
    <s v="UPI"/>
    <b v="0"/>
    <b v="0"/>
    <b v="0"/>
    <m/>
  </r>
  <r>
    <n v="184"/>
    <s v="ORD-2025-0184"/>
    <d v="2025-09-19T00:00:00"/>
    <d v="2025-09-20T00:00:00"/>
    <s v="Express"/>
    <s v="CUST-0027"/>
    <s v="Kavya Iyer"/>
    <s v="Consumer"/>
    <s v="Ahmedabad"/>
    <s v="West"/>
    <x v="3"/>
    <s v="Bluetooth Speaker"/>
    <n v="5"/>
    <n v="0.05"/>
    <x v="183"/>
    <n v="2609.4499999999998"/>
    <s v="Credit Card"/>
    <b v="0"/>
    <b v="0"/>
    <b v="0"/>
    <m/>
  </r>
  <r>
    <n v="185"/>
    <s v="ORD-2025-0185"/>
    <d v="2025-08-25T00:00:00"/>
    <d v="2025-08-29T00:00:00"/>
    <s v="Standard"/>
    <s v="CUST-0046"/>
    <s v="Nikhil Jain"/>
    <s v="Consumer"/>
    <s v="Bengaluru"/>
    <s v="South"/>
    <x v="0"/>
    <s v="Calculator"/>
    <n v="2"/>
    <n v="0.1"/>
    <x v="184"/>
    <n v="195.41"/>
    <s v="UPI"/>
    <b v="0"/>
    <b v="0"/>
    <b v="0"/>
    <m/>
  </r>
  <r>
    <n v="186"/>
    <s v="ORD-2025-0186"/>
    <d v="2025-11-14T00:00:00"/>
    <d v="2025-11-16T00:00:00"/>
    <s v="Standard"/>
    <s v="CUST-0037"/>
    <s v="Nikhil Jain"/>
    <s v="Corporate"/>
    <s v="Ahmedabad"/>
    <s v="West"/>
    <x v="3"/>
    <s v="Keyboard"/>
    <n v="3"/>
    <n v="0.1"/>
    <x v="185"/>
    <n v="292.52"/>
    <s v="UPI"/>
    <b v="0"/>
    <b v="0"/>
    <b v="0"/>
    <m/>
  </r>
  <r>
    <n v="187"/>
    <s v="ORD-2025-0187"/>
    <d v="2025-05-27T00:00:00"/>
    <d v="2025-05-30T00:00:00"/>
    <s v="Standard"/>
    <s v="CUST-0108"/>
    <s v="Manish Yadav"/>
    <s v="Consumer"/>
    <s v="Ahmedabad"/>
    <s v="West"/>
    <x v="0"/>
    <s v="Notebook"/>
    <n v="2"/>
    <n v="0.15"/>
    <x v="186"/>
    <n v="51.74"/>
    <s v="Net Banking"/>
    <b v="0"/>
    <b v="0"/>
    <b v="0"/>
    <m/>
  </r>
  <r>
    <n v="188"/>
    <s v="ORD-2025-0188"/>
    <d v="2025-09-07T00:00:00"/>
    <d v="2025-09-12T00:00:00"/>
    <s v="Standard"/>
    <s v="CUST-0237"/>
    <s v="Sanjay Menon"/>
    <s v="Consumer"/>
    <s v="Bengaluru"/>
    <s v="South"/>
    <x v="2"/>
    <s v="Desk Lamp"/>
    <n v="3"/>
    <n v="0.25"/>
    <x v="187"/>
    <n v="-135.08000000000001"/>
    <s v="Debit Card"/>
    <b v="0"/>
    <b v="0"/>
    <b v="0"/>
    <m/>
  </r>
  <r>
    <n v="189"/>
    <s v="ORD-2025-0189"/>
    <d v="2025-03-23T00:00:00"/>
    <d v="2025-03-28T00:00:00"/>
    <s v="Express"/>
    <s v="CUST-0225"/>
    <s v="Pooja Das"/>
    <s v="Consumer"/>
    <s v="Hyderabad"/>
    <s v="South"/>
    <x v="2"/>
    <s v="Study Table"/>
    <n v="2"/>
    <n v="0.1"/>
    <x v="188"/>
    <n v="2269.11"/>
    <s v="UPI"/>
    <b v="0"/>
    <b v="0"/>
    <b v="0"/>
    <m/>
  </r>
  <r>
    <n v="190"/>
    <s v="ORD-2025-0190"/>
    <d v="2025-09-23T00:00:00"/>
    <d v="2025-09-25T00:00:00"/>
    <s v="Standard"/>
    <s v="CUST-0003"/>
    <s v="Shreya Kapoor"/>
    <s v="Corporate"/>
    <s v="Jaipur"/>
    <s v="North"/>
    <x v="1"/>
    <s v="Electric Kettle"/>
    <n v="2"/>
    <n v="0.2"/>
    <x v="189"/>
    <n v="460.41"/>
    <s v="Debit Card"/>
    <b v="0"/>
    <b v="0"/>
    <b v="0"/>
    <m/>
  </r>
  <r>
    <n v="191"/>
    <s v="ORD-2025-0191"/>
    <d v="2025-09-25T00:00:00"/>
    <d v="2025-09-28T00:00:00"/>
    <s v="Standard"/>
    <s v="CUST-0101"/>
    <s v="Nikhil Jain"/>
    <s v="Consumer"/>
    <s v="Delhi"/>
    <s v="North"/>
    <x v="0"/>
    <s v="Desk Organizer"/>
    <n v="3"/>
    <n v="0.15"/>
    <x v="190"/>
    <n v="281.83999999999997"/>
    <s v="Credit Card"/>
    <b v="0"/>
    <b v="0"/>
    <b v="0"/>
    <m/>
  </r>
  <r>
    <n v="192"/>
    <s v="ORD-2025-0192"/>
    <d v="2025-04-09T00:00:00"/>
    <d v="2025-04-14T00:00:00"/>
    <s v="Express"/>
    <s v="CUST-0188"/>
    <s v="Pooja Das"/>
    <s v="Corporate"/>
    <s v="Mumbai"/>
    <s v="West"/>
    <x v="1"/>
    <s v="Storage Box"/>
    <n v="3"/>
    <n v="0.1"/>
    <x v="191"/>
    <n v="535.41"/>
    <s v="Cash"/>
    <b v="0"/>
    <b v="0"/>
    <b v="0"/>
    <m/>
  </r>
  <r>
    <n v="193"/>
    <s v="ORD-2025-0193"/>
    <d v="2025-11-09T00:00:00"/>
    <d v="2025-11-13T00:00:00"/>
    <s v="Standard"/>
    <s v="CUST-0156"/>
    <s v="Arjun Patel"/>
    <s v="Corporate"/>
    <s v="Ahmedabad"/>
    <s v="West"/>
    <x v="1"/>
    <s v="Water Bottle"/>
    <n v="1"/>
    <n v="0.1"/>
    <x v="192"/>
    <n v="82.43"/>
    <s v="UPI"/>
    <b v="0"/>
    <b v="0"/>
    <b v="0"/>
    <m/>
  </r>
  <r>
    <n v="194"/>
    <s v="ORD-2025-0194"/>
    <d v="2025-05-06T00:00:00"/>
    <d v="2025-05-09T00:00:00"/>
    <s v="Express"/>
    <s v="CUST-0162"/>
    <s v="Divya Rao"/>
    <s v="Consumer"/>
    <s v="Chennai"/>
    <s v="South"/>
    <x v="1"/>
    <s v="Storage Box"/>
    <n v="1"/>
    <n v="0.1"/>
    <x v="193"/>
    <n v="114.7"/>
    <s v="Net Banking"/>
    <b v="0"/>
    <b v="0"/>
    <b v="0"/>
    <m/>
  </r>
  <r>
    <n v="195"/>
    <s v="ORD-2025-0195"/>
    <d v="2025-12-10T00:00:00"/>
    <d v="2025-12-13T00:00:00"/>
    <s v="Standard"/>
    <s v="CUST-0174"/>
    <s v="Aditya Kumar"/>
    <s v="Consumer"/>
    <s v="Bengaluru"/>
    <s v="South"/>
    <x v="0"/>
    <s v="File Folder"/>
    <n v="1"/>
    <n v="0.1"/>
    <x v="194"/>
    <n v="23.02"/>
    <s v="UPI"/>
    <b v="0"/>
    <b v="0"/>
    <b v="0"/>
    <m/>
  </r>
  <r>
    <n v="196"/>
    <s v="ORD-2025-0196"/>
    <d v="2025-05-05T00:00:00"/>
    <d v="2025-05-10T00:00:00"/>
    <s v="Express"/>
    <s v="CUST-0196"/>
    <s v="Ishita Roy"/>
    <s v="Small Business"/>
    <s v="Mumbai"/>
    <s v="West"/>
    <x v="3"/>
    <s v="Bluetooth Speaker"/>
    <n v="1"/>
    <n v="0.2"/>
    <x v="195"/>
    <n v="291.83999999999997"/>
    <s v="Net Banking"/>
    <b v="0"/>
    <b v="0"/>
    <b v="0"/>
    <m/>
  </r>
  <r>
    <n v="197"/>
    <s v="ORD-2025-0197"/>
    <d v="2025-03-09T00:00:00"/>
    <d v="2025-03-14T00:00:00"/>
    <s v="Standard"/>
    <s v="CUST-0086"/>
    <s v="Manish Yadav"/>
    <s v="Consumer"/>
    <s v="Bengaluru"/>
    <s v="South"/>
    <x v="3"/>
    <s v="USB-C Hub"/>
    <n v="2"/>
    <n v="0.05"/>
    <x v="196"/>
    <n v="558.83000000000004"/>
    <s v="Cash"/>
    <b v="0"/>
    <b v="0"/>
    <b v="0"/>
    <m/>
  </r>
  <r>
    <n v="198"/>
    <s v="ORD-2025-0198"/>
    <d v="2025-01-21T00:00:00"/>
    <d v="2025-01-25T00:00:00"/>
    <s v="Standard"/>
    <s v="CUST-0191"/>
    <s v="Rahul Verma"/>
    <s v="Consumer"/>
    <s v="Bengaluru"/>
    <s v="South"/>
    <x v="2"/>
    <s v="Study Table"/>
    <n v="2"/>
    <n v="0.15"/>
    <x v="197"/>
    <n v="2087.6999999999998"/>
    <s v="Cash"/>
    <b v="0"/>
    <b v="0"/>
    <b v="0"/>
    <m/>
  </r>
  <r>
    <n v="199"/>
    <s v="ORD-2025-0199"/>
    <d v="2025-08-02T00:00:00"/>
    <d v="2025-08-03T00:00:00"/>
    <s v="Express"/>
    <s v="CUST-0008"/>
    <s v="Arjun Patel"/>
    <s v="Consumer"/>
    <s v="Bengaluru"/>
    <s v="South"/>
    <x v="3"/>
    <s v="Power Bank"/>
    <n v="3"/>
    <n v="0.05"/>
    <x v="198"/>
    <n v="955.01"/>
    <s v="Credit Card"/>
    <b v="0"/>
    <b v="0"/>
    <b v="0"/>
    <m/>
  </r>
  <r>
    <n v="200"/>
    <s v="ORD-2025-0200"/>
    <d v="2025-02-16T00:00:00"/>
    <d v="2025-02-20T00:00:00"/>
    <s v="Standard"/>
    <s v="CUST-0005"/>
    <s v="Nikhil Jain"/>
    <s v="Corporate"/>
    <s v="Mumbai"/>
    <s v="West"/>
    <x v="3"/>
    <s v="Bluetooth Speaker"/>
    <n v="2"/>
    <n v="0.05"/>
    <x v="199"/>
    <n v="520.08000000000004"/>
    <s v="Credit Card"/>
    <b v="0"/>
    <b v="0"/>
    <b v="0"/>
    <m/>
  </r>
  <r>
    <n v="201"/>
    <s v="ORD-2025-0201"/>
    <d v="2025-08-24T00:00:00"/>
    <d v="2025-08-28T00:00:00"/>
    <s v="Standard"/>
    <s v="CUST-0102"/>
    <s v="Aditya Kumar"/>
    <s v="Consumer"/>
    <s v="Chennai"/>
    <s v="South"/>
    <x v="3"/>
    <s v="Wireless Mouse"/>
    <n v="2"/>
    <n v="0.25"/>
    <x v="200"/>
    <n v="63.15"/>
    <s v="Debit Card"/>
    <b v="0"/>
    <b v="0"/>
    <b v="0"/>
    <m/>
  </r>
  <r>
    <n v="202"/>
    <s v="ORD-2025-0202"/>
    <d v="2025-08-07T00:00:00"/>
    <d v="2025-08-09T00:00:00"/>
    <s v="Standard"/>
    <s v="CUST-0135"/>
    <s v="Kiran Joshi"/>
    <s v="Consumer"/>
    <s v="Jaipur"/>
    <s v="North"/>
    <x v="0"/>
    <s v="Desk Organizer"/>
    <n v="2"/>
    <n v="0.15"/>
    <x v="201"/>
    <n v="94.29"/>
    <s v="Net Banking"/>
    <b v="0"/>
    <b v="0"/>
    <b v="0"/>
    <m/>
  </r>
  <r>
    <n v="203"/>
    <s v="ORD-2025-0203"/>
    <d v="2025-11-24T00:00:00"/>
    <d v="2025-11-27T00:00:00"/>
    <s v="Standard"/>
    <s v="CUST-0175"/>
    <s v="Meera Shah"/>
    <s v="Consumer"/>
    <s v="Bengaluru"/>
    <s v="South"/>
    <x v="3"/>
    <s v="Power Bank"/>
    <n v="2"/>
    <n v="0.05"/>
    <x v="202"/>
    <n v="625.69000000000005"/>
    <s v="Debit Card"/>
    <b v="0"/>
    <b v="0"/>
    <b v="0"/>
    <m/>
  </r>
  <r>
    <n v="204"/>
    <s v="ORD-2025-0204"/>
    <d v="2025-10-25T00:00:00"/>
    <d v="2025-10-30T00:00:00"/>
    <s v="Standard"/>
    <s v="CUST-0184"/>
    <s v="Sanjay Menon"/>
    <s v="Small Business"/>
    <s v="Pune"/>
    <s v="West"/>
    <x v="1"/>
    <s v="Electric Kettle"/>
    <n v="3"/>
    <n v="0.15"/>
    <x v="203"/>
    <n v="308.19"/>
    <s v="UPI"/>
    <b v="0"/>
    <b v="0"/>
    <b v="0"/>
    <m/>
  </r>
  <r>
    <n v="205"/>
    <s v="ORD-2025-0205"/>
    <d v="2025-02-06T00:00:00"/>
    <d v="2025-02-11T00:00:00"/>
    <s v="Express"/>
    <s v="CUST-0127"/>
    <s v="Aarav Sharma"/>
    <s v="Small Business"/>
    <s v="Bengaluru"/>
    <s v="South"/>
    <x v="1"/>
    <s v="Lunch Box"/>
    <n v="1"/>
    <n v="0.1"/>
    <x v="204"/>
    <n v="104.16"/>
    <s v="Debit Card"/>
    <b v="0"/>
    <b v="0"/>
    <b v="0"/>
    <m/>
  </r>
  <r>
    <n v="206"/>
    <s v="ORD-2025-0206"/>
    <d v="2025-12-24T00:00:00"/>
    <d v="2025-12-27T00:00:00"/>
    <s v="Express"/>
    <s v="CUST-0173"/>
    <s v="Priya Nair"/>
    <s v="Consumer"/>
    <s v="Mysuru"/>
    <s v="South"/>
    <x v="3"/>
    <s v="Wireless Mouse"/>
    <n v="1"/>
    <n v="0.1"/>
    <x v="205"/>
    <n v="195.11"/>
    <s v="UPI"/>
    <b v="0"/>
    <b v="0"/>
    <b v="0"/>
    <m/>
  </r>
  <r>
    <n v="207"/>
    <s v="ORD-2025-0207"/>
    <d v="2025-05-24T00:00:00"/>
    <d v="2025-05-28T00:00:00"/>
    <s v="Express"/>
    <s v="CUST-0159"/>
    <s v="Priya Nair"/>
    <s v="Consumer"/>
    <s v="Delhi"/>
    <s v="North"/>
    <x v="1"/>
    <s v="Coffee Mug"/>
    <n v="1"/>
    <n v="0.2"/>
    <x v="206"/>
    <n v="2.87"/>
    <s v="Cash"/>
    <b v="0"/>
    <b v="0"/>
    <b v="0"/>
    <m/>
  </r>
  <r>
    <n v="208"/>
    <s v="ORD-2025-0208"/>
    <d v="2025-11-17T00:00:00"/>
    <d v="2025-11-18T00:00:00"/>
    <s v="Express"/>
    <s v="CUST-0053"/>
    <s v="Manish Yadav"/>
    <s v="Corporate"/>
    <s v="Pune"/>
    <s v="West"/>
    <x v="1"/>
    <s v="Lunch Box"/>
    <n v="1"/>
    <n v="0.1"/>
    <x v="207"/>
    <n v="67.7"/>
    <s v="UPI"/>
    <b v="0"/>
    <b v="0"/>
    <b v="0"/>
    <m/>
  </r>
  <r>
    <n v="209"/>
    <s v="ORD-2025-0209"/>
    <d v="2025-05-28T00:00:00"/>
    <d v="2025-05-30T00:00:00"/>
    <s v="Express"/>
    <s v="CUST-0152"/>
    <s v="Sanjay Menon"/>
    <s v="Corporate"/>
    <s v="Lucknow"/>
    <s v="North"/>
    <x v="1"/>
    <s v="Coffee Mug"/>
    <n v="3"/>
    <n v="0.1"/>
    <x v="208"/>
    <n v="102.25"/>
    <s v="Credit Card"/>
    <b v="0"/>
    <b v="0"/>
    <b v="0"/>
    <m/>
  </r>
  <r>
    <n v="210"/>
    <s v="ORD-2025-0210"/>
    <d v="2025-12-04T00:00:00"/>
    <d v="2025-12-06T00:00:00"/>
    <s v="Standard"/>
    <s v="CUST-0185"/>
    <s v="Nikhil Jain"/>
    <s v="Consumer"/>
    <s v="Bhubaneswar"/>
    <s v="East"/>
    <x v="3"/>
    <s v="Keyboard"/>
    <n v="2"/>
    <n v="0.05"/>
    <x v="209"/>
    <n v="770.96"/>
    <s v="UPI"/>
    <b v="0"/>
    <b v="0"/>
    <b v="0"/>
    <m/>
  </r>
  <r>
    <n v="211"/>
    <s v="ORD-2025-0211"/>
    <d v="2025-11-21T00:00:00"/>
    <d v="2025-11-25T00:00:00"/>
    <s v="Standard"/>
    <s v="CUST-0065"/>
    <s v="Aditya Kumar"/>
    <s v="Consumer"/>
    <s v="Ahmedabad"/>
    <s v="West"/>
    <x v="3"/>
    <s v="Wireless Mouse"/>
    <n v="2"/>
    <n v="0.1"/>
    <x v="210"/>
    <n v="381.01"/>
    <s v="Cash"/>
    <b v="0"/>
    <b v="0"/>
    <b v="0"/>
    <m/>
  </r>
  <r>
    <n v="212"/>
    <s v="ORD-2025-0212"/>
    <d v="2025-06-26T00:00:00"/>
    <d v="2025-06-30T00:00:00"/>
    <s v="Standard"/>
    <s v="CUST-0157"/>
    <s v="Aarav Sharma"/>
    <s v="Small Business"/>
    <s v="Mysuru"/>
    <s v="South"/>
    <x v="0"/>
    <s v="File Folder"/>
    <n v="4"/>
    <n v="0.1"/>
    <x v="211"/>
    <n v="98.12"/>
    <s v="Cash"/>
    <b v="0"/>
    <b v="0"/>
    <b v="0"/>
    <m/>
  </r>
  <r>
    <n v="213"/>
    <s v="ORD-2025-0213"/>
    <d v="2025-01-24T00:00:00"/>
    <d v="2025-01-28T00:00:00"/>
    <s v="Same Day"/>
    <s v="CUST-0201"/>
    <s v="Shreya Kapoor"/>
    <s v="Corporate"/>
    <s v="Mumbai"/>
    <s v="West"/>
    <x v="2"/>
    <s v="Folding Chair"/>
    <n v="4"/>
    <n v="0"/>
    <x v="212"/>
    <n v="1494.89"/>
    <s v="Debit Card"/>
    <b v="0"/>
    <b v="0"/>
    <b v="0"/>
    <m/>
  </r>
  <r>
    <n v="214"/>
    <s v="ORD-2025-0214"/>
    <d v="2025-02-10T00:00:00"/>
    <d v="2025-02-13T00:00:00"/>
    <s v="Standard"/>
    <s v="CUST-0236"/>
    <s v="Rohan Mehta"/>
    <s v="Consumer"/>
    <s v="Pune"/>
    <s v="West"/>
    <x v="3"/>
    <s v="Power Bank"/>
    <n v="5"/>
    <n v="0.1"/>
    <x v="213"/>
    <n v="1405.33"/>
    <s v="Debit Card"/>
    <b v="0"/>
    <b v="0"/>
    <b v="0"/>
    <m/>
  </r>
  <r>
    <n v="215"/>
    <s v="ORD-2025-0215"/>
    <d v="2025-11-25T00:00:00"/>
    <d v="2025-11-28T00:00:00"/>
    <s v="Express"/>
    <s v="CUST-0087"/>
    <s v="Kiran Joshi"/>
    <s v="Consumer"/>
    <s v="Hyderabad"/>
    <s v="South"/>
    <x v="0"/>
    <s v="Calculator"/>
    <n v="4"/>
    <n v="0"/>
    <x v="214"/>
    <n v="711.12"/>
    <s v="UPI"/>
    <b v="0"/>
    <b v="0"/>
    <b v="0"/>
    <m/>
  </r>
  <r>
    <n v="216"/>
    <s v="ORD-2025-0216"/>
    <d v="2025-05-29T00:00:00"/>
    <d v="2025-06-02T00:00:00"/>
    <s v="Express"/>
    <s v="CUST-0235"/>
    <s v="Rahul Verma"/>
    <s v="Corporate"/>
    <s v="Mysuru"/>
    <s v="South"/>
    <x v="1"/>
    <s v="Storage Box"/>
    <n v="3"/>
    <n v="0.25"/>
    <x v="215"/>
    <n v="286.27999999999997"/>
    <s v="Cash"/>
    <b v="0"/>
    <b v="0"/>
    <b v="0"/>
    <m/>
  </r>
  <r>
    <n v="217"/>
    <s v="ORD-2025-0217"/>
    <d v="2025-01-13T00:00:00"/>
    <d v="2025-01-18T00:00:00"/>
    <s v="Express"/>
    <s v="CUST-0142"/>
    <s v="Neha Gupta"/>
    <s v="Consumer"/>
    <s v="Bhubaneswar"/>
    <s v="East"/>
    <x v="1"/>
    <s v="Electric Kettle"/>
    <n v="1"/>
    <n v="0.15"/>
    <x v="216"/>
    <n v="175.02"/>
    <s v="Debit Card"/>
    <b v="0"/>
    <b v="0"/>
    <b v="0"/>
    <m/>
  </r>
  <r>
    <n v="218"/>
    <s v="ORD-2025-0218"/>
    <d v="2025-08-16T00:00:00"/>
    <d v="2025-08-18T00:00:00"/>
    <s v="Standard"/>
    <s v="CUST-0156"/>
    <s v="Divya Rao"/>
    <s v="Corporate"/>
    <s v="Pune"/>
    <s v="West"/>
    <x v="0"/>
    <s v="File Folder"/>
    <n v="1"/>
    <n v="0.15"/>
    <x v="217"/>
    <n v="8.65"/>
    <s v="Credit Card"/>
    <b v="0"/>
    <b v="0"/>
    <b v="0"/>
    <m/>
  </r>
  <r>
    <n v="219"/>
    <s v="ORD-2025-0219"/>
    <d v="2025-08-10T00:00:00"/>
    <d v="2025-08-11T00:00:00"/>
    <s v="Standard"/>
    <s v="CUST-0245"/>
    <s v="Aarav Sharma"/>
    <s v="Corporate"/>
    <s v="Pune"/>
    <s v="West"/>
    <x v="1"/>
    <s v="Lunch Box"/>
    <n v="1"/>
    <n v="0.15"/>
    <x v="218"/>
    <n v="101.07"/>
    <s v="UPI"/>
    <b v="0"/>
    <b v="0"/>
    <b v="0"/>
    <m/>
  </r>
  <r>
    <n v="220"/>
    <s v="ORD-2025-0220"/>
    <d v="2025-08-16T00:00:00"/>
    <d v="2025-08-19T00:00:00"/>
    <s v="Express"/>
    <s v="CUST-0217"/>
    <s v="Kavya Iyer"/>
    <s v="Consumer"/>
    <s v="Kolkata"/>
    <s v="East"/>
    <x v="2"/>
    <s v="Desk Lamp"/>
    <n v="3"/>
    <n v="0.1"/>
    <x v="219"/>
    <n v="223.73"/>
    <s v="UPI"/>
    <b v="0"/>
    <b v="0"/>
    <b v="0"/>
    <m/>
  </r>
  <r>
    <n v="221"/>
    <s v="ORD-2025-0221"/>
    <d v="2025-07-24T00:00:00"/>
    <d v="2025-07-28T00:00:00"/>
    <s v="Same Day"/>
    <s v="CUST-0137"/>
    <s v="Arjun Patel"/>
    <s v="Consumer"/>
    <s v="Jaipur"/>
    <s v="North"/>
    <x v="1"/>
    <s v="Electric Kettle"/>
    <n v="4"/>
    <n v="0.1"/>
    <x v="220"/>
    <n v="1914.67"/>
    <s v="Debit Card"/>
    <b v="0"/>
    <b v="0"/>
    <b v="0"/>
    <m/>
  </r>
  <r>
    <n v="222"/>
    <s v="ORD-2025-0222"/>
    <d v="2025-07-18T00:00:00"/>
    <d v="2025-07-20T00:00:00"/>
    <s v="Standard"/>
    <s v="CUST-0083"/>
    <s v="Aditya Kumar"/>
    <s v="Small Business"/>
    <s v="Pune"/>
    <s v="West"/>
    <x v="2"/>
    <s v="Desk Lamp"/>
    <s v="NULL"/>
    <n v="0"/>
    <x v="221"/>
    <n v="649.94000000000005"/>
    <s v="Credit Card"/>
    <b v="0"/>
    <b v="0"/>
    <b v="0"/>
    <m/>
  </r>
  <r>
    <n v="223"/>
    <s v="ORD-2025-0223"/>
    <d v="2025-02-21T00:00:00"/>
    <d v="2025-02-25T00:00:00"/>
    <s v="Express"/>
    <s v="CUST-0026"/>
    <s v="Nikhil Jain"/>
    <s v="Small Business"/>
    <s v="Kolkata"/>
    <s v="East"/>
    <x v="1"/>
    <s v="Storage Box"/>
    <n v="1"/>
    <n v="0.05"/>
    <x v="222"/>
    <n v="289.08"/>
    <s v="Credit Card"/>
    <b v="0"/>
    <b v="0"/>
    <b v="0"/>
    <m/>
  </r>
  <r>
    <n v="224"/>
    <s v="ORD-2025-0224"/>
    <d v="2025-08-12T00:00:00"/>
    <d v="2025-08-17T00:00:00"/>
    <s v="Express"/>
    <s v="CUST-0062"/>
    <s v="Ishita Roy"/>
    <s v="Consumer"/>
    <s v="Mysuru"/>
    <s v="South"/>
    <x v="3"/>
    <s v="Wireless Mouse"/>
    <n v="1"/>
    <n v="0.15"/>
    <x v="223"/>
    <n v="60.49"/>
    <s v="UPI"/>
    <b v="0"/>
    <b v="0"/>
    <b v="0"/>
    <m/>
  </r>
  <r>
    <n v="225"/>
    <s v="ORD-2025-0225"/>
    <d v="2025-08-23T00:00:00"/>
    <d v="2025-08-27T00:00:00"/>
    <s v="Express"/>
    <s v="CUST-0011"/>
    <s v="Pooja Das"/>
    <s v="Small Business"/>
    <s v="Pune"/>
    <s v="West"/>
    <x v="0"/>
    <s v="Desk Organizer"/>
    <n v="2"/>
    <n v="0"/>
    <x v="224"/>
    <n v="196.32"/>
    <s v="UPI"/>
    <b v="0"/>
    <b v="0"/>
    <b v="0"/>
    <m/>
  </r>
  <r>
    <n v="226"/>
    <s v="ORD-2025-0226"/>
    <d v="2025-12-23T00:00:00"/>
    <d v="2025-12-24T00:00:00"/>
    <s v="Standard"/>
    <s v="CUST-0210"/>
    <s v="Ananya Singh"/>
    <s v="Consumer"/>
    <s v="Lucknow"/>
    <s v="North"/>
    <x v="1"/>
    <s v="Lunch Box"/>
    <n v="2"/>
    <n v="0"/>
    <x v="225"/>
    <n v="540.63"/>
    <s v="Debit Card"/>
    <b v="0"/>
    <b v="0"/>
    <b v="0"/>
    <m/>
  </r>
  <r>
    <n v="227"/>
    <s v="ORD-2025-0227"/>
    <d v="2025-09-04T00:00:00"/>
    <d v="2025-09-09T00:00:00"/>
    <s v="Standard"/>
    <s v="CUST-0094"/>
    <s v="Aarav Sharma"/>
    <s v="Consumer"/>
    <s v="Bengaluru"/>
    <s v="South"/>
    <x v="1"/>
    <s v="Coffee Mug"/>
    <n v="5"/>
    <n v="1.25"/>
    <x v="226"/>
    <n v="235.11"/>
    <s v="Debit Card"/>
    <b v="0"/>
    <b v="0"/>
    <b v="1"/>
    <m/>
  </r>
  <r>
    <n v="228"/>
    <s v="ORD-2025-0228"/>
    <d v="2025-03-15T00:00:00"/>
    <d v="2025-03-19T00:00:00"/>
    <s v="Standard"/>
    <s v="CUST-0171"/>
    <s v="Neha Gupta"/>
    <s v="Consumer"/>
    <s v="Pune"/>
    <s v="West"/>
    <x v="1"/>
    <s v="Coffee Mug"/>
    <n v="4"/>
    <n v="0.1"/>
    <x v="227"/>
    <n v="97.94"/>
    <s v="Cash"/>
    <b v="0"/>
    <b v="0"/>
    <b v="0"/>
    <m/>
  </r>
  <r>
    <n v="229"/>
    <s v="ORD-2025-0229"/>
    <d v="2025-12-30T00:00:00"/>
    <d v="2026-01-04T00:00:00"/>
    <s v="Standard"/>
    <s v="CUST-0247"/>
    <s v="Priya Nair"/>
    <s v="Small Business"/>
    <s v="Pune"/>
    <s v="West"/>
    <x v="2"/>
    <s v="Bookshelf"/>
    <n v="2"/>
    <n v="0"/>
    <x v="228"/>
    <n v="1377.57"/>
    <s v="UPI"/>
    <b v="0"/>
    <b v="0"/>
    <b v="0"/>
    <m/>
  </r>
  <r>
    <n v="230"/>
    <s v="ORD-2025-0230"/>
    <d v="2025-06-12T00:00:00"/>
    <d v="2025-06-15T00:00:00"/>
    <s v="Standard"/>
    <s v="CUST-0018"/>
    <s v="Kiran Joshi"/>
    <s v="Consumer"/>
    <s v="Chennai"/>
    <s v="South"/>
    <x v="1"/>
    <s v="Water Bottle"/>
    <n v="2"/>
    <n v="0.15"/>
    <x v="229"/>
    <n v="152.6"/>
    <s v="Credit Card"/>
    <b v="0"/>
    <b v="0"/>
    <b v="0"/>
    <m/>
  </r>
  <r>
    <n v="231"/>
    <s v="ORD-2025-0231"/>
    <d v="2025-12-31T00:00:00"/>
    <d v="2026-01-04T00:00:00"/>
    <s v="Standard"/>
    <s v="CUST-0105"/>
    <s v="Arjun Patel"/>
    <s v="Consumer"/>
    <s v="Bengaluru"/>
    <s v="South"/>
    <x v="0"/>
    <s v="File Folder"/>
    <n v="1"/>
    <n v="0"/>
    <x v="230"/>
    <n v="21.51"/>
    <s v="UPI"/>
    <b v="0"/>
    <b v="0"/>
    <b v="0"/>
    <m/>
  </r>
  <r>
    <n v="232"/>
    <s v="ORD-2025-0232"/>
    <d v="2025-05-19T00:00:00"/>
    <d v="2025-05-22T00:00:00"/>
    <s v="Express"/>
    <s v="CUST-0109"/>
    <s v="Vikram Rao"/>
    <s v="Small Business"/>
    <s v="Jaipur"/>
    <s v="North"/>
    <x v="1"/>
    <s v="Electric Kettle"/>
    <n v="5"/>
    <n v="0.1"/>
    <x v="231"/>
    <n v="1872.83"/>
    <s v="Net Banking"/>
    <b v="0"/>
    <b v="0"/>
    <b v="0"/>
    <m/>
  </r>
  <r>
    <n v="233"/>
    <s v="ORD-2025-0233"/>
    <d v="2025-08-30T00:00:00"/>
    <d v="2025-09-03T00:00:00"/>
    <s v="Standard"/>
    <s v="CUST-0112"/>
    <s v="Vikram Rao"/>
    <s v="Consumer"/>
    <s v="Hyderabad"/>
    <s v="South"/>
    <x v="1"/>
    <s v="Electric Kettle"/>
    <n v="3"/>
    <n v="0.2"/>
    <x v="232"/>
    <n v="568.28"/>
    <s v="Debit Card"/>
    <b v="0"/>
    <b v="0"/>
    <b v="0"/>
    <m/>
  </r>
  <r>
    <n v="234"/>
    <s v="ORD-2025-0234"/>
    <d v="2025-10-07T00:00:00"/>
    <d v="2025-10-10T00:00:00"/>
    <s v="Express"/>
    <s v="CUST-0024"/>
    <s v="Neha Gupta"/>
    <s v="Small Business"/>
    <s v="Chennai"/>
    <s v="South"/>
    <x v="0"/>
    <s v="Pen Set"/>
    <n v="2"/>
    <n v="0.1"/>
    <x v="233"/>
    <n v="58.5"/>
    <s v="Credit Card"/>
    <b v="0"/>
    <b v="0"/>
    <b v="0"/>
    <m/>
  </r>
  <r>
    <n v="235"/>
    <s v="ORD-2025-0235"/>
    <d v="2025-12-17T00:00:00"/>
    <d v="2025-12-22T00:00:00"/>
    <s v="Standard"/>
    <s v="CUST-0054"/>
    <s v="Ananya Singh"/>
    <s v="Consumer"/>
    <s v="Delhi"/>
    <s v="North"/>
    <x v="0"/>
    <s v="Calculator"/>
    <n v="1"/>
    <n v="0.2"/>
    <x v="234"/>
    <n v="130.81"/>
    <s v="Net Banking"/>
    <b v="0"/>
    <b v="0"/>
    <b v="0"/>
    <m/>
  </r>
  <r>
    <n v="236"/>
    <s v="ORD-2025-0236"/>
    <d v="2025-10-30T00:00:00"/>
    <d v="2025-11-03T00:00:00"/>
    <s v="Express"/>
    <s v="CUST-0239"/>
    <s v="Rohan Mehta"/>
    <s v="Small Business"/>
    <s v="Hyderabad"/>
    <s v="South"/>
    <x v="3"/>
    <s v="Power Bank"/>
    <n v="1"/>
    <n v="0"/>
    <x v="235"/>
    <n v="457.8"/>
    <s v="Credit Card"/>
    <b v="0"/>
    <b v="0"/>
    <b v="0"/>
    <m/>
  </r>
  <r>
    <n v="237"/>
    <s v="ORD-2025-0237"/>
    <d v="2025-07-04T00:00:00"/>
    <d v="2025-07-07T00:00:00"/>
    <s v="Standard"/>
    <s v="CUST-0022"/>
    <s v="Kavya Iyer"/>
    <s v="Corporate"/>
    <s v="Jaipur"/>
    <s v="North"/>
    <x v="0"/>
    <s v="Calculator"/>
    <n v="1"/>
    <n v="0.05"/>
    <x v="236"/>
    <n v="192.6"/>
    <s v="UPI"/>
    <b v="0"/>
    <b v="0"/>
    <b v="0"/>
    <m/>
  </r>
  <r>
    <n v="238"/>
    <s v="ORD-2025-0238"/>
    <d v="2025-05-19T00:00:00"/>
    <d v="2025-05-21T00:00:00"/>
    <s v="Same Day"/>
    <s v="CUST-0111"/>
    <s v="Arjun Patel"/>
    <s v="Consumer"/>
    <s v="Kolkata"/>
    <s v="East"/>
    <x v="0"/>
    <s v="Pen Set"/>
    <n v="1"/>
    <n v="0.1"/>
    <x v="237"/>
    <n v="24.72"/>
    <s v="Credit Card"/>
    <b v="0"/>
    <b v="0"/>
    <b v="0"/>
    <m/>
  </r>
  <r>
    <n v="239"/>
    <s v="ORD-2025-0239"/>
    <d v="2025-04-14T00:00:00"/>
    <d v="2025-04-17T00:00:00"/>
    <s v="Standard"/>
    <s v="CUST-0126"/>
    <s v="Nikhil Jain"/>
    <s v="Consumer"/>
    <s v="Bengaluru"/>
    <s v="South"/>
    <x v="0"/>
    <s v="File Folder"/>
    <n v="4"/>
    <n v="0.2"/>
    <x v="238"/>
    <n v="64.75"/>
    <s v="UPI"/>
    <b v="0"/>
    <b v="0"/>
    <b v="0"/>
    <m/>
  </r>
  <r>
    <n v="240"/>
    <s v="ORD-2025-0240"/>
    <d v="2025-02-18T00:00:00"/>
    <d v="2025-02-22T00:00:00"/>
    <s v="Standard"/>
    <s v="CUST-0081"/>
    <s v="Rahul Verma"/>
    <s v="Consumer"/>
    <s v="Hyderabad"/>
    <s v="South"/>
    <x v="3"/>
    <s v="USB-C Hub"/>
    <n v="1"/>
    <n v="0"/>
    <x v="239"/>
    <n v="464.75"/>
    <s v="Credit Card"/>
    <b v="0"/>
    <b v="0"/>
    <b v="0"/>
    <m/>
  </r>
  <r>
    <n v="241"/>
    <s v="ORD-2025-0241"/>
    <d v="2025-03-19T00:00:00"/>
    <d v="2025-03-21T00:00:00"/>
    <s v="Standard"/>
    <s v="CUST-0216"/>
    <s v="Manish Yadav"/>
    <s v="Corporate"/>
    <s v="Mysuru"/>
    <s v="South"/>
    <x v="0"/>
    <s v="File Folder"/>
    <n v="1"/>
    <n v="0.15"/>
    <x v="240"/>
    <n v="6.41"/>
    <s v="Credit Card"/>
    <b v="0"/>
    <b v="0"/>
    <b v="0"/>
    <m/>
  </r>
  <r>
    <n v="242"/>
    <s v="ORD-2025-0242"/>
    <d v="2025-01-13T00:00:00"/>
    <d v="2025-01-16T00:00:00"/>
    <s v="Express"/>
    <s v="CUST-0089"/>
    <s v="Shreya Kapoor"/>
    <s v="Corporate"/>
    <s v="Bengaluru"/>
    <s v="South"/>
    <x v="0"/>
    <s v="Calculator"/>
    <n v="1"/>
    <n v="0.1"/>
    <x v="241"/>
    <n v="179"/>
    <s v="Debit Card"/>
    <b v="0"/>
    <b v="0"/>
    <b v="0"/>
    <m/>
  </r>
  <r>
    <n v="243"/>
    <s v="ORD-2025-0243"/>
    <d v="2025-04-24T00:00:00"/>
    <d v="2025-04-27T00:00:00"/>
    <s v="Standard"/>
    <s v="CUST-0225"/>
    <s v="Nikhil Jain"/>
    <s v="Consumer"/>
    <s v="Jaipur"/>
    <s v="North"/>
    <x v="0"/>
    <s v="Desk Organizer"/>
    <n v="3"/>
    <n v="0.05"/>
    <x v="242"/>
    <n v="395.09"/>
    <s v="UPI"/>
    <b v="0"/>
    <b v="0"/>
    <b v="0"/>
    <m/>
  </r>
  <r>
    <n v="244"/>
    <s v="ORD-2025-0244"/>
    <d v="2025-11-30T00:00:00"/>
    <d v="2025-12-05T00:00:00"/>
    <s v="Standard"/>
    <s v="CUST-0112"/>
    <s v="Rohan Mehta"/>
    <s v="Corporate"/>
    <s v="Bengaluru"/>
    <s v="South"/>
    <x v="3"/>
    <s v="USB-C Hub"/>
    <n v="4"/>
    <n v="0.1"/>
    <x v="243"/>
    <n v="506.07"/>
    <s v="UPI"/>
    <b v="0"/>
    <b v="0"/>
    <b v="0"/>
    <m/>
  </r>
  <r>
    <n v="245"/>
    <s v="ORD-2025-0245"/>
    <d v="2025-03-20T00:00:00"/>
    <d v="2025-03-23T00:00:00"/>
    <s v="Same Day"/>
    <s v="CUST-0024"/>
    <s v="Ishita Roy"/>
    <s v="Small Business"/>
    <s v="Bengaluru"/>
    <s v="South"/>
    <x v="3"/>
    <s v="USB-C Hub"/>
    <n v="2"/>
    <n v="0.15"/>
    <x v="244"/>
    <n v="401.82"/>
    <s v="Net Banking"/>
    <b v="0"/>
    <b v="0"/>
    <b v="0"/>
    <m/>
  </r>
  <r>
    <n v="246"/>
    <s v="ORD-2025-0246"/>
    <d v="2025-11-21T00:00:00"/>
    <d v="2025-11-25T00:00:00"/>
    <s v="Express"/>
    <s v="CUST-0169"/>
    <s v="Nikhil Jain"/>
    <s v="Consumer"/>
    <s v="Lucknow"/>
    <s v="North"/>
    <x v="3"/>
    <s v="Power Bank"/>
    <n v="1"/>
    <n v="0.25"/>
    <x v="245"/>
    <n v="-29.74"/>
    <s v="UPI"/>
    <b v="0"/>
    <b v="0"/>
    <b v="0"/>
    <m/>
  </r>
  <r>
    <n v="247"/>
    <s v="ORD-2025-0247"/>
    <d v="2025-05-04T00:00:00"/>
    <d v="2025-05-06T00:00:00"/>
    <s v="Standard"/>
    <s v="CUST-0219"/>
    <s v="Sanjay Menon"/>
    <s v="Small Business"/>
    <s v="Mysuru"/>
    <s v="South"/>
    <x v="3"/>
    <s v="Keyboard"/>
    <n v="2"/>
    <n v="0.05"/>
    <x v="246"/>
    <n v="829.39"/>
    <s v="UPI"/>
    <b v="0"/>
    <b v="0"/>
    <b v="0"/>
    <m/>
  </r>
  <r>
    <n v="248"/>
    <s v="ORD-2025-0248"/>
    <d v="2025-11-05T00:00:00"/>
    <d v="2025-11-07T00:00:00"/>
    <s v="Standard"/>
    <s v="CUST-0073"/>
    <s v="Aarav Sharma"/>
    <s v="Corporate"/>
    <s v="Chennai"/>
    <s v="South"/>
    <x v="3"/>
    <s v="USB-C Hub"/>
    <n v="2"/>
    <n v="0.1"/>
    <x v="247"/>
    <n v="670.62"/>
    <s v="Credit Card"/>
    <b v="0"/>
    <b v="0"/>
    <b v="0"/>
    <m/>
  </r>
  <r>
    <n v="249"/>
    <s v="ORD-2025-0249"/>
    <d v="2025-03-24T00:00:00"/>
    <d v="2025-03-26T00:00:00"/>
    <s v="Standard"/>
    <s v="CUST-0179"/>
    <s v="Divya Rao"/>
    <s v="Consumer"/>
    <s v="Bhubaneswar"/>
    <s v="East"/>
    <x v="0"/>
    <s v="Desk Organizer"/>
    <n v="1"/>
    <n v="0"/>
    <x v="248"/>
    <n v="113.61"/>
    <s v="Debit Card"/>
    <b v="0"/>
    <b v="0"/>
    <b v="0"/>
    <m/>
  </r>
  <r>
    <n v="250"/>
    <s v="ORD-2025-0250"/>
    <d v="2025-01-07T00:00:00"/>
    <d v="2025-01-08T00:00:00"/>
    <s v="Standard"/>
    <s v="CUST-0073"/>
    <s v="Kiran Joshi"/>
    <s v="Corporate"/>
    <s v="Bhubaneswar"/>
    <s v="East"/>
    <x v="2"/>
    <s v="Office Chair"/>
    <n v="2"/>
    <n v="0.05"/>
    <x v="249"/>
    <n v="1606.35"/>
    <s v="Debit Card"/>
    <b v="0"/>
    <b v="0"/>
    <b v="0"/>
    <m/>
  </r>
  <r>
    <n v="251"/>
    <s v="ORD-2025-0251"/>
    <d v="2025-09-01T00:00:00"/>
    <d v="2025-09-04T00:00:00"/>
    <s v="Express"/>
    <s v="CUST-0132"/>
    <s v="Rohan Mehta"/>
    <s v="Consumer"/>
    <s v="Lucknow"/>
    <s v="North"/>
    <x v="3"/>
    <s v="Wireless Mouse"/>
    <n v="1"/>
    <n v="0.1"/>
    <x v="250"/>
    <n v="64.84"/>
    <s v="Net Banking"/>
    <b v="0"/>
    <b v="0"/>
    <b v="0"/>
    <m/>
  </r>
  <r>
    <n v="252"/>
    <s v="ORD-2025-0252"/>
    <d v="2025-06-17T00:00:00"/>
    <d v="2025-06-18T00:00:00"/>
    <s v="Same Day"/>
    <s v="CUST-0063"/>
    <s v="Aarav Sharma"/>
    <s v="Consumer"/>
    <s v="Jaipur"/>
    <s v="North"/>
    <x v="3"/>
    <s v="Bluetooth Speaker"/>
    <n v="3"/>
    <n v="0.15"/>
    <x v="251"/>
    <n v="1407.49"/>
    <s v="UPI"/>
    <b v="0"/>
    <b v="0"/>
    <b v="0"/>
    <m/>
  </r>
  <r>
    <n v="253"/>
    <s v="ORD-2025-0253"/>
    <d v="2025-11-27T00:00:00"/>
    <d v="2025-11-29T00:00:00"/>
    <s v="Express"/>
    <s v="CUST-0127"/>
    <s v="Manish Yadav"/>
    <s v="Consumer"/>
    <s v="Mysuru"/>
    <s v="South"/>
    <x v="3"/>
    <s v="Bluetooth Speaker"/>
    <n v="3"/>
    <n v="0.1"/>
    <x v="252"/>
    <n v="1150.17"/>
    <s v="UPI"/>
    <b v="0"/>
    <b v="0"/>
    <b v="0"/>
    <m/>
  </r>
  <r>
    <n v="254"/>
    <s v="ORD-2025-0254"/>
    <d v="2025-04-01T00:00:00"/>
    <d v="2025-04-04T00:00:00"/>
    <s v="Standard"/>
    <s v="CUST-0107"/>
    <s v="Vikram Rao"/>
    <s v="Consumer"/>
    <s v="Lucknow"/>
    <s v="North"/>
    <x v="1"/>
    <s v="Lunch Box"/>
    <n v="2"/>
    <n v="0.05"/>
    <x v="253"/>
    <n v="377.77"/>
    <s v="UPI"/>
    <b v="0"/>
    <b v="0"/>
    <b v="0"/>
    <m/>
  </r>
  <r>
    <n v="255"/>
    <s v="ORD-2025-0255"/>
    <d v="2025-02-27T00:00:00"/>
    <d v="2025-03-02T00:00:00"/>
    <s v="Standard"/>
    <s v="CUST-0114"/>
    <s v="Aditya Kumar"/>
    <s v="Small Business"/>
    <s v="Mysuru"/>
    <s v="South"/>
    <x v="1"/>
    <s v="Water Bottle"/>
    <n v="3"/>
    <n v="0.1"/>
    <x v="254"/>
    <n v="188.16"/>
    <s v="UPI"/>
    <b v="0"/>
    <b v="0"/>
    <b v="0"/>
    <m/>
  </r>
  <r>
    <n v="256"/>
    <s v="ORD-2025-0256"/>
    <d v="2025-09-13T00:00:00"/>
    <d v="2025-09-18T00:00:00"/>
    <s v="Standard"/>
    <s v="CUST-0129"/>
    <s v="Rahul Verma"/>
    <s v="Consumer"/>
    <s v="Lucknow"/>
    <s v="North"/>
    <x v="1"/>
    <s v="Lunch Box"/>
    <n v="1"/>
    <n v="0.05"/>
    <x v="255"/>
    <n v="224.69"/>
    <s v="Debit Card"/>
    <b v="0"/>
    <b v="0"/>
    <b v="0"/>
    <m/>
  </r>
  <r>
    <n v="257"/>
    <s v="ORD-2025-0257"/>
    <d v="2025-08-30T00:00:00"/>
    <d v="2025-09-02T00:00:00"/>
    <s v="Standard"/>
    <s v="CUST-0069"/>
    <s v="Aarav Sharma"/>
    <s v="Consumer"/>
    <s v="Mumbai"/>
    <s v="West"/>
    <x v="3"/>
    <s v="Power Bank"/>
    <n v="3"/>
    <n v="0.2"/>
    <x v="256"/>
    <n v="244.96"/>
    <s v="UPI"/>
    <b v="0"/>
    <b v="0"/>
    <b v="0"/>
    <m/>
  </r>
  <r>
    <n v="258"/>
    <s v="ORD-2025-0258"/>
    <d v="2025-12-10T00:00:00"/>
    <d v="2025-12-11T00:00:00"/>
    <s v="Express"/>
    <s v="CUST-0133"/>
    <s v="Sneha Reddy"/>
    <s v="Corporate"/>
    <s v="Mumbai"/>
    <s v="West"/>
    <x v="0"/>
    <s v="Notebook"/>
    <n v="3"/>
    <n v="0"/>
    <x v="257"/>
    <n v="199.59"/>
    <s v="UPI"/>
    <b v="0"/>
    <b v="0"/>
    <b v="0"/>
    <m/>
  </r>
  <r>
    <n v="259"/>
    <s v="ORD-2025-0259"/>
    <d v="2025-04-19T00:00:00"/>
    <d v="2025-04-22T00:00:00"/>
    <s v="Express"/>
    <s v="CUST-0087"/>
    <s v="Nikhil Jain"/>
    <s v="Consumer"/>
    <s v="Bengaluru"/>
    <s v="South"/>
    <x v="3"/>
    <s v="Wireless Mouse"/>
    <n v="1"/>
    <n v="0.05"/>
    <x v="258"/>
    <n v="168.85"/>
    <s v="Credit Card"/>
    <b v="0"/>
    <b v="0"/>
    <b v="0"/>
    <m/>
  </r>
  <r>
    <n v="260"/>
    <s v="ORD-2025-0260"/>
    <d v="2025-04-22T00:00:00"/>
    <d v="2025-04-27T00:00:00"/>
    <s v="Express"/>
    <s v="CUST-0134"/>
    <s v="Pooja Das"/>
    <s v="Consumer"/>
    <s v="Mumbai"/>
    <s v="West"/>
    <x v="0"/>
    <s v="Notebook"/>
    <n v="2"/>
    <n v="0.15"/>
    <x v="259"/>
    <n v="72.42"/>
    <s v="UPI"/>
    <b v="0"/>
    <b v="0"/>
    <b v="0"/>
    <m/>
  </r>
  <r>
    <n v="261"/>
    <s v="ORD-2025-0261"/>
    <d v="2025-05-02T00:00:00"/>
    <d v="2025-05-04T00:00:00"/>
    <s v="Standard"/>
    <s v="CUST-0234"/>
    <s v="Aditya Kumar"/>
    <s v="Consumer"/>
    <s v="Kolkata"/>
    <s v="East"/>
    <x v="3"/>
    <s v="Wireless Mouse"/>
    <n v="3"/>
    <n v="0.2"/>
    <x v="260"/>
    <n v="178.2"/>
    <s v="UPI"/>
    <b v="0"/>
    <b v="0"/>
    <b v="0"/>
    <m/>
  </r>
  <r>
    <n v="262"/>
    <s v="ORD-2025-0262"/>
    <d v="2025-03-13T00:00:00"/>
    <d v="2025-03-16T00:00:00"/>
    <s v="Standard"/>
    <s v="CUST-0019"/>
    <s v="Rahul Verma"/>
    <s v="Corporate"/>
    <s v="Pune"/>
    <s v="West"/>
    <x v="0"/>
    <s v="Desk Organizer"/>
    <n v="1"/>
    <n v="0.25"/>
    <x v="261"/>
    <n v="23"/>
    <s v="Debit Card"/>
    <b v="0"/>
    <b v="0"/>
    <b v="0"/>
    <m/>
  </r>
  <r>
    <n v="263"/>
    <s v="ORD-2025-0263"/>
    <d v="2025-04-03T00:00:00"/>
    <d v="2025-04-08T00:00:00"/>
    <s v="Same Day"/>
    <s v="CUST-0039"/>
    <s v="Nikhil Jain"/>
    <s v="Consumer"/>
    <s v="Mysuru"/>
    <s v="South"/>
    <x v="3"/>
    <s v="Keyboard"/>
    <n v="2"/>
    <n v="0.2"/>
    <x v="262"/>
    <n v="250.94"/>
    <s v="UPI"/>
    <b v="0"/>
    <b v="0"/>
    <b v="0"/>
    <m/>
  </r>
  <r>
    <n v="264"/>
    <s v="ORD-2025-0264"/>
    <d v="2025-03-03T00:00:00"/>
    <d v="2025-03-04T00:00:00"/>
    <s v="Standard"/>
    <s v="CUST-0029"/>
    <s v="Aditya Kumar"/>
    <s v="Corporate"/>
    <s v="Bengaluru"/>
    <s v="South"/>
    <x v="1"/>
    <s v="Coffee Mug"/>
    <n v="5"/>
    <n v="0.15"/>
    <x v="263"/>
    <n v="187.96"/>
    <s v="UPI"/>
    <b v="0"/>
    <b v="0"/>
    <b v="0"/>
    <m/>
  </r>
  <r>
    <n v="265"/>
    <s v="ORD-2025-0265"/>
    <d v="2025-03-27T00:00:00"/>
    <d v="2025-03-28T00:00:00"/>
    <s v="Express"/>
    <s v="CUST-0206"/>
    <s v="Manish Yadav"/>
    <s v="Small Business"/>
    <s v="Jaipur"/>
    <s v="North"/>
    <x v="3"/>
    <s v="USB-C Hub"/>
    <n v="2"/>
    <n v="0.2"/>
    <x v="264"/>
    <n v="336.03"/>
    <s v="Credit Card"/>
    <b v="0"/>
    <b v="0"/>
    <b v="0"/>
    <m/>
  </r>
  <r>
    <n v="266"/>
    <s v="ORD-2025-0266"/>
    <d v="2025-05-26T00:00:00"/>
    <d v="2025-05-29T00:00:00"/>
    <s v="Standard"/>
    <s v="CUST-0006"/>
    <s v="Pooja Das"/>
    <s v="Consumer"/>
    <s v="Mumbai"/>
    <s v="West"/>
    <x v="0"/>
    <s v="Desk Organizer"/>
    <n v="2"/>
    <n v="0.1"/>
    <x v="265"/>
    <n v="196.82"/>
    <s v="Debit Card"/>
    <b v="0"/>
    <b v="0"/>
    <b v="0"/>
    <m/>
  </r>
  <r>
    <n v="267"/>
    <s v="ORD-2025-0267"/>
    <d v="2025-11-29T00:00:00"/>
    <d v="2025-12-04T00:00:00"/>
    <s v="Same Day"/>
    <s v="CUST-0234"/>
    <s v="Rahul Verma"/>
    <s v="Consumer"/>
    <s v="Jaipur"/>
    <s v="North"/>
    <x v="1"/>
    <s v="Storage Box"/>
    <n v="5"/>
    <n v="0.1"/>
    <x v="266"/>
    <n v="1248.3499999999999"/>
    <s v="UPI"/>
    <b v="0"/>
    <b v="0"/>
    <b v="0"/>
    <m/>
  </r>
  <r>
    <n v="268"/>
    <s v="ORD-2025-0268"/>
    <d v="2025-11-27T00:00:00"/>
    <d v="2025-11-29T00:00:00"/>
    <s v="Standard"/>
    <s v="CUST-0130"/>
    <s v="Nikhil Jain"/>
    <s v="Consumer"/>
    <s v="Ahmedabad"/>
    <s v="West"/>
    <x v="0"/>
    <s v="Desk Organizer"/>
    <n v="2"/>
    <n v="0.1"/>
    <x v="267"/>
    <n v="72.58"/>
    <s v="Debit Card"/>
    <b v="0"/>
    <b v="0"/>
    <b v="0"/>
    <m/>
  </r>
  <r>
    <n v="269"/>
    <s v="ORD-2025-0269"/>
    <d v="2025-12-23T00:00:00"/>
    <d v="2025-12-28T00:00:00"/>
    <s v="Express"/>
    <s v="CUST-0099"/>
    <s v="Arjun Patel"/>
    <s v="Consumer"/>
    <s v="Hyderabad"/>
    <s v="South"/>
    <x v="3"/>
    <s v="Wireless Mouse"/>
    <n v="3"/>
    <n v="0.1"/>
    <x v="268"/>
    <n v="314.06"/>
    <s v="Debit Card"/>
    <b v="0"/>
    <b v="0"/>
    <b v="0"/>
    <m/>
  </r>
  <r>
    <n v="270"/>
    <s v="ORD-2025-0270"/>
    <d v="2025-08-03T00:00:00"/>
    <d v="2025-08-06T00:00:00"/>
    <s v="Express"/>
    <s v="CUST-0245"/>
    <s v="Neha Gupta"/>
    <s v="Consumer"/>
    <s v="Jaipur"/>
    <s v="North"/>
    <x v="0"/>
    <s v="File Folder"/>
    <n v="1"/>
    <n v="0.05"/>
    <x v="269"/>
    <n v="15.19"/>
    <s v="Credit Card"/>
    <b v="0"/>
    <b v="0"/>
    <b v="0"/>
    <m/>
  </r>
  <r>
    <n v="271"/>
    <s v="ORD-2025-0271"/>
    <d v="2025-04-04T00:00:00"/>
    <d v="2025-04-08T00:00:00"/>
    <s v="Standard"/>
    <s v="CUST-0218"/>
    <s v="Priya Nair"/>
    <s v="Consumer"/>
    <s v="Jaipur"/>
    <s v="North"/>
    <x v="2"/>
    <s v="Bookshelf"/>
    <n v="1"/>
    <n v="0"/>
    <x v="270"/>
    <n v="1164.8599999999999"/>
    <s v="Credit Card"/>
    <b v="0"/>
    <b v="0"/>
    <b v="0"/>
    <m/>
  </r>
  <r>
    <n v="272"/>
    <s v="ORD-2025-0272"/>
    <d v="2025-08-10T00:00:00"/>
    <d v="2025-08-15T00:00:00"/>
    <s v="Standard"/>
    <s v="CUST-0122"/>
    <s v="Meera Shah"/>
    <s v="Consumer"/>
    <s v="Pune"/>
    <s v="West"/>
    <x v="0"/>
    <s v="Notebook"/>
    <n v="2"/>
    <n v="0.1"/>
    <x v="271"/>
    <n v="75.709999999999994"/>
    <s v="Credit Card"/>
    <b v="0"/>
    <b v="0"/>
    <b v="0"/>
    <m/>
  </r>
  <r>
    <n v="273"/>
    <s v="ORD-2025-0273"/>
    <d v="2025-12-06T00:00:00"/>
    <d v="2025-12-08T00:00:00"/>
    <s v="Standard"/>
    <s v="CUST-0001"/>
    <s v="Arjun Patel"/>
    <s v="Consumer"/>
    <s v="Hyderabad"/>
    <s v="South"/>
    <x v="3"/>
    <s v="Power Bank"/>
    <n v="2"/>
    <n v="0.25"/>
    <x v="272"/>
    <n v="170.86"/>
    <s v="UPI"/>
    <b v="0"/>
    <b v="0"/>
    <b v="0"/>
    <m/>
  </r>
  <r>
    <n v="274"/>
    <s v="ORD-2025-0274"/>
    <d v="2025-06-25T00:00:00"/>
    <d v="2025-06-26T00:00:00"/>
    <s v="Standard"/>
    <s v="CUST-0157"/>
    <s v="Vikram Rao"/>
    <s v="Small Business"/>
    <s v="Mumbai"/>
    <s v="West"/>
    <x v="1"/>
    <s v="Lunch Box"/>
    <n v="2"/>
    <n v="0.2"/>
    <x v="273"/>
    <n v="47.82"/>
    <s v="Cash"/>
    <b v="0"/>
    <b v="0"/>
    <b v="0"/>
    <m/>
  </r>
  <r>
    <n v="275"/>
    <s v="ORD-2025-0275"/>
    <d v="2025-06-25T00:00:00"/>
    <d v="2025-06-28T00:00:00"/>
    <s v="Express"/>
    <s v="CUST-0224"/>
    <s v="Neha Gupta"/>
    <s v="Consumer"/>
    <s v="Bengaluru"/>
    <s v="South"/>
    <x v="1"/>
    <s v="Lunch Box"/>
    <n v="2"/>
    <n v="0"/>
    <x v="274"/>
    <n v="509.66"/>
    <s v="Credit Card"/>
    <b v="0"/>
    <b v="0"/>
    <b v="0"/>
    <m/>
  </r>
  <r>
    <n v="276"/>
    <s v="ORD-2025-0276"/>
    <d v="2025-10-31T00:00:00"/>
    <d v="2025-11-05T00:00:00"/>
    <s v="Express"/>
    <s v="CUST-0114"/>
    <s v="Nikhil Jain"/>
    <s v="Corporate"/>
    <s v="Bengaluru"/>
    <s v="South"/>
    <x v="2"/>
    <s v="Folding Chair"/>
    <n v="5"/>
    <n v="0.2"/>
    <x v="275"/>
    <n v="1400.39"/>
    <s v="UPI"/>
    <b v="0"/>
    <b v="0"/>
    <b v="0"/>
    <m/>
  </r>
  <r>
    <n v="277"/>
    <s v="ORD-2025-0277"/>
    <d v="2025-12-07T00:00:00"/>
    <d v="2025-12-12T00:00:00"/>
    <s v="Same Day"/>
    <s v="CUST-0127"/>
    <s v="Manish Yadav"/>
    <s v="Consumer"/>
    <s v="Lucknow"/>
    <s v="North"/>
    <x v="1"/>
    <s v="Lunch Box"/>
    <n v="2"/>
    <n v="0.1"/>
    <x v="276"/>
    <n v="239.95"/>
    <s v="Debit Card"/>
    <b v="0"/>
    <b v="0"/>
    <b v="0"/>
    <m/>
  </r>
  <r>
    <n v="278"/>
    <s v="ORD-2025-0278"/>
    <d v="2025-07-02T00:00:00"/>
    <d v="2025-07-06T00:00:00"/>
    <s v="Same Day"/>
    <s v="CUST-0012"/>
    <s v="Ishita Roy"/>
    <s v="Corporate"/>
    <s v="Chennai"/>
    <s v="South"/>
    <x v="0"/>
    <s v="File Folder"/>
    <n v="4"/>
    <n v="0.05"/>
    <x v="277"/>
    <n v="104.51"/>
    <s v="Cash"/>
    <b v="0"/>
    <b v="0"/>
    <b v="0"/>
    <m/>
  </r>
  <r>
    <n v="279"/>
    <s v="ORD-2025-0279"/>
    <d v="2025-06-04T00:00:00"/>
    <d v="2025-06-06T00:00:00"/>
    <s v="Express"/>
    <s v="CUST-0087"/>
    <s v="Rohan Mehta"/>
    <s v="Corporate"/>
    <s v="Kolkata"/>
    <s v="East"/>
    <x v="2"/>
    <s v="Office Chair"/>
    <n v="4"/>
    <n v="0.2"/>
    <x v="278"/>
    <n v="-796.35"/>
    <s v="Net Banking"/>
    <b v="0"/>
    <b v="0"/>
    <b v="0"/>
    <m/>
  </r>
  <r>
    <n v="280"/>
    <s v="ORD-2025-0280"/>
    <d v="2025-05-23T00:00:00"/>
    <d v="2025-05-27T00:00:00"/>
    <s v="Standard"/>
    <s v="CUST-0174"/>
    <s v="Meera Shah"/>
    <s v="Consumer"/>
    <s v="Bengaluru"/>
    <s v="South"/>
    <x v="3"/>
    <s v="Bluetooth Speaker"/>
    <n v="2"/>
    <n v="0.1"/>
    <x v="279"/>
    <n v="466.64"/>
    <s v="Debit Card"/>
    <b v="0"/>
    <b v="0"/>
    <b v="0"/>
    <m/>
  </r>
  <r>
    <n v="281"/>
    <s v="ORD-2025-0281"/>
    <d v="2025-01-20T00:00:00"/>
    <d v="2025-01-23T00:00:00"/>
    <s v="Express"/>
    <s v="CUST-0066"/>
    <s v="Arjun Patel"/>
    <s v="Small Business"/>
    <s v="Kolkata"/>
    <s v="East"/>
    <x v="3"/>
    <s v="Bluetooth Speaker"/>
    <n v="2"/>
    <n v="0.1"/>
    <x v="280"/>
    <n v="386.65"/>
    <s v="Debit Card"/>
    <b v="0"/>
    <b v="0"/>
    <b v="0"/>
    <m/>
  </r>
  <r>
    <n v="282"/>
    <s v="ORD-2025-0282"/>
    <d v="2025-05-28T00:00:00"/>
    <d v="2025-06-02T00:00:00"/>
    <s v="Express"/>
    <s v="CUST-0116"/>
    <s v="Divya Rao"/>
    <s v="Corporate"/>
    <s v="Delhi"/>
    <s v="North"/>
    <x v="3"/>
    <s v="Bluetooth Speaker"/>
    <n v="1"/>
    <n v="0.1"/>
    <x v="281"/>
    <n v="486.5"/>
    <s v="Credit Card"/>
    <b v="0"/>
    <b v="0"/>
    <b v="0"/>
    <m/>
  </r>
  <r>
    <n v="283"/>
    <s v="ORD-2025-0283"/>
    <d v="2025-03-29T00:00:00"/>
    <d v="2025-03-30T00:00:00"/>
    <s v="Express"/>
    <s v="CUST-0239"/>
    <s v="Kavya Iyer"/>
    <s v="Small Business"/>
    <s v="Delhi"/>
    <s v="North"/>
    <x v="0"/>
    <s v="Desk Organizer"/>
    <n v="1"/>
    <n v="0.15"/>
    <x v="282"/>
    <n v="119.82"/>
    <s v="Debit Card"/>
    <b v="0"/>
    <b v="0"/>
    <b v="0"/>
    <m/>
  </r>
  <r>
    <n v="284"/>
    <s v="ORD-2025-0284"/>
    <d v="2025-09-30T00:00:00"/>
    <d v="2025-10-02T00:00:00"/>
    <s v="Standard"/>
    <s v="CUST-0178"/>
    <s v="Vikram Rao"/>
    <s v="Consumer"/>
    <s v="Ahmedabad"/>
    <s v="West"/>
    <x v="3"/>
    <s v="USB-C Hub"/>
    <n v="2"/>
    <n v="0.05"/>
    <x v="283"/>
    <n v="1063.05"/>
    <s v="UPI"/>
    <b v="0"/>
    <b v="0"/>
    <b v="0"/>
    <m/>
  </r>
  <r>
    <n v="285"/>
    <s v="ORD-2025-0285"/>
    <d v="2025-10-20T00:00:00"/>
    <d v="2025-10-21T00:00:00"/>
    <s v="Standard"/>
    <s v="CUST-0104"/>
    <s v="Aditya Kumar"/>
    <s v="Consumer"/>
    <s v="Hyderabad"/>
    <s v="South"/>
    <x v="0"/>
    <s v="Pen Set"/>
    <n v="2"/>
    <n v="0.1"/>
    <x v="284"/>
    <n v="56.19"/>
    <s v="UPI"/>
    <b v="0"/>
    <b v="0"/>
    <b v="0"/>
    <m/>
  </r>
  <r>
    <n v="286"/>
    <s v="ORD-2025-0286"/>
    <d v="2025-05-05T00:00:00"/>
    <d v="2025-05-10T00:00:00"/>
    <s v="Express"/>
    <s v="CUST-0223"/>
    <s v="Ishita Roy"/>
    <s v="Consumer"/>
    <s v="Lucknow"/>
    <s v="North"/>
    <x v="3"/>
    <s v="USB-C Hub"/>
    <n v="1"/>
    <n v="0.05"/>
    <x v="285"/>
    <n v="369.27"/>
    <s v="Cash"/>
    <b v="0"/>
    <b v="0"/>
    <b v="0"/>
    <m/>
  </r>
  <r>
    <n v="287"/>
    <s v="ORD-2025-0287"/>
    <d v="2025-07-09T00:00:00"/>
    <d v="2025-07-14T00:00:00"/>
    <s v="Standard"/>
    <s v="CUST-0152"/>
    <s v="Rahul Verma"/>
    <s v="Consumer"/>
    <s v="Ahmedabad"/>
    <s v="West"/>
    <x v="3"/>
    <s v="Keyboard"/>
    <n v="3"/>
    <n v="0.1"/>
    <x v="286"/>
    <n v="475.25"/>
    <s v="UPI"/>
    <b v="0"/>
    <b v="0"/>
    <b v="0"/>
    <m/>
  </r>
  <r>
    <n v="288"/>
    <s v="ORD-2025-0288"/>
    <d v="2025-04-16T00:00:00"/>
    <d v="2025-04-21T00:00:00"/>
    <s v="Express"/>
    <s v="CUST-0176"/>
    <s v="Ishita Roy"/>
    <s v="Corporate"/>
    <s v="Ahmedabad"/>
    <s v="West"/>
    <x v="1"/>
    <s v="Water Bottle"/>
    <n v="5"/>
    <n v="0.05"/>
    <x v="287"/>
    <n v="575.29999999999995"/>
    <s v="Debit Card"/>
    <b v="0"/>
    <b v="0"/>
    <b v="0"/>
    <m/>
  </r>
  <r>
    <n v="289"/>
    <s v="ORD-2025-0289"/>
    <d v="2025-08-06T00:00:00"/>
    <d v="2025-08-09T00:00:00"/>
    <s v="Express"/>
    <s v="CUST-0076"/>
    <s v="Pooja Das"/>
    <s v="Corporate"/>
    <s v="Bengaluru"/>
    <s v="South"/>
    <x v="1"/>
    <s v="Electric Kettle"/>
    <n v="3"/>
    <n v="0.2"/>
    <x v="288"/>
    <n v="473.04"/>
    <s v="Debit Card"/>
    <b v="0"/>
    <b v="0"/>
    <b v="0"/>
    <m/>
  </r>
  <r>
    <n v="290"/>
    <s v="ORD-2025-0290"/>
    <d v="2025-08-12T00:00:00"/>
    <d v="2025-08-17T00:00:00"/>
    <s v="Standard"/>
    <s v="CUST-0077"/>
    <s v="Meera Shah"/>
    <s v="Corporate"/>
    <s v="Ahmedabad"/>
    <s v="West"/>
    <x v="3"/>
    <s v="Keyboard"/>
    <n v="3"/>
    <n v="0.1"/>
    <x v="289"/>
    <n v="590.46"/>
    <s v="UPI"/>
    <b v="0"/>
    <b v="0"/>
    <b v="0"/>
    <m/>
  </r>
  <r>
    <n v="291"/>
    <s v="ORD-2025-0291"/>
    <d v="2025-08-08T00:00:00"/>
    <d v="2025-08-13T00:00:00"/>
    <s v="Standard"/>
    <s v="CUST-0226"/>
    <s v="Divya Rao"/>
    <s v="Consumer"/>
    <s v="Kolkata"/>
    <s v="East"/>
    <x v="2"/>
    <s v="Office Chair"/>
    <n v="1"/>
    <n v="0.1"/>
    <x v="290"/>
    <n v="1189.6300000000001"/>
    <s v="Net Banking"/>
    <b v="0"/>
    <b v="0"/>
    <b v="0"/>
    <m/>
  </r>
  <r>
    <n v="292"/>
    <s v="ORD-2025-0292"/>
    <d v="2025-09-13T00:00:00"/>
    <d v="2025-09-16T00:00:00"/>
    <s v="Standard"/>
    <s v="CUST-0069"/>
    <s v="Shreya Kapoor"/>
    <s v="Corporate"/>
    <s v="Pune"/>
    <s v="West"/>
    <x v="1"/>
    <s v="Water Bottle"/>
    <n v="2"/>
    <n v="0.15"/>
    <x v="291"/>
    <n v="70.150000000000006"/>
    <s v="UPI"/>
    <b v="0"/>
    <b v="0"/>
    <b v="0"/>
    <m/>
  </r>
  <r>
    <n v="293"/>
    <s v="ORD-2025-0293"/>
    <d v="2025-01-13T00:00:00"/>
    <d v="2025-01-18T00:00:00"/>
    <s v="Express"/>
    <s v="CUST-0205"/>
    <s v="Nikhil Jain"/>
    <s v="Consumer"/>
    <s v="Hyderabad"/>
    <s v="South"/>
    <x v="3"/>
    <s v="Keyboard"/>
    <n v="1"/>
    <n v="0.05"/>
    <x v="292"/>
    <n v="268.49"/>
    <s v="Credit Card"/>
    <b v="0"/>
    <b v="0"/>
    <b v="0"/>
    <m/>
  </r>
  <r>
    <n v="294"/>
    <s v="ORD-2025-0294"/>
    <d v="2025-04-19T00:00:00"/>
    <d v="2025-04-22T00:00:00"/>
    <s v="Standard"/>
    <s v="CUST-0241"/>
    <s v="Divya Rao"/>
    <s v="Corporate"/>
    <s v="Delhi"/>
    <s v="North"/>
    <x v="0"/>
    <s v="Notebook"/>
    <n v="2"/>
    <n v="0.2"/>
    <x v="293"/>
    <n v="-8.15"/>
    <s v="Debit Card"/>
    <b v="0"/>
    <b v="0"/>
    <b v="0"/>
    <m/>
  </r>
  <r>
    <n v="295"/>
    <s v="ORD-2025-0295"/>
    <d v="2025-09-26T00:00:00"/>
    <d v="2025-09-29T00:00:00"/>
    <s v="Standard"/>
    <s v="CUST-0168"/>
    <s v="Manish Yadav"/>
    <s v="Corporate"/>
    <s v="Mysuru"/>
    <s v="South"/>
    <x v="0"/>
    <s v="Calculator"/>
    <n v="2"/>
    <n v="0.2"/>
    <x v="294"/>
    <n v="132.01"/>
    <s v="Net Banking"/>
    <b v="0"/>
    <b v="0"/>
    <b v="0"/>
    <m/>
  </r>
  <r>
    <n v="296"/>
    <s v="ORD-2025-0296"/>
    <d v="2025-11-09T00:00:00"/>
    <d v="2025-11-13T00:00:00"/>
    <s v="Express"/>
    <s v="CUST-0075"/>
    <s v="Priya Nair"/>
    <s v="Consumer"/>
    <s v="Ahmedabad"/>
    <s v="West"/>
    <x v="0"/>
    <s v="Calculator"/>
    <n v="2"/>
    <n v="0.05"/>
    <x v="295"/>
    <n v="222.85"/>
    <s v="UPI"/>
    <b v="0"/>
    <b v="0"/>
    <b v="0"/>
    <m/>
  </r>
  <r>
    <n v="297"/>
    <s v="ORD-2025-0297"/>
    <d v="2025-07-09T00:00:00"/>
    <d v="2025-07-13T00:00:00"/>
    <s v="Standard"/>
    <s v="CUST-0139"/>
    <s v="Vikram Rao"/>
    <s v="Consumer"/>
    <s v="Jaipur"/>
    <s v="North"/>
    <x v="0"/>
    <s v="Calculator"/>
    <n v="2"/>
    <n v="0.05"/>
    <x v="296"/>
    <n v="205.77"/>
    <s v="Debit Card"/>
    <b v="0"/>
    <b v="0"/>
    <b v="0"/>
    <m/>
  </r>
  <r>
    <n v="298"/>
    <s v="ORD-2025-0298"/>
    <d v="2025-12-08T00:00:00"/>
    <d v="2025-12-10T00:00:00"/>
    <s v="Standard"/>
    <s v="CUST-0200"/>
    <s v="Rohan Mehta"/>
    <s v="Consumer"/>
    <s v="Mumbai"/>
    <s v="West"/>
    <x v="3"/>
    <s v="Power Bank"/>
    <n v="2"/>
    <n v="0.2"/>
    <x v="297"/>
    <n v="37.31"/>
    <s v="Credit Card"/>
    <b v="0"/>
    <b v="0"/>
    <b v="0"/>
    <m/>
  </r>
  <r>
    <n v="299"/>
    <s v="ORD-2025-0299"/>
    <d v="2025-12-25T00:00:00"/>
    <d v="2025-12-29T00:00:00"/>
    <s v="Standard"/>
    <s v="CUST-0028"/>
    <s v="Priya Nair"/>
    <s v="Corporate"/>
    <s v="Chennai"/>
    <s v="South"/>
    <x v="3"/>
    <s v="Power Bank"/>
    <n v="1"/>
    <n v="0"/>
    <x v="298"/>
    <n v="310.61"/>
    <s v="Credit Card"/>
    <b v="0"/>
    <b v="0"/>
    <b v="0"/>
    <m/>
  </r>
  <r>
    <n v="300"/>
    <s v="ORD-2025-0300"/>
    <d v="2025-11-04T00:00:00"/>
    <d v="2025-11-06T00:00:00"/>
    <s v="Express"/>
    <s v="CUST-0238"/>
    <s v="Manish Yadav"/>
    <s v="Consumer"/>
    <s v="Bengaluru"/>
    <s v="South"/>
    <x v="0"/>
    <s v="Pen Set"/>
    <n v="1"/>
    <n v="0.25"/>
    <x v="299"/>
    <n v="0.59"/>
    <s v="UPI"/>
    <b v="0"/>
    <b v="0"/>
    <b v="0"/>
    <m/>
  </r>
  <r>
    <n v="301"/>
    <s v="ORD-2025-0301"/>
    <d v="2025-10-23T00:00:00"/>
    <d v="2025-10-24T00:00:00"/>
    <s v="Standard"/>
    <s v="CUST-0132"/>
    <s v="Ananya Singh"/>
    <s v="Consumer"/>
    <s v="Bhubaneswar"/>
    <s v="East"/>
    <x v="3"/>
    <s v="Bluetooth Speaker"/>
    <n v="1"/>
    <n v="0.05"/>
    <x v="300"/>
    <n v="634.69000000000005"/>
    <s v="UPI"/>
    <b v="0"/>
    <b v="0"/>
    <b v="0"/>
    <m/>
  </r>
  <r>
    <n v="302"/>
    <s v="ORD-2025-0302"/>
    <d v="2025-10-17T00:00:00"/>
    <d v="2025-10-20T00:00:00"/>
    <s v="Express"/>
    <s v="CUST-0026"/>
    <s v="Shreya Kapoor"/>
    <s v="Corporate"/>
    <s v="Delhi"/>
    <s v="North"/>
    <x v="3"/>
    <s v="USB-C Hub"/>
    <n v="1"/>
    <n v="0.1"/>
    <x v="301"/>
    <n v="244.35"/>
    <s v="Credit Card"/>
    <b v="0"/>
    <b v="0"/>
    <b v="0"/>
    <m/>
  </r>
  <r>
    <n v="303"/>
    <s v="ORD-2025-0303"/>
    <d v="2025-09-28T00:00:00"/>
    <d v="2025-10-01T00:00:00"/>
    <s v="Standard"/>
    <s v="CUST-0162"/>
    <s v="Ishita Roy"/>
    <s v="Small Business"/>
    <s v="Chennai"/>
    <s v="South"/>
    <x v="1"/>
    <s v="Electric Kettle"/>
    <n v="3"/>
    <n v="0"/>
    <x v="302"/>
    <n v="1179.46"/>
    <s v="Net Banking"/>
    <b v="0"/>
    <b v="0"/>
    <b v="0"/>
    <m/>
  </r>
  <r>
    <n v="304"/>
    <s v="ORD-2025-0304"/>
    <d v="2025-05-29T00:00:00"/>
    <d v="2025-05-30T00:00:00"/>
    <s v="Standard"/>
    <s v="CUST-0225"/>
    <s v="Shreya Kapoor"/>
    <s v="Consumer"/>
    <s v="Pune"/>
    <s v="West"/>
    <x v="0"/>
    <s v="Notebook"/>
    <n v="1"/>
    <n v="0"/>
    <x v="303"/>
    <n v="45.33"/>
    <s v="Credit Card"/>
    <b v="0"/>
    <b v="0"/>
    <b v="0"/>
    <m/>
  </r>
  <r>
    <n v="305"/>
    <s v="ORD-2025-0305"/>
    <d v="2025-03-11T00:00:00"/>
    <d v="2025-03-12T00:00:00"/>
    <s v="Standard"/>
    <s v="CUST-0091"/>
    <s v="Ishita Roy"/>
    <s v="Consumer"/>
    <s v="Jaipur"/>
    <s v="North"/>
    <x v="3"/>
    <s v="USB-C Hub"/>
    <n v="1"/>
    <n v="0"/>
    <x v="304"/>
    <n v="436.12"/>
    <s v="Cash"/>
    <b v="0"/>
    <b v="0"/>
    <b v="0"/>
    <m/>
  </r>
  <r>
    <n v="306"/>
    <s v="ORD-2025-0306"/>
    <d v="2025-07-19T00:00:00"/>
    <d v="2025-07-22T00:00:00"/>
    <s v="Standard"/>
    <s v="CUST-0055"/>
    <s v="Arjun Patel"/>
    <s v="Consumer"/>
    <s v="Delhi"/>
    <s v="North"/>
    <x v="0"/>
    <s v="Desk Organizer"/>
    <n v="2"/>
    <n v="0.35"/>
    <x v="305"/>
    <n v="303.93"/>
    <s v="Net Banking"/>
    <b v="0"/>
    <b v="0"/>
    <b v="0"/>
    <m/>
  </r>
  <r>
    <n v="307"/>
    <s v="ORD-2025-0307"/>
    <d v="2025-07-07T00:00:00"/>
    <d v="2025-07-10T00:00:00"/>
    <s v="Standard"/>
    <s v="CUST-0090"/>
    <s v="Kiran Joshi"/>
    <s v="Corporate"/>
    <s v="Kolkata"/>
    <s v="East"/>
    <x v="3"/>
    <s v="Wireless Mouse"/>
    <n v="2"/>
    <n v="0.15"/>
    <x v="306"/>
    <n v="218.98"/>
    <s v="UPI"/>
    <b v="0"/>
    <b v="0"/>
    <b v="0"/>
    <m/>
  </r>
  <r>
    <n v="308"/>
    <s v="ORD-2025-0308"/>
    <d v="2025-07-05T00:00:00"/>
    <d v="2025-07-10T00:00:00"/>
    <s v="Standard"/>
    <s v="CUST-0089"/>
    <s v="Pooja Das"/>
    <s v="Consumer"/>
    <s v="Lucknow"/>
    <s v="North"/>
    <x v="1"/>
    <s v="Storage Box"/>
    <n v="3"/>
    <n v="0"/>
    <x v="307"/>
    <n v="876.92"/>
    <s v="UPI"/>
    <b v="0"/>
    <b v="0"/>
    <b v="0"/>
    <m/>
  </r>
  <r>
    <n v="309"/>
    <s v="ORD-2025-0309"/>
    <d v="2025-12-01T00:00:00"/>
    <d v="2025-12-02T00:00:00"/>
    <s v="Express"/>
    <s v="CUST-0190"/>
    <s v="Sanjay Menon"/>
    <s v="Consumer"/>
    <s v="Bengaluru"/>
    <s v="South"/>
    <x v="1"/>
    <s v="Water Bottle"/>
    <n v="1"/>
    <n v="0.15"/>
    <x v="308"/>
    <n v="7.39"/>
    <s v="Credit Card"/>
    <b v="0"/>
    <b v="0"/>
    <b v="0"/>
    <m/>
  </r>
  <r>
    <n v="310"/>
    <s v="ORD-2025-0310"/>
    <d v="2025-03-13T00:00:00"/>
    <d v="2025-03-18T00:00:00"/>
    <s v="Express"/>
    <s v="CUST-0159"/>
    <s v="Rahul Verma"/>
    <s v="Consumer"/>
    <s v="Pune"/>
    <s v="West"/>
    <x v="3"/>
    <s v="Wireless Mouse"/>
    <n v="2"/>
    <n v="0"/>
    <x v="309"/>
    <n v="375.96"/>
    <s v="Debit Card"/>
    <b v="0"/>
    <b v="0"/>
    <b v="0"/>
    <m/>
  </r>
  <r>
    <n v="311"/>
    <s v="ORD-2025-0311"/>
    <d v="2025-01-20T00:00:00"/>
    <d v="2025-01-23T00:00:00"/>
    <s v="Standard"/>
    <s v="CUST-0014"/>
    <s v="Meera Shah"/>
    <s v="Consumer"/>
    <s v="Mysuru"/>
    <s v="South"/>
    <x v="3"/>
    <s v="Wireless Mouse"/>
    <n v="1"/>
    <n v="0.1"/>
    <x v="310"/>
    <n v="79.78"/>
    <s v="Credit Card"/>
    <b v="0"/>
    <b v="0"/>
    <b v="0"/>
    <m/>
  </r>
  <r>
    <n v="312"/>
    <s v="ORD-2025-0312"/>
    <d v="2025-04-10T00:00:00"/>
    <d v="2025-04-13T00:00:00"/>
    <s v="Express"/>
    <s v="CUST-0061"/>
    <s v="Nikhil Jain"/>
    <s v="Small Business"/>
    <s v="Kolkata"/>
    <s v="East"/>
    <x v="3"/>
    <s v="Bluetooth Speaker"/>
    <n v="1"/>
    <n v="0.15"/>
    <x v="311"/>
    <n v="104.53"/>
    <s v="Net Banking"/>
    <b v="0"/>
    <b v="0"/>
    <b v="0"/>
    <m/>
  </r>
  <r>
    <n v="313"/>
    <s v="ORD-2025-0313"/>
    <d v="2025-08-27T00:00:00"/>
    <d v="2025-08-31T00:00:00"/>
    <s v="Same Day"/>
    <s v="CUST-0132"/>
    <s v="Kiran Joshi"/>
    <s v="Consumer"/>
    <s v="Pune"/>
    <s v="West"/>
    <x v="0"/>
    <s v="File Folder"/>
    <n v="3"/>
    <n v="0.15"/>
    <x v="312"/>
    <n v="61.82"/>
    <s v="Credit Card"/>
    <b v="0"/>
    <b v="0"/>
    <b v="0"/>
    <m/>
  </r>
  <r>
    <n v="314"/>
    <s v="ORD-2025-0314"/>
    <d v="2025-06-08T00:00:00"/>
    <d v="2025-06-09T00:00:00"/>
    <s v="Standard"/>
    <s v="CUST-0108"/>
    <s v="Manish Yadav"/>
    <s v="Consumer"/>
    <s v="Pune"/>
    <s v="West"/>
    <x v="2"/>
    <s v="Bookshelf"/>
    <n v="1"/>
    <n v="0.25"/>
    <x v="313"/>
    <n v="-236.02"/>
    <s v="UPI"/>
    <b v="0"/>
    <b v="0"/>
    <b v="0"/>
    <m/>
  </r>
  <r>
    <n v="315"/>
    <s v="ORD-2025-0315"/>
    <d v="2025-08-09T00:00:00"/>
    <d v="2025-08-13T00:00:00"/>
    <s v="Express"/>
    <s v="CUST-0094"/>
    <s v="Ananya Singh"/>
    <s v="Small Business"/>
    <s v="Pune"/>
    <s v="West"/>
    <x v="3"/>
    <s v="Keyboard"/>
    <n v="2"/>
    <n v="0.15"/>
    <x v="314"/>
    <n v="120.84"/>
    <s v="UPI"/>
    <b v="0"/>
    <b v="0"/>
    <b v="0"/>
    <m/>
  </r>
  <r>
    <n v="316"/>
    <s v="ORD-2025-0316"/>
    <d v="2025-09-28T00:00:00"/>
    <d v="2025-09-30T00:00:00"/>
    <s v="Standard"/>
    <s v="CUST-0112"/>
    <s v="Rahul Verma"/>
    <s v="Small Business"/>
    <s v="Ahmedabad"/>
    <s v="West"/>
    <x v="3"/>
    <s v="Power Bank"/>
    <n v="2"/>
    <n v="0.1"/>
    <x v="315"/>
    <n v="526.54"/>
    <s v="Debit Card"/>
    <b v="0"/>
    <b v="0"/>
    <b v="0"/>
    <m/>
  </r>
  <r>
    <n v="317"/>
    <s v="ORD-2025-0317"/>
    <d v="2025-08-02T00:00:00"/>
    <d v="2025-08-05T00:00:00"/>
    <s v="Express"/>
    <s v="CUST-0011"/>
    <s v="Kiran Joshi"/>
    <s v="Small Business"/>
    <s v="Bengaluru"/>
    <s v="South"/>
    <x v="2"/>
    <s v="Desk Lamp"/>
    <n v="3"/>
    <n v="0.05"/>
    <x v="316"/>
    <n v="1139.48"/>
    <s v="UPI"/>
    <b v="0"/>
    <b v="0"/>
    <b v="0"/>
    <m/>
  </r>
  <r>
    <n v="318"/>
    <s v="ORD-2025-0318"/>
    <d v="2025-10-06T00:00:00"/>
    <d v="2025-10-08T00:00:00"/>
    <s v="Standard"/>
    <s v="CUST-0215"/>
    <s v="Priya Nair"/>
    <s v="Consumer"/>
    <s v="Mysuru"/>
    <s v="South"/>
    <x v="2"/>
    <s v="Office Chair"/>
    <n v="1"/>
    <n v="0.2"/>
    <x v="317"/>
    <n v="798.92"/>
    <s v="Credit Card"/>
    <b v="0"/>
    <b v="0"/>
    <b v="0"/>
    <m/>
  </r>
  <r>
    <n v="319"/>
    <s v="ORD-2025-0319"/>
    <d v="2025-05-07T00:00:00"/>
    <d v="2025-05-08T00:00:00"/>
    <s v="Standard"/>
    <s v="CUST-0010"/>
    <s v="Rahul Verma"/>
    <s v="Consumer"/>
    <s v="Jaipur"/>
    <s v="North"/>
    <x v="1"/>
    <s v="Coffee Mug"/>
    <n v="3"/>
    <n v="0.05"/>
    <x v="318"/>
    <n v="229.23"/>
    <s v="Cash"/>
    <b v="0"/>
    <b v="0"/>
    <b v="0"/>
    <m/>
  </r>
  <r>
    <n v="320"/>
    <s v="ORD-2025-0320"/>
    <d v="2025-02-23T00:00:00"/>
    <d v="2025-02-26T00:00:00"/>
    <s v="Standard"/>
    <s v="CUST-0245"/>
    <s v="Divya Rao"/>
    <s v="Consumer"/>
    <s v="Mysuru"/>
    <s v="South"/>
    <x v="1"/>
    <s v="Water Bottle"/>
    <n v="4"/>
    <n v="0.1"/>
    <x v="319"/>
    <n v="247.02"/>
    <s v="Debit Card"/>
    <b v="0"/>
    <b v="0"/>
    <b v="0"/>
    <m/>
  </r>
  <r>
    <n v="321"/>
    <s v="ORD-2025-0321"/>
    <d v="2025-09-03T00:00:00"/>
    <d v="2025-09-05T00:00:00"/>
    <s v="Standard"/>
    <s v="CUST-0072"/>
    <s v="Vikram Rao"/>
    <s v="Consumer"/>
    <s v="Bhubaneswar"/>
    <s v="East"/>
    <x v="0"/>
    <s v="Pen Set"/>
    <n v="2"/>
    <n v="0.1"/>
    <x v="320"/>
    <n v="32.04"/>
    <s v="Credit Card"/>
    <b v="0"/>
    <b v="0"/>
    <b v="0"/>
    <m/>
  </r>
  <r>
    <n v="322"/>
    <s v="ORD-2025-0322"/>
    <d v="2025-03-04T00:00:00"/>
    <d v="2025-03-09T00:00:00"/>
    <s v="Standard"/>
    <s v="CUST-0090"/>
    <s v="Divya Rao"/>
    <s v="Consumer"/>
    <s v="Bhubaneswar"/>
    <s v="East"/>
    <x v="3"/>
    <s v="USB-C Hub"/>
    <n v="2"/>
    <n v="0"/>
    <x v="321"/>
    <n v="929.01"/>
    <s v="UPI"/>
    <b v="0"/>
    <b v="0"/>
    <b v="0"/>
    <m/>
  </r>
  <r>
    <n v="323"/>
    <s v="ORD-2025-0323"/>
    <d v="2025-06-29T00:00:00"/>
    <d v="2025-07-03T00:00:00"/>
    <s v="Standard"/>
    <s v="CUST-0175"/>
    <s v="Meera Shah"/>
    <s v="Corporate"/>
    <s v="Ahmedabad"/>
    <s v="West"/>
    <x v="2"/>
    <s v="Folding Chair"/>
    <n v="1"/>
    <n v="0.15"/>
    <x v="322"/>
    <n v="191.62"/>
    <s v="UPI"/>
    <b v="0"/>
    <b v="0"/>
    <b v="0"/>
    <m/>
  </r>
  <r>
    <n v="324"/>
    <s v="ORD-2025-0324"/>
    <d v="2025-10-08T00:00:00"/>
    <d v="2025-10-12T00:00:00"/>
    <s v="Standard"/>
    <s v="CUST-0182"/>
    <s v="Sneha Reddy"/>
    <s v="Corporate"/>
    <s v="Kolkata"/>
    <s v="East"/>
    <x v="3"/>
    <s v="Power Bank"/>
    <n v="4"/>
    <n v="0.1"/>
    <x v="323"/>
    <n v="1182.6099999999999"/>
    <s v="UPI"/>
    <b v="0"/>
    <b v="0"/>
    <b v="0"/>
    <m/>
  </r>
  <r>
    <n v="325"/>
    <s v="ORD-2025-0325"/>
    <d v="2025-11-25T00:00:00"/>
    <d v="2025-11-28T00:00:00"/>
    <s v="Express"/>
    <s v="CUST-0185"/>
    <s v="Shreya Kapoor"/>
    <s v="Corporate"/>
    <s v="Pune"/>
    <s v="West"/>
    <x v="1"/>
    <s v="Lunch Box"/>
    <n v="1"/>
    <n v="0.2"/>
    <x v="324"/>
    <n v="87.23"/>
    <s v="Cash"/>
    <b v="0"/>
    <b v="0"/>
    <b v="0"/>
    <m/>
  </r>
  <r>
    <n v="326"/>
    <s v="ORD-2025-0326"/>
    <d v="2025-11-20T00:00:00"/>
    <d v="2025-11-25T00:00:00"/>
    <s v="Standard"/>
    <s v="CUST-0095"/>
    <s v="Vikram Rao"/>
    <s v="Consumer"/>
    <s v="Ahmedabad"/>
    <s v="West"/>
    <x v="0"/>
    <s v="File Folder"/>
    <n v="3"/>
    <n v="0.05"/>
    <x v="325"/>
    <n v="100.04"/>
    <s v="UPI"/>
    <b v="0"/>
    <b v="0"/>
    <b v="0"/>
    <m/>
  </r>
  <r>
    <n v="327"/>
    <s v="ORD-2025-0327"/>
    <d v="2025-04-05T00:00:00"/>
    <d v="2025-04-10T00:00:00"/>
    <s v="Standard"/>
    <s v="CUST-0194"/>
    <s v="Nikhil Jain"/>
    <s v="Consumer"/>
    <s v="Jaipur"/>
    <s v="North"/>
    <x v="0"/>
    <s v="Desk Organizer"/>
    <n v="2"/>
    <n v="0.1"/>
    <x v="326"/>
    <n v="195.52"/>
    <s v="Debit Card"/>
    <b v="0"/>
    <b v="0"/>
    <b v="0"/>
    <m/>
  </r>
  <r>
    <n v="328"/>
    <s v="ORD-2025-0328"/>
    <d v="2025-01-04T00:00:00"/>
    <d v="2025-01-06T00:00:00"/>
    <s v="Standard"/>
    <s v="CUST-0203"/>
    <s v="Aarav Sharma"/>
    <s v="Corporate"/>
    <s v="Delhi"/>
    <s v="North"/>
    <x v="3"/>
    <s v="Bluetooth Speaker"/>
    <n v="3"/>
    <n v="0.1"/>
    <x v="327"/>
    <n v="1318.33"/>
    <s v="Debit Card"/>
    <b v="0"/>
    <b v="0"/>
    <b v="0"/>
    <m/>
  </r>
  <r>
    <n v="329"/>
    <s v="ORD-2025-0329"/>
    <d v="2025-10-23T00:00:00"/>
    <d v="2025-10-25T00:00:00"/>
    <s v="Standard"/>
    <s v="CUST-0234"/>
    <s v="Nikhil Jain"/>
    <s v="Small Business"/>
    <s v="Delhi"/>
    <s v="North"/>
    <x v="1"/>
    <s v="Coffee Mug"/>
    <n v="2"/>
    <n v="0"/>
    <x v="328"/>
    <n v="136.35"/>
    <s v="Debit Card"/>
    <b v="0"/>
    <b v="0"/>
    <b v="0"/>
    <m/>
  </r>
  <r>
    <n v="330"/>
    <s v="ORD-2025-0330"/>
    <d v="2025-09-23T00:00:00"/>
    <d v="2025-09-27T00:00:00"/>
    <s v="Express"/>
    <s v="CUST-0118"/>
    <s v="Neha Gupta"/>
    <s v="Consumer"/>
    <s v="Pune"/>
    <s v="West"/>
    <x v="3"/>
    <s v="USB-C Hub"/>
    <n v="1"/>
    <n v="0"/>
    <x v="329"/>
    <n v="538.95000000000005"/>
    <s v="Debit Card"/>
    <b v="0"/>
    <b v="0"/>
    <b v="0"/>
    <m/>
  </r>
  <r>
    <n v="331"/>
    <s v="ORD-2025-0331"/>
    <d v="2025-12-02T00:00:00"/>
    <d v="2025-12-04T00:00:00"/>
    <s v="Standard"/>
    <s v="CUST-0073"/>
    <s v="Pooja Das"/>
    <s v="Consumer"/>
    <s v="Hyderabad"/>
    <s v="South"/>
    <x v="3"/>
    <s v="Wireless Mouse"/>
    <n v="3"/>
    <n v="0"/>
    <x v="330"/>
    <n v="550.15"/>
    <s v="Debit Card"/>
    <b v="0"/>
    <b v="0"/>
    <b v="0"/>
    <m/>
  </r>
  <r>
    <n v="332"/>
    <s v="ORD-2025-0332"/>
    <d v="2025-05-04T00:00:00"/>
    <d v="2025-05-08T00:00:00"/>
    <s v="Express"/>
    <s v="CUST-0078"/>
    <s v="Priya Nair"/>
    <s v="Consumer"/>
    <s v="Ahmedabad"/>
    <s v="West"/>
    <x v="1"/>
    <s v="Storage Box"/>
    <n v="2"/>
    <n v="0.1"/>
    <x v="331"/>
    <n v="344.37"/>
    <s v="Net Banking"/>
    <b v="0"/>
    <b v="0"/>
    <b v="0"/>
    <m/>
  </r>
  <r>
    <n v="333"/>
    <s v="ORD-2025-0333"/>
    <d v="2025-11-30T00:00:00"/>
    <d v="2025-12-05T00:00:00"/>
    <s v="Same Day"/>
    <s v="CUST-0076"/>
    <s v="Ananya Singh"/>
    <s v="Corporate"/>
    <s v="Ahmedabad"/>
    <s v="West"/>
    <x v="2"/>
    <s v="Folding Chair"/>
    <n v="2"/>
    <n v="0"/>
    <x v="332"/>
    <n v="1158.2"/>
    <s v="UPI"/>
    <b v="0"/>
    <b v="0"/>
    <b v="0"/>
    <m/>
  </r>
  <r>
    <n v="334"/>
    <s v="ORD-2025-0334"/>
    <d v="2025-06-13T00:00:00"/>
    <d v="2025-06-17T00:00:00"/>
    <s v="Standard"/>
    <s v="CUST-0123"/>
    <s v="Divya Rao"/>
    <s v="Consumer"/>
    <s v="Hyderabad"/>
    <s v="South"/>
    <x v="0"/>
    <s v="Calculator"/>
    <n v="2"/>
    <n v="0.05"/>
    <x v="333"/>
    <n v="407.16"/>
    <s v="Debit Card"/>
    <b v="0"/>
    <b v="0"/>
    <b v="0"/>
    <m/>
  </r>
  <r>
    <n v="335"/>
    <s v="ORD-2025-0335"/>
    <d v="2025-07-18T00:00:00"/>
    <d v="2025-07-22T00:00:00"/>
    <s v="Standard"/>
    <s v="CUST-0005"/>
    <s v="Kiran Joshi"/>
    <s v="Small Business"/>
    <s v="Bengaluru"/>
    <s v="South"/>
    <x v="2"/>
    <s v="Desk Lamp"/>
    <n v="3"/>
    <n v="0.1"/>
    <x v="334"/>
    <n v="880.91"/>
    <s v="Debit Card"/>
    <b v="0"/>
    <b v="0"/>
    <b v="0"/>
    <m/>
  </r>
  <r>
    <n v="336"/>
    <s v="ORD-2025-0336"/>
    <d v="2025-03-24T00:00:00"/>
    <d v="2025-03-29T00:00:00"/>
    <s v="Standard"/>
    <s v="CUST-0070"/>
    <s v="Priya Nair"/>
    <s v="Corporate"/>
    <s v="Bengaluru"/>
    <s v="South"/>
    <x v="3"/>
    <s v="Bluetooth Speaker"/>
    <n v="1"/>
    <n v="0.05"/>
    <x v="335"/>
    <n v="494.36"/>
    <s v="UPI"/>
    <b v="0"/>
    <b v="0"/>
    <b v="0"/>
    <m/>
  </r>
  <r>
    <n v="337"/>
    <s v="ORD-2025-0337"/>
    <d v="2025-02-23T00:00:00"/>
    <d v="2025-02-26T00:00:00"/>
    <s v="Same Day"/>
    <s v="CUST-0046"/>
    <s v="Rahul Verma"/>
    <s v="Small Business"/>
    <s v="Hyderabad"/>
    <s v="South"/>
    <x v="3"/>
    <s v="Wireless Mouse"/>
    <n v="1"/>
    <n v="0"/>
    <x v="336"/>
    <n v="166.57"/>
    <s v="UPI"/>
    <b v="0"/>
    <b v="0"/>
    <b v="0"/>
    <m/>
  </r>
  <r>
    <n v="338"/>
    <s v="ORD-2025-0338"/>
    <d v="2025-01-29T00:00:00"/>
    <d v="2025-02-01T00:00:00"/>
    <s v="Express"/>
    <s v="CUST-0108"/>
    <s v="Pooja Das"/>
    <s v="Corporate"/>
    <s v="Mysuru"/>
    <s v="South"/>
    <x v="0"/>
    <s v="Notebook"/>
    <n v="3"/>
    <n v="0.15"/>
    <x v="337"/>
    <n v="38.229999999999997"/>
    <s v="UPI"/>
    <b v="0"/>
    <b v="0"/>
    <b v="0"/>
    <m/>
  </r>
  <r>
    <n v="339"/>
    <s v="ORD-2025-0339"/>
    <d v="2025-06-20T00:00:00"/>
    <d v="2025-06-25T00:00:00"/>
    <s v="Standard"/>
    <s v="CUST-0111"/>
    <s v="Kiran Joshi"/>
    <s v="Small Business"/>
    <s v="Pune"/>
    <s v="West"/>
    <x v="1"/>
    <s v="Lunch Box"/>
    <n v="5"/>
    <n v="0"/>
    <x v="338"/>
    <n v="852.33"/>
    <s v="UPI"/>
    <b v="0"/>
    <b v="0"/>
    <b v="0"/>
    <m/>
  </r>
  <r>
    <n v="340"/>
    <s v="ORD-2025-0340"/>
    <d v="2025-10-26T00:00:00"/>
    <d v="2025-10-31T00:00:00"/>
    <s v="Standard"/>
    <s v="CUST-0039"/>
    <s v="Manish Yadav"/>
    <s v="Corporate"/>
    <s v="Lucknow"/>
    <s v="North"/>
    <x v="3"/>
    <s v="Keyboard"/>
    <n v="1"/>
    <n v="0.1"/>
    <x v="339"/>
    <n v="346.21"/>
    <s v="Credit Card"/>
    <b v="0"/>
    <b v="0"/>
    <b v="0"/>
    <m/>
  </r>
  <r>
    <n v="341"/>
    <s v="ORD-2025-0341"/>
    <d v="2025-10-02T00:00:00"/>
    <d v="2025-10-06T00:00:00"/>
    <s v="Express"/>
    <s v="CUST-0232"/>
    <s v="Kavya Iyer"/>
    <s v="Corporate"/>
    <s v="Lucknow"/>
    <s v="North"/>
    <x v="3"/>
    <s v="Keyboard"/>
    <n v="3"/>
    <n v="0"/>
    <x v="340"/>
    <n v="927.68"/>
    <s v="Debit Card"/>
    <b v="0"/>
    <b v="0"/>
    <b v="0"/>
    <m/>
  </r>
  <r>
    <n v="342"/>
    <s v="ORD-2025-0342"/>
    <d v="2025-06-03T00:00:00"/>
    <d v="2025-06-07T00:00:00"/>
    <s v="Standard"/>
    <s v="CUST-0088"/>
    <s v="Divya Rao"/>
    <s v="Consumer"/>
    <s v="Ahmedabad"/>
    <s v="West"/>
    <x v="0"/>
    <s v="Desk Organizer"/>
    <n v="2"/>
    <n v="0"/>
    <x v="341"/>
    <n v="165.24"/>
    <s v="Debit Card"/>
    <b v="0"/>
    <b v="0"/>
    <b v="0"/>
    <m/>
  </r>
  <r>
    <n v="343"/>
    <s v="ORD-2025-0343"/>
    <d v="2025-11-01T00:00:00"/>
    <d v="2025-11-03T00:00:00"/>
    <s v="Standard"/>
    <s v="CUST-0023"/>
    <s v="Ishita Roy"/>
    <s v="Corporate"/>
    <s v="Hyderabad"/>
    <s v="South"/>
    <x v="2"/>
    <s v="Office Chair"/>
    <n v="3"/>
    <n v="0.05"/>
    <x v="342"/>
    <n v="2222.48"/>
    <s v="Net Banking"/>
    <b v="0"/>
    <b v="0"/>
    <b v="0"/>
    <m/>
  </r>
  <r>
    <n v="344"/>
    <s v="ORD-2025-0344"/>
    <d v="2025-02-04T00:00:00"/>
    <d v="2025-02-08T00:00:00"/>
    <s v="Standard"/>
    <s v="CUST-0093"/>
    <s v="Kiran Joshi"/>
    <s v="Consumer"/>
    <s v="Chennai"/>
    <s v="South"/>
    <x v="0"/>
    <s v="Calculator"/>
    <n v="1"/>
    <n v="0"/>
    <x v="343"/>
    <n v="220.62"/>
    <s v="Net Banking"/>
    <b v="0"/>
    <b v="0"/>
    <b v="0"/>
    <m/>
  </r>
  <r>
    <n v="345"/>
    <s v="ORD-2025-0345"/>
    <d v="2025-09-01T00:00:00"/>
    <d v="2025-09-03T00:00:00"/>
    <s v="Same Day"/>
    <s v="CUST-0022"/>
    <s v="Nikhil Jain"/>
    <s v="Small Business"/>
    <s v="Kolkata"/>
    <s v="East"/>
    <x v="0"/>
    <s v="Pen Set"/>
    <n v="3"/>
    <n v="0.1"/>
    <x v="344"/>
    <n v="28"/>
    <s v="UPI"/>
    <b v="0"/>
    <b v="0"/>
    <b v="0"/>
    <m/>
  </r>
  <r>
    <n v="346"/>
    <s v="ORD-2025-0346"/>
    <d v="2025-01-01T00:00:00"/>
    <d v="2025-01-05T00:00:00"/>
    <s v="Express"/>
    <s v="CUST-0171"/>
    <s v="Sneha Reddy"/>
    <s v="Corporate"/>
    <s v="Mysuru"/>
    <s v="South"/>
    <x v="0"/>
    <s v="Calculator"/>
    <n v="2"/>
    <n v="0.05"/>
    <x v="345"/>
    <n v="373.34"/>
    <s v="Credit Card"/>
    <b v="0"/>
    <b v="0"/>
    <b v="0"/>
    <m/>
  </r>
  <r>
    <n v="347"/>
    <s v="ORD-2025-0347"/>
    <d v="2025-09-01T00:00:00"/>
    <d v="2025-09-04T00:00:00"/>
    <s v="Standard"/>
    <s v="CUST-0156"/>
    <s v="Divya Rao"/>
    <s v="Corporate"/>
    <s v="Delhi"/>
    <s v="North"/>
    <x v="1"/>
    <s v="Lunch Box"/>
    <n v="1"/>
    <n v="0.2"/>
    <x v="346"/>
    <n v="52.93"/>
    <s v="Cash"/>
    <b v="0"/>
    <b v="0"/>
    <b v="0"/>
    <m/>
  </r>
  <r>
    <n v="348"/>
    <s v="ORD-2025-0348"/>
    <d v="2025-02-08T00:00:00"/>
    <d v="2025-02-09T00:00:00"/>
    <s v="Standard"/>
    <s v="CUST-0108"/>
    <s v="Pooja Das"/>
    <s v="Small Business"/>
    <s v="Bengaluru"/>
    <s v="South"/>
    <x v="0"/>
    <s v="Calculator"/>
    <n v="2"/>
    <n v="0.05"/>
    <x v="347"/>
    <n v="448.71"/>
    <s v="Debit Card"/>
    <b v="0"/>
    <b v="0"/>
    <b v="0"/>
    <m/>
  </r>
  <r>
    <n v="349"/>
    <s v="ORD-2025-0349"/>
    <d v="2025-03-31T00:00:00"/>
    <d v="2025-04-05T00:00:00"/>
    <s v="Express"/>
    <s v="CUST-0019"/>
    <s v="Arjun Patel"/>
    <s v="Consumer"/>
    <s v="Bengaluru"/>
    <s v="South"/>
    <x v="3"/>
    <s v="Power Bank"/>
    <n v="1"/>
    <n v="0.25"/>
    <x v="348"/>
    <n v="1.67"/>
    <s v="Net Banking"/>
    <b v="0"/>
    <b v="0"/>
    <b v="0"/>
    <m/>
  </r>
  <r>
    <n v="350"/>
    <s v="ORD-2025-0350"/>
    <d v="2025-12-16T00:00:00"/>
    <d v="2025-12-19T00:00:00"/>
    <s v="Standard"/>
    <s v="CUST-0029"/>
    <s v="Aarav Sharma"/>
    <s v="Corporate"/>
    <s v="Bengaluru"/>
    <s v="South"/>
    <x v="3"/>
    <s v="Keyboard"/>
    <n v="1"/>
    <n v="0.15"/>
    <x v="349"/>
    <n v="54.28"/>
    <s v="UPI"/>
    <b v="0"/>
    <b v="0"/>
    <b v="0"/>
    <m/>
  </r>
  <r>
    <n v="351"/>
    <s v="ORD-2025-0351"/>
    <d v="2025-06-20T00:00:00"/>
    <d v="2025-06-22T00:00:00"/>
    <s v="Standard"/>
    <s v="CUST-0187"/>
    <s v="Aditya Kumar"/>
    <s v="Small Business"/>
    <s v="Bhubaneswar"/>
    <s v="East"/>
    <x v="2"/>
    <s v="Folding Chair"/>
    <n v="1"/>
    <n v="0.1"/>
    <x v="350"/>
    <n v="406.97"/>
    <s v="Credit Card"/>
    <b v="0"/>
    <b v="0"/>
    <b v="0"/>
    <m/>
  </r>
  <r>
    <n v="352"/>
    <s v="ORD-2025-0352"/>
    <d v="2025-05-14T00:00:00"/>
    <d v="2025-05-16T00:00:00"/>
    <s v="Standard"/>
    <s v="CUST-0144"/>
    <s v="Meera Shah"/>
    <s v="Consumer"/>
    <s v="Delhi"/>
    <s v="North"/>
    <x v="0"/>
    <s v="Calculator"/>
    <n v="2"/>
    <n v="0.2"/>
    <x v="351"/>
    <n v="107.95"/>
    <s v="Credit Card"/>
    <b v="0"/>
    <b v="0"/>
    <b v="0"/>
    <m/>
  </r>
  <r>
    <n v="353"/>
    <s v="ORD-2025-0353"/>
    <d v="2025-08-03T00:00:00"/>
    <d v="2025-08-08T00:00:00"/>
    <s v="Standard"/>
    <s v="CUST-0039"/>
    <s v="Sanjay Menon"/>
    <s v="Corporate"/>
    <s v="Jaipur"/>
    <s v="North"/>
    <x v="3"/>
    <s v="Wireless Mouse"/>
    <n v="1"/>
    <n v="0.2"/>
    <x v="352"/>
    <n v="77.040000000000006"/>
    <s v="UPI"/>
    <b v="0"/>
    <b v="0"/>
    <b v="0"/>
    <m/>
  </r>
  <r>
    <n v="354"/>
    <s v="ORD-2025-0354"/>
    <d v="2025-04-21T00:00:00"/>
    <d v="2025-04-26T00:00:00"/>
    <s v="Standard"/>
    <s v="CUST-0122"/>
    <s v="Shreya Kapoor"/>
    <s v="Consumer"/>
    <s v="Bhubaneswar"/>
    <s v="East"/>
    <x v="3"/>
    <s v="Keyboard"/>
    <n v="1"/>
    <n v="0.1"/>
    <x v="353"/>
    <n v="187.06"/>
    <s v="UPI"/>
    <b v="0"/>
    <b v="0"/>
    <b v="0"/>
    <m/>
  </r>
  <r>
    <n v="355"/>
    <s v="ORD-2025-0355"/>
    <d v="2025-11-29T00:00:00"/>
    <d v="2025-12-04T00:00:00"/>
    <s v="Standard"/>
    <s v="CUST-0169"/>
    <s v="Nikhil Jain"/>
    <s v="Corporate"/>
    <s v="Chennai"/>
    <s v="South"/>
    <x v="3"/>
    <s v="Power Bank"/>
    <n v="4"/>
    <n v="0.1"/>
    <x v="354"/>
    <n v="1054.07"/>
    <s v="UPI"/>
    <b v="0"/>
    <b v="0"/>
    <b v="0"/>
    <m/>
  </r>
  <r>
    <n v="356"/>
    <s v="ORD-2025-0356"/>
    <d v="2025-07-07T00:00:00"/>
    <d v="2025-07-09T00:00:00"/>
    <s v="Standard"/>
    <s v="CUST-0023"/>
    <s v="Aditya Kumar"/>
    <s v="Corporate"/>
    <s v="Jaipur"/>
    <s v="North"/>
    <x v="1"/>
    <s v="Water Bottle"/>
    <n v="4"/>
    <n v="0.25"/>
    <x v="355"/>
    <n v="26.24"/>
    <s v="Debit Card"/>
    <b v="0"/>
    <b v="0"/>
    <b v="0"/>
    <m/>
  </r>
  <r>
    <n v="357"/>
    <s v="ORD-2025-0357"/>
    <d v="2025-11-15T00:00:00"/>
    <d v="2025-11-16T00:00:00"/>
    <s v="Express"/>
    <s v="CUST-0137"/>
    <s v="Kavya Iyer"/>
    <s v="Corporate"/>
    <s v="Kolkata"/>
    <s v="East"/>
    <x v="3"/>
    <s v="Power Bank"/>
    <n v="2"/>
    <n v="0"/>
    <x v="356"/>
    <n v="645.80999999999995"/>
    <s v="Credit Card"/>
    <b v="0"/>
    <b v="0"/>
    <b v="0"/>
    <m/>
  </r>
  <r>
    <n v="358"/>
    <s v="ORD-2025-0358"/>
    <d v="2025-01-06T00:00:00"/>
    <d v="2025-01-11T00:00:00"/>
    <s v="Standard"/>
    <s v="CUST-0111"/>
    <s v="Ishita Roy"/>
    <s v="Corporate"/>
    <s v="Mysuru"/>
    <s v="South"/>
    <x v="3"/>
    <s v="Wireless Mouse"/>
    <n v="1"/>
    <n v="0.25"/>
    <x v="357"/>
    <n v="72.61"/>
    <s v="Credit Card"/>
    <b v="0"/>
    <b v="0"/>
    <b v="0"/>
    <m/>
  </r>
  <r>
    <n v="359"/>
    <s v="ORD-2025-0359"/>
    <d v="2025-05-27T00:00:00"/>
    <d v="2025-05-30T00:00:00"/>
    <s v="Same Day"/>
    <s v="CUST-0045"/>
    <s v="Pooja Das"/>
    <s v="Consumer"/>
    <s v="Mysuru"/>
    <s v="South"/>
    <x v="0"/>
    <s v="File Folder"/>
    <n v="2"/>
    <n v="0.1"/>
    <x v="358"/>
    <n v="22.82"/>
    <s v="Debit Card"/>
    <b v="0"/>
    <b v="0"/>
    <b v="0"/>
    <m/>
  </r>
  <r>
    <n v="360"/>
    <s v="ORD-2025-0360"/>
    <d v="2025-07-06T00:00:00"/>
    <d v="2025-07-07T00:00:00"/>
    <s v="Express"/>
    <s v="CUST-0177"/>
    <s v="Arjun Patel"/>
    <s v="Corporate"/>
    <s v="Mysuru"/>
    <s v="South"/>
    <x v="2"/>
    <s v="Bookshelf"/>
    <n v="3"/>
    <n v="0.05"/>
    <x v="359"/>
    <n v="2769.96"/>
    <s v="UPI"/>
    <b v="0"/>
    <b v="0"/>
    <b v="0"/>
    <m/>
  </r>
  <r>
    <n v="361"/>
    <s v="ORD-2025-0361"/>
    <d v="2025-01-28T00:00:00"/>
    <d v="2025-01-31T00:00:00"/>
    <s v="Standard"/>
    <s v="CUST-0247"/>
    <s v="Kavya Iyer"/>
    <s v="Consumer"/>
    <s v="Ahmedabad"/>
    <s v="West"/>
    <x v="0"/>
    <s v="Calculator"/>
    <n v="2"/>
    <n v="0"/>
    <x v="360"/>
    <n v="445.9"/>
    <s v="Credit Card"/>
    <b v="0"/>
    <b v="0"/>
    <b v="0"/>
    <m/>
  </r>
  <r>
    <n v="362"/>
    <s v="ORD-2025-0362"/>
    <d v="2025-06-07T00:00:00"/>
    <d v="2025-06-12T00:00:00"/>
    <s v="Standard"/>
    <s v="CUST-0057"/>
    <s v="Vikram Rao"/>
    <s v="Corporate"/>
    <s v="Ahmedabad"/>
    <s v="West"/>
    <x v="0"/>
    <s v="Desk Organizer"/>
    <n v="2"/>
    <n v="0.1"/>
    <x v="361"/>
    <n v="155.99"/>
    <s v="Credit Card"/>
    <b v="0"/>
    <b v="0"/>
    <b v="0"/>
    <m/>
  </r>
  <r>
    <n v="363"/>
    <s v="ORD-2025-0363"/>
    <d v="2025-12-06T00:00:00"/>
    <d v="2025-12-09T00:00:00"/>
    <s v="Standard"/>
    <s v="CUST-0031"/>
    <s v="Kavya Iyer"/>
    <s v="Corporate"/>
    <s v="Delhi"/>
    <s v="North"/>
    <x v="3"/>
    <s v="Bluetooth Speaker"/>
    <n v="1"/>
    <n v="0.1"/>
    <x v="362"/>
    <n v="226.96"/>
    <s v="Credit Card"/>
    <b v="0"/>
    <b v="0"/>
    <b v="0"/>
    <m/>
  </r>
  <r>
    <n v="364"/>
    <s v="ORD-2025-0364"/>
    <d v="2025-01-25T00:00:00"/>
    <d v="2025-01-27T00:00:00"/>
    <s v="Standard"/>
    <s v="CUST-0038"/>
    <s v="Ananya Singh"/>
    <s v="Consumer"/>
    <s v="Pune"/>
    <s v="West"/>
    <x v="3"/>
    <s v="Power Bank"/>
    <n v="2"/>
    <n v="0.1"/>
    <x v="363"/>
    <n v="326.93"/>
    <s v="Credit Card"/>
    <b v="0"/>
    <b v="0"/>
    <b v="0"/>
    <m/>
  </r>
  <r>
    <n v="365"/>
    <s v="ORD-2025-0365"/>
    <d v="2025-08-29T00:00:00"/>
    <d v="2025-09-02T00:00:00"/>
    <s v="Express"/>
    <s v="CUST-0228"/>
    <s v="Kiran Joshi"/>
    <s v="Consumer"/>
    <s v="Chennai"/>
    <s v="South"/>
    <x v="1"/>
    <s v="Electric Kettle"/>
    <n v="1"/>
    <n v="0"/>
    <x v="364"/>
    <n v="479.37"/>
    <s v="UPI"/>
    <b v="0"/>
    <b v="0"/>
    <b v="0"/>
    <m/>
  </r>
  <r>
    <n v="366"/>
    <s v="ORD-2025-0366"/>
    <d v="2025-07-01T00:00:00"/>
    <d v="2025-07-04T00:00:00"/>
    <s v="Standard"/>
    <s v="CUST-0080"/>
    <s v="Pooja Das"/>
    <s v="Corporate"/>
    <s v="Chennai"/>
    <s v="South"/>
    <x v="2"/>
    <s v="Study Table"/>
    <n v="3"/>
    <n v="0.1"/>
    <x v="365"/>
    <n v="4042.61"/>
    <s v="UPI"/>
    <b v="0"/>
    <b v="0"/>
    <b v="0"/>
    <m/>
  </r>
  <r>
    <n v="367"/>
    <s v="ORD-2025-0367"/>
    <d v="2025-12-27T00:00:00"/>
    <d v="2025-12-30T00:00:00"/>
    <s v="Standard"/>
    <s v="CUST-0244"/>
    <s v="Ishita Roy"/>
    <s v="Consumer"/>
    <s v="Pune"/>
    <s v="West"/>
    <x v="0"/>
    <s v="Calculator"/>
    <n v="2"/>
    <n v="0"/>
    <x v="366"/>
    <n v="395.73"/>
    <s v="Credit Card"/>
    <b v="0"/>
    <b v="0"/>
    <b v="0"/>
    <m/>
  </r>
  <r>
    <n v="368"/>
    <s v="ORD-2025-0368"/>
    <d v="2025-07-28T00:00:00"/>
    <d v="2025-07-31T00:00:00"/>
    <s v="Express"/>
    <s v="CUST-0079"/>
    <s v="Ishita Roy"/>
    <s v="Small Business"/>
    <s v="Delhi"/>
    <s v="North"/>
    <x v="1"/>
    <s v="Storage Box"/>
    <n v="3"/>
    <n v="0.15"/>
    <x v="367"/>
    <n v="252.11"/>
    <s v="Cash"/>
    <b v="0"/>
    <b v="0"/>
    <b v="0"/>
    <m/>
  </r>
  <r>
    <n v="369"/>
    <s v="ORD-2025-0369"/>
    <d v="2025-03-08T00:00:00"/>
    <d v="2025-03-09T00:00:00"/>
    <s v="Same Day"/>
    <s v="CUST-0042"/>
    <s v="Kiran Joshi"/>
    <s v="Consumer"/>
    <s v="Lucknow"/>
    <s v="North"/>
    <x v="3"/>
    <s v="Power Bank"/>
    <n v="1"/>
    <n v="0"/>
    <x v="368"/>
    <n v="411.95"/>
    <s v="Credit Card"/>
    <b v="0"/>
    <b v="0"/>
    <b v="0"/>
    <m/>
  </r>
  <r>
    <n v="370"/>
    <s v="ORD-2025-0370"/>
    <d v="2025-09-03T00:00:00"/>
    <d v="2025-09-07T00:00:00"/>
    <s v="Express"/>
    <s v="CUST-0151"/>
    <s v="Meera Shah"/>
    <s v="Consumer"/>
    <s v="Delhi"/>
    <s v="North"/>
    <x v="0"/>
    <s v="File Folder"/>
    <n v="1"/>
    <n v="0.1"/>
    <x v="369"/>
    <n v="5.27"/>
    <s v="Net Banking"/>
    <b v="0"/>
    <b v="0"/>
    <b v="0"/>
    <m/>
  </r>
  <r>
    <n v="371"/>
    <s v="ORD-2025-0371"/>
    <d v="2025-05-10T00:00:00"/>
    <d v="2025-05-11T00:00:00"/>
    <s v="Standard"/>
    <s v="CUST-0070"/>
    <s v="Rahul Verma"/>
    <s v="Consumer"/>
    <s v="Hyderabad"/>
    <s v="South"/>
    <x v="3"/>
    <s v="Keyboard"/>
    <n v="2"/>
    <n v="0"/>
    <x v="370"/>
    <n v="748.01"/>
    <s v="Credit Card"/>
    <b v="0"/>
    <b v="0"/>
    <b v="0"/>
    <m/>
  </r>
  <r>
    <n v="372"/>
    <s v="ORD-2025-0372"/>
    <d v="2025-11-14T00:00:00"/>
    <d v="2025-11-15T00:00:00"/>
    <s v="Express"/>
    <s v="CUST-0183"/>
    <s v="Meera Shah"/>
    <s v="Consumer"/>
    <s v="Chennai"/>
    <s v="South"/>
    <x v="2"/>
    <s v="Folding Chair"/>
    <n v="2"/>
    <n v="0"/>
    <x v="371"/>
    <n v="779.93"/>
    <s v="Net Banking"/>
    <b v="0"/>
    <b v="0"/>
    <b v="0"/>
    <m/>
  </r>
  <r>
    <n v="373"/>
    <s v="ORD-2025-0373"/>
    <d v="2025-08-20T00:00:00"/>
    <d v="2025-08-23T00:00:00"/>
    <s v="Express"/>
    <s v="CUST-0042"/>
    <s v="Nikhil Jain"/>
    <s v="Consumer"/>
    <s v="Bengaluru"/>
    <s v="South"/>
    <x v="0"/>
    <s v="Desk Organizer"/>
    <n v="1"/>
    <n v="0.1"/>
    <x v="372"/>
    <n v="87.3"/>
    <s v="Cash"/>
    <b v="0"/>
    <b v="0"/>
    <b v="0"/>
    <m/>
  </r>
  <r>
    <n v="374"/>
    <s v="ORD-2025-0374"/>
    <d v="2025-08-03T00:00:00"/>
    <d v="2025-08-08T00:00:00"/>
    <s v="Express"/>
    <s v="CUST-0075"/>
    <s v="Manish Yadav"/>
    <s v="Consumer"/>
    <s v="Hyderabad"/>
    <s v="South"/>
    <x v="1"/>
    <s v="Coffee Mug"/>
    <n v="1"/>
    <n v="0.15"/>
    <x v="373"/>
    <n v="61.18"/>
    <s v="UPI"/>
    <b v="0"/>
    <b v="0"/>
    <b v="0"/>
    <m/>
  </r>
  <r>
    <n v="375"/>
    <s v="ORD-2025-0375"/>
    <d v="2025-07-03T00:00:00"/>
    <d v="2025-07-06T00:00:00"/>
    <s v="Standard"/>
    <s v="CUST-0059"/>
    <s v="Vikram Rao"/>
    <s v="Consumer"/>
    <s v="Chennai"/>
    <s v="South"/>
    <x v="3"/>
    <s v="Power Bank"/>
    <n v="5"/>
    <n v="0.05"/>
    <x v="374"/>
    <n v="1022.06"/>
    <s v="Debit Card"/>
    <b v="0"/>
    <b v="0"/>
    <b v="0"/>
    <m/>
  </r>
  <r>
    <n v="376"/>
    <s v="ORD-2025-0376"/>
    <d v="2025-04-14T00:00:00"/>
    <d v="2025-04-17T00:00:00"/>
    <s v="Standard"/>
    <s v="CUST-0087"/>
    <s v="Rohan Mehta"/>
    <s v="Small Business"/>
    <s v="Chennai"/>
    <s v="South"/>
    <x v="2"/>
    <s v="Desk Lamp"/>
    <n v="4"/>
    <n v="0"/>
    <x v="375"/>
    <n v="1986.97"/>
    <s v="Debit Card"/>
    <b v="0"/>
    <b v="0"/>
    <b v="0"/>
    <m/>
  </r>
  <r>
    <n v="377"/>
    <s v="ORD-2025-0377"/>
    <d v="2025-08-15T00:00:00"/>
    <d v="2025-08-20T00:00:00"/>
    <s v="Same Day"/>
    <s v="CUST-0099"/>
    <s v="Shreya Kapoor"/>
    <s v="Consumer"/>
    <s v="Mumbai"/>
    <s v="West"/>
    <x v="2"/>
    <s v="Desk Lamp"/>
    <n v="2"/>
    <n v="0.1"/>
    <x v="376"/>
    <n v="355.44"/>
    <s v="Debit Card"/>
    <b v="0"/>
    <b v="0"/>
    <b v="0"/>
    <m/>
  </r>
  <r>
    <n v="378"/>
    <s v="ORD-2025-0378"/>
    <d v="2025-02-19T00:00:00"/>
    <d v="2025-02-21T00:00:00"/>
    <s v="Express"/>
    <s v="CUST-0036"/>
    <s v="Kavya Iyer"/>
    <s v="Corporate"/>
    <s v="Bhubaneswar"/>
    <s v="East"/>
    <x v="1"/>
    <s v="Water Bottle"/>
    <n v="3"/>
    <n v="0"/>
    <x v="377"/>
    <n v="213.23"/>
    <s v="Debit Card"/>
    <b v="0"/>
    <b v="0"/>
    <b v="0"/>
    <m/>
  </r>
  <r>
    <n v="379"/>
    <s v="ORD-2025-0379"/>
    <d v="2025-09-13T00:00:00"/>
    <d v="2025-09-17T00:00:00"/>
    <s v="Standard"/>
    <s v="CUST-0236"/>
    <s v="Meera Shah"/>
    <s v="Consumer"/>
    <s v="Delhi"/>
    <s v="North"/>
    <x v="1"/>
    <s v="Coffee Mug"/>
    <n v="5"/>
    <n v="0.1"/>
    <x v="378"/>
    <n v="132.79"/>
    <s v="Credit Card"/>
    <b v="0"/>
    <b v="0"/>
    <b v="0"/>
    <m/>
  </r>
  <r>
    <n v="380"/>
    <s v="ORD-2025-0380"/>
    <d v="2025-02-07T00:00:00"/>
    <d v="2025-02-10T00:00:00"/>
    <s v="Express"/>
    <s v="CUST-0056"/>
    <s v="Shreya Kapoor"/>
    <s v="Consumer"/>
    <s v="Ahmedabad"/>
    <s v="West"/>
    <x v="0"/>
    <s v="Calculator"/>
    <n v="2"/>
    <n v="0.1"/>
    <x v="379"/>
    <n v="315.68"/>
    <s v="Debit Card"/>
    <b v="0"/>
    <b v="0"/>
    <b v="0"/>
    <m/>
  </r>
  <r>
    <n v="381"/>
    <s v="ORD-2025-0381"/>
    <d v="2025-12-02T00:00:00"/>
    <d v="2025-12-04T00:00:00"/>
    <s v="Express"/>
    <s v="CUST-0094"/>
    <s v="Ananya Singh"/>
    <s v="Consumer"/>
    <s v="Lucknow"/>
    <s v="North"/>
    <x v="3"/>
    <s v="Keyboard"/>
    <n v="3"/>
    <n v="0"/>
    <x v="380"/>
    <n v="578.48"/>
    <s v="Cash"/>
    <b v="0"/>
    <b v="0"/>
    <b v="0"/>
    <m/>
  </r>
  <r>
    <n v="382"/>
    <s v="ORD-2025-0382"/>
    <d v="2025-07-04T00:00:00"/>
    <d v="2025-07-06T00:00:00"/>
    <s v="Express"/>
    <s v="CUST-0022"/>
    <s v="Priya Nair"/>
    <s v="Consumer"/>
    <s v="Jaipur"/>
    <s v="North"/>
    <x v="3"/>
    <s v="Bluetooth Speaker"/>
    <n v="2"/>
    <n v="0.1"/>
    <x v="381"/>
    <n v="197.57"/>
    <s v="UPI"/>
    <b v="0"/>
    <b v="0"/>
    <b v="0"/>
    <m/>
  </r>
  <r>
    <n v="383"/>
    <s v="ORD-2025-0383"/>
    <d v="2025-08-04T00:00:00"/>
    <d v="2025-08-08T00:00:00"/>
    <s v="Standard"/>
    <s v="CUST-0032"/>
    <s v="Aarav Sharma"/>
    <s v="Corporate"/>
    <s v="Ahmedabad"/>
    <s v="West"/>
    <x v="3"/>
    <s v="Keyboard"/>
    <n v="4"/>
    <n v="0.1"/>
    <x v="382"/>
    <n v="1098.17"/>
    <s v="UPI"/>
    <b v="0"/>
    <b v="0"/>
    <b v="0"/>
    <m/>
  </r>
  <r>
    <n v="384"/>
    <s v="ORD-2025-0384"/>
    <d v="2025-04-23T00:00:00"/>
    <d v="2025-04-28T00:00:00"/>
    <s v="Express"/>
    <s v="CUST-0171"/>
    <s v="Vikram Rao"/>
    <s v="Small Business"/>
    <s v="Ahmedabad"/>
    <s v="West"/>
    <x v="3"/>
    <s v="Keyboard"/>
    <n v="3"/>
    <n v="0.05"/>
    <x v="383"/>
    <n v="778.5"/>
    <s v="Cash"/>
    <b v="0"/>
    <b v="0"/>
    <b v="0"/>
    <m/>
  </r>
  <r>
    <n v="385"/>
    <s v="ORD-2025-0385"/>
    <d v="2025-03-12T00:00:00"/>
    <d v="2025-03-14T00:00:00"/>
    <s v="Standard"/>
    <s v="CUST-0193"/>
    <s v="Sneha Reddy"/>
    <s v="Small Business"/>
    <s v="Lucknow"/>
    <s v="North"/>
    <x v="1"/>
    <s v="Lunch Box"/>
    <n v="2"/>
    <n v="0"/>
    <x v="384"/>
    <n v="388.33"/>
    <s v="Cash"/>
    <b v="0"/>
    <b v="0"/>
    <b v="0"/>
    <m/>
  </r>
  <r>
    <n v="386"/>
    <s v="ORD-2025-0386"/>
    <d v="2025-11-28T00:00:00"/>
    <d v="2025-11-30T00:00:00"/>
    <s v="Standard"/>
    <s v="CUST-0216"/>
    <s v="Ananya Singh"/>
    <s v="Small Business"/>
    <s v="Lucknow"/>
    <s v="North"/>
    <x v="3"/>
    <s v="Power Bank"/>
    <n v="1"/>
    <n v="0"/>
    <x v="385"/>
    <n v="227.46"/>
    <s v="Net Banking"/>
    <b v="0"/>
    <b v="0"/>
    <b v="0"/>
    <m/>
  </r>
  <r>
    <n v="387"/>
    <s v="ORD-2025-0387"/>
    <d v="2025-04-09T00:00:00"/>
    <d v="2025-04-14T00:00:00"/>
    <s v="Standard"/>
    <s v="CUST-0169"/>
    <s v="Neha Gupta"/>
    <s v="Consumer"/>
    <s v="Pune"/>
    <s v="West"/>
    <x v="3"/>
    <s v="Bluetooth Speaker"/>
    <n v="2"/>
    <n v="0.05"/>
    <x v="386"/>
    <n v="701.3"/>
    <s v="Net Banking"/>
    <b v="0"/>
    <b v="0"/>
    <b v="0"/>
    <m/>
  </r>
  <r>
    <n v="388"/>
    <s v="ORD-2025-0388"/>
    <d v="2025-07-26T00:00:00"/>
    <d v="2025-07-29T00:00:00"/>
    <s v="Standard"/>
    <s v="CUST-0035"/>
    <s v="Ishita Roy"/>
    <s v="Consumer"/>
    <s v="Bengaluru"/>
    <s v="South"/>
    <x v="3"/>
    <s v="Keyboard"/>
    <n v="1"/>
    <n v="0.15"/>
    <x v="387"/>
    <n v="281.49"/>
    <s v="Cash"/>
    <b v="0"/>
    <b v="0"/>
    <b v="0"/>
    <m/>
  </r>
  <r>
    <n v="389"/>
    <s v="ORD-2025-0389"/>
    <d v="2025-01-16T00:00:00"/>
    <d v="2025-01-20T00:00:00"/>
    <s v="Standard"/>
    <s v="CUST-0220"/>
    <s v="Aarav Sharma"/>
    <s v="Small Business"/>
    <s v="Bengaluru"/>
    <s v="South"/>
    <x v="0"/>
    <s v="Calculator"/>
    <n v="5"/>
    <n v="0"/>
    <x v="388"/>
    <n v="901.67"/>
    <s v="Credit Card"/>
    <b v="0"/>
    <b v="0"/>
    <b v="0"/>
    <m/>
  </r>
  <r>
    <n v="390"/>
    <s v="ORD-2025-0390"/>
    <d v="2025-04-18T00:00:00"/>
    <d v="2025-04-20T00:00:00"/>
    <s v="Standard"/>
    <s v="CUST-0071"/>
    <s v="Manish Yadav"/>
    <s v="Corporate"/>
    <s v="Ahmedabad"/>
    <s v="West"/>
    <x v="3"/>
    <s v="Bluetooth Speaker"/>
    <n v="5"/>
    <n v="0.1"/>
    <x v="389"/>
    <n v="1806.62"/>
    <s v="UPI"/>
    <b v="0"/>
    <b v="0"/>
    <b v="0"/>
    <m/>
  </r>
  <r>
    <n v="391"/>
    <s v="ORD-2025-0391"/>
    <d v="2025-05-09T00:00:00"/>
    <d v="2025-05-14T00:00:00"/>
    <s v="Standard"/>
    <s v="CUST-0097"/>
    <s v="Kiran Joshi"/>
    <s v="Small Business"/>
    <s v="Pune"/>
    <s v="West"/>
    <x v="0"/>
    <s v="File Folder"/>
    <n v="3"/>
    <n v="0.1"/>
    <x v="390"/>
    <n v="30.38"/>
    <s v="Net Banking"/>
    <b v="0"/>
    <b v="0"/>
    <b v="0"/>
    <m/>
  </r>
  <r>
    <n v="392"/>
    <s v="ORD-2025-0392"/>
    <d v="2025-11-13T00:00:00"/>
    <d v="2025-11-15T00:00:00"/>
    <s v="Same Day"/>
    <s v="CUST-0119"/>
    <s v="Divya Rao"/>
    <s v="Corporate"/>
    <s v="Ahmedabad"/>
    <s v="West"/>
    <x v="0"/>
    <s v="File Folder"/>
    <n v="2"/>
    <n v="0.2"/>
    <x v="391"/>
    <n v="32.28"/>
    <s v="UPI"/>
    <b v="0"/>
    <b v="0"/>
    <b v="0"/>
    <m/>
  </r>
  <r>
    <n v="393"/>
    <s v="ORD-2025-0393"/>
    <d v="2025-03-12T00:00:00"/>
    <d v="2025-03-15T00:00:00"/>
    <s v="Same Day"/>
    <s v="CUST-0105"/>
    <s v="Aarav Sharma"/>
    <s v="Corporate"/>
    <s v="Mysuru"/>
    <s v="South"/>
    <x v="2"/>
    <s v="Folding Chair"/>
    <n v="2"/>
    <n v="0.1"/>
    <x v="392"/>
    <n v="611.74"/>
    <s v="Debit Card"/>
    <b v="0"/>
    <b v="0"/>
    <b v="0"/>
    <m/>
  </r>
  <r>
    <n v="394"/>
    <s v="ORD-2025-0394"/>
    <d v="2025-05-06T00:00:00"/>
    <d v="2025-05-10T00:00:00"/>
    <s v="Standard"/>
    <s v="CUST-0170"/>
    <s v="Manish Yadav"/>
    <s v="Corporate"/>
    <s v="Ahmedabad"/>
    <s v="West"/>
    <x v="1"/>
    <s v="Coffee Mug"/>
    <n v="3"/>
    <n v="0.15"/>
    <x v="393"/>
    <n v="142.97999999999999"/>
    <s v="Debit Card"/>
    <b v="0"/>
    <b v="0"/>
    <b v="0"/>
    <m/>
  </r>
  <r>
    <n v="395"/>
    <s v="ORD-2025-0395"/>
    <d v="2025-05-10T00:00:00"/>
    <d v="2025-05-14T00:00:00"/>
    <s v="Standard"/>
    <s v="CUST-0188"/>
    <s v="Aarav Sharma"/>
    <s v="Small Business"/>
    <s v="Bhubaneswar"/>
    <s v="East"/>
    <x v="2"/>
    <s v="Bookshelf"/>
    <n v="1"/>
    <n v="0.1"/>
    <x v="394"/>
    <n v="914.9"/>
    <s v="Debit Card"/>
    <b v="0"/>
    <b v="0"/>
    <b v="0"/>
    <m/>
  </r>
  <r>
    <n v="396"/>
    <s v="ORD-2025-0396"/>
    <d v="2025-04-30T00:00:00"/>
    <d v="2025-05-01T00:00:00"/>
    <s v="Standard"/>
    <s v="CUST-0121"/>
    <s v="Rohan Mehta"/>
    <s v="Consumer"/>
    <s v="Pune"/>
    <s v="West"/>
    <x v="0"/>
    <s v="Calculator"/>
    <n v="1"/>
    <n v="0.1"/>
    <x v="395"/>
    <n v="39.590000000000003"/>
    <s v="UPI"/>
    <b v="0"/>
    <b v="0"/>
    <b v="0"/>
    <m/>
  </r>
  <r>
    <n v="397"/>
    <s v="ORD-2025-0397"/>
    <d v="2025-06-01T00:00:00"/>
    <d v="2025-06-03T00:00:00"/>
    <s v="Standard"/>
    <s v="CUST-0101"/>
    <s v="Kiran Joshi"/>
    <s v="Consumer"/>
    <s v="Kolkata"/>
    <s v="East"/>
    <x v="2"/>
    <s v="Study Table"/>
    <n v="1"/>
    <n v="0.1"/>
    <x v="396"/>
    <n v="1707.89"/>
    <s v="UPI"/>
    <b v="0"/>
    <b v="0"/>
    <b v="0"/>
    <m/>
  </r>
  <r>
    <n v="398"/>
    <s v="ORD-2025-0398"/>
    <d v="2025-02-16T00:00:00"/>
    <d v="2025-02-19T00:00:00"/>
    <s v="Standard"/>
    <s v="CUST-0220"/>
    <s v="Arjun Patel"/>
    <s v="Small Business"/>
    <s v="Mysuru"/>
    <s v="South"/>
    <x v="1"/>
    <s v="Storage Box"/>
    <n v="2"/>
    <n v="0.1"/>
    <x v="397"/>
    <n v="318.42"/>
    <s v="UPI"/>
    <b v="0"/>
    <b v="0"/>
    <b v="0"/>
    <m/>
  </r>
  <r>
    <n v="399"/>
    <s v="ORD-2025-0399"/>
    <d v="2025-06-30T00:00:00"/>
    <d v="2025-07-03T00:00:00"/>
    <s v="Standard"/>
    <s v="CUST-0161"/>
    <s v="Pooja Das"/>
    <s v="Small Business"/>
    <s v="Lucknow"/>
    <s v="North"/>
    <x v="0"/>
    <s v="Pen Set"/>
    <n v="1"/>
    <n v="0.1"/>
    <x v="398"/>
    <n v="10.17"/>
    <s v="UPI"/>
    <b v="0"/>
    <b v="0"/>
    <b v="0"/>
    <m/>
  </r>
  <r>
    <n v="400"/>
    <s v="ORD-2025-0400"/>
    <d v="2025-04-28T00:00:00"/>
    <d v="2025-05-02T00:00:00"/>
    <s v="Standard"/>
    <s v="CUST-0049"/>
    <s v="Neha Gupta"/>
    <s v="Consumer"/>
    <s v="Chennai"/>
    <s v="South"/>
    <x v="0"/>
    <s v="Pen Set"/>
    <n v="5"/>
    <n v="0.15"/>
    <x v="399"/>
    <n v="52.16"/>
    <s v="UPI"/>
    <b v="0"/>
    <b v="0"/>
    <b v="0"/>
    <m/>
  </r>
  <r>
    <n v="401"/>
    <s v="ORD-2025-0401"/>
    <d v="2025-08-21T00:00:00"/>
    <d v="2025-08-24T00:00:00"/>
    <s v="Standard"/>
    <s v="CUST-0121"/>
    <s v="Kiran Joshi"/>
    <s v="Consumer"/>
    <s v="Pune"/>
    <s v="West"/>
    <x v="2"/>
    <s v="Desk Lamp"/>
    <n v="2"/>
    <n v="0"/>
    <x v="400"/>
    <n v="576.75"/>
    <s v="UPI"/>
    <b v="0"/>
    <b v="0"/>
    <b v="0"/>
    <m/>
  </r>
  <r>
    <n v="402"/>
    <s v="ORD-2025-0402"/>
    <d v="2025-02-18T00:00:00"/>
    <d v="2025-02-22T00:00:00"/>
    <s v="Express"/>
    <s v="CUST-0126"/>
    <s v="Priya Nair"/>
    <s v="Corporate"/>
    <s v="Kolkata"/>
    <s v="East"/>
    <x v="0"/>
    <s v="Pen Set"/>
    <n v="2"/>
    <n v="0.2"/>
    <x v="401"/>
    <n v="26.36"/>
    <s v="Credit Card"/>
    <b v="0"/>
    <b v="0"/>
    <b v="0"/>
    <m/>
  </r>
  <r>
    <n v="403"/>
    <s v="ORD-2025-0403"/>
    <d v="2025-10-06T00:00:00"/>
    <d v="2025-10-07T00:00:00"/>
    <s v="Standard"/>
    <s v="CUST-0187"/>
    <s v="Meera Shah"/>
    <s v="Corporate"/>
    <s v="Lucknow"/>
    <s v="North"/>
    <x v="0"/>
    <s v="Pen Set"/>
    <n v="5"/>
    <n v="0"/>
    <x v="402"/>
    <n v="182.27"/>
    <s v="Debit Card"/>
    <b v="0"/>
    <b v="0"/>
    <b v="0"/>
    <m/>
  </r>
  <r>
    <n v="404"/>
    <s v="ORD-2025-0404"/>
    <d v="2025-05-14T00:00:00"/>
    <d v="2025-05-19T00:00:00"/>
    <s v="Standard"/>
    <s v="CUST-0123"/>
    <s v="Manish Yadav"/>
    <s v="Consumer"/>
    <s v="Chennai"/>
    <s v="South"/>
    <x v="1"/>
    <s v="Storage Box"/>
    <n v="1"/>
    <n v="0.1"/>
    <x v="403"/>
    <n v="262.41000000000003"/>
    <s v="Credit Card"/>
    <b v="0"/>
    <b v="0"/>
    <b v="0"/>
    <m/>
  </r>
  <r>
    <n v="405"/>
    <s v="ORD-2025-0405"/>
    <d v="2025-05-15T00:00:00"/>
    <d v="2025-05-18T00:00:00"/>
    <s v="Express"/>
    <s v="CUST-0069"/>
    <s v="Arjun Patel"/>
    <s v="Consumer"/>
    <s v="Kolkata"/>
    <s v="East"/>
    <x v="2"/>
    <s v="Desk Lamp"/>
    <n v="4"/>
    <n v="0"/>
    <x v="404"/>
    <n v="1783.34"/>
    <s v="UPI"/>
    <b v="0"/>
    <b v="0"/>
    <b v="0"/>
    <m/>
  </r>
  <r>
    <n v="406"/>
    <s v="ORD-2025-0406"/>
    <d v="2025-11-24T00:00:00"/>
    <d v="2025-11-26T00:00:00"/>
    <s v="Same Day"/>
    <s v="CUST-0014"/>
    <s v="Neha Gupta"/>
    <s v="Small Business"/>
    <s v="Mumbai"/>
    <s v="West"/>
    <x v="3"/>
    <s v="Keyboard"/>
    <n v="3"/>
    <n v="0.2"/>
    <x v="405"/>
    <n v="414.15"/>
    <s v="Credit Card"/>
    <b v="0"/>
    <b v="0"/>
    <b v="0"/>
    <m/>
  </r>
  <r>
    <n v="407"/>
    <s v="ORD-2025-0407"/>
    <d v="2025-08-11T00:00:00"/>
    <d v="2025-08-14T00:00:00"/>
    <s v="Standard"/>
    <s v="CUST-0098"/>
    <s v="Neha Gupta"/>
    <s v="Corporate"/>
    <s v="Lucknow"/>
    <s v="North"/>
    <x v="3"/>
    <s v="Wireless Mouse"/>
    <n v="3"/>
    <n v="0"/>
    <x v="406"/>
    <n v="879.14"/>
    <s v="Net Banking"/>
    <b v="0"/>
    <b v="0"/>
    <b v="0"/>
    <m/>
  </r>
  <r>
    <n v="408"/>
    <s v="ORD-2025-0408"/>
    <d v="2025-09-19T00:00:00"/>
    <d v="2025-09-24T00:00:00"/>
    <s v="Express"/>
    <s v="CUST-0073"/>
    <s v="Priya Nair"/>
    <s v="Consumer"/>
    <s v="Mysuru"/>
    <s v="South"/>
    <x v="2"/>
    <s v="Bookshelf"/>
    <n v="1"/>
    <n v="0.15"/>
    <x v="407"/>
    <n v="549.54999999999995"/>
    <s v="UPI"/>
    <b v="0"/>
    <b v="0"/>
    <b v="0"/>
    <m/>
  </r>
  <r>
    <n v="409"/>
    <s v="ORD-2025-0409"/>
    <d v="2025-12-28T00:00:00"/>
    <d v="2026-01-01T00:00:00"/>
    <s v="Express"/>
    <s v="CUST-0086"/>
    <s v="Pooja Das"/>
    <s v="Consumer"/>
    <s v="Mumbai"/>
    <s v="West"/>
    <x v="0"/>
    <s v="Pen Set"/>
    <n v="3"/>
    <n v="0"/>
    <x v="408"/>
    <n v="75.41"/>
    <s v="Net Banking"/>
    <b v="0"/>
    <b v="0"/>
    <b v="0"/>
    <m/>
  </r>
  <r>
    <n v="410"/>
    <s v="ORD-2025-0410"/>
    <d v="2025-07-08T00:00:00"/>
    <d v="2025-07-12T00:00:00"/>
    <s v="Standard"/>
    <s v="CUST-0134"/>
    <s v="Nikhil Jain"/>
    <s v="Corporate"/>
    <s v="Bengaluru"/>
    <s v="South"/>
    <x v="1"/>
    <s v="Water Bottle"/>
    <n v="3"/>
    <n v="0.2"/>
    <x v="409"/>
    <n v="-7.73"/>
    <s v="UPI"/>
    <b v="0"/>
    <b v="0"/>
    <b v="0"/>
    <m/>
  </r>
  <r>
    <n v="411"/>
    <s v="ORD-2025-0411"/>
    <d v="2025-02-08T00:00:00"/>
    <d v="2025-02-09T00:00:00"/>
    <s v="Standard"/>
    <s v="CUST-0096"/>
    <s v="Pooja Das"/>
    <s v="Consumer"/>
    <s v="Delhi"/>
    <s v="North"/>
    <x v="0"/>
    <s v="Calculator"/>
    <n v="1"/>
    <n v="0.05"/>
    <x v="410"/>
    <n v="200.38"/>
    <s v="UPI"/>
    <b v="0"/>
    <b v="0"/>
    <b v="0"/>
    <m/>
  </r>
  <r>
    <n v="412"/>
    <s v="ORD-2025-0412"/>
    <d v="2025-11-27T00:00:00"/>
    <d v="2025-11-29T00:00:00"/>
    <s v="Standard"/>
    <s v="CUST-0031"/>
    <s v="Vikram Rao"/>
    <s v="Consumer"/>
    <s v="Lucknow"/>
    <s v="North"/>
    <x v="0"/>
    <s v="File Folder"/>
    <n v="1"/>
    <n v="0.1"/>
    <x v="411"/>
    <n v="-250"/>
    <s v="Cash"/>
    <b v="0"/>
    <b v="0"/>
    <b v="0"/>
    <m/>
  </r>
  <r>
    <n v="413"/>
    <s v="ORD-2025-0413"/>
    <d v="2025-09-03T00:00:00"/>
    <d v="2025-09-05T00:00:00"/>
    <s v="Standard"/>
    <s v="CUST-0172"/>
    <s v="Neha Gupta"/>
    <s v="Consumer"/>
    <s v="Mumbai"/>
    <s v="West"/>
    <x v="3"/>
    <s v="Wireless Mouse"/>
    <n v="1"/>
    <n v="0.1"/>
    <x v="412"/>
    <n v="161.25"/>
    <s v="Net Banking"/>
    <b v="0"/>
    <b v="0"/>
    <b v="0"/>
    <m/>
  </r>
  <r>
    <n v="414"/>
    <s v="ORD-2025-0414"/>
    <d v="2025-03-30T00:00:00"/>
    <d v="2025-04-03T00:00:00"/>
    <s v="Standard"/>
    <s v="CUST-0186"/>
    <s v="Divya Rao"/>
    <s v="Consumer"/>
    <s v="Hyderabad"/>
    <s v="South"/>
    <x v="1"/>
    <s v="Coffee Mug"/>
    <n v="2"/>
    <n v="0.05"/>
    <x v="413"/>
    <n v="135.16999999999999"/>
    <s v="Net Banking"/>
    <b v="0"/>
    <b v="0"/>
    <b v="0"/>
    <m/>
  </r>
  <r>
    <n v="415"/>
    <s v="ORD-2025-0415"/>
    <d v="2025-07-01T00:00:00"/>
    <d v="2025-07-06T00:00:00"/>
    <s v="Standard"/>
    <s v="CUST-0186"/>
    <s v="Pooja Das"/>
    <s v="Small Business"/>
    <s v="Jaipur"/>
    <s v="North"/>
    <x v="3"/>
    <s v="Keyboard"/>
    <n v="2"/>
    <n v="0"/>
    <x v="414"/>
    <n v="825.32"/>
    <s v="Debit Card"/>
    <b v="0"/>
    <b v="0"/>
    <b v="0"/>
    <m/>
  </r>
  <r>
    <n v="416"/>
    <s v="ORD-2025-0416"/>
    <d v="2025-10-09T00:00:00"/>
    <d v="2025-10-11T00:00:00"/>
    <s v="Standard"/>
    <s v="CUST-0188"/>
    <s v="Rohan Mehta"/>
    <s v="Consumer"/>
    <s v="Pune"/>
    <s v="West"/>
    <x v="0"/>
    <s v="Calculator"/>
    <n v="3"/>
    <n v="0"/>
    <x v="415"/>
    <n v="706.57"/>
    <s v="Cash"/>
    <b v="0"/>
    <b v="0"/>
    <b v="0"/>
    <m/>
  </r>
  <r>
    <n v="417"/>
    <s v="ORD-2025-0417"/>
    <d v="2025-06-27T00:00:00"/>
    <d v="2025-06-29T00:00:00"/>
    <s v="Standard"/>
    <s v="CUST-0099"/>
    <s v="Sanjay Menon"/>
    <s v="Consumer"/>
    <s v="Hyderabad"/>
    <s v="South"/>
    <x v="2"/>
    <s v="Study Table"/>
    <n v="2"/>
    <n v="0"/>
    <x v="416"/>
    <n v="3411.06"/>
    <s v="Debit Card"/>
    <b v="0"/>
    <b v="0"/>
    <b v="0"/>
    <m/>
  </r>
  <r>
    <n v="418"/>
    <s v="ORD-2025-0418"/>
    <d v="2025-08-09T00:00:00"/>
    <d v="2025-08-14T00:00:00"/>
    <s v="Same Day"/>
    <s v="CUST-0168"/>
    <s v="Kiran Joshi"/>
    <s v="Consumer"/>
    <s v="Bhubaneswar"/>
    <s v="East"/>
    <x v="0"/>
    <s v="Desk Organizer"/>
    <n v="2"/>
    <n v="0"/>
    <x v="417"/>
    <n v="312.54000000000002"/>
    <s v="UPI"/>
    <b v="0"/>
    <b v="0"/>
    <b v="0"/>
    <m/>
  </r>
  <r>
    <n v="419"/>
    <s v="ORD-2025-0419"/>
    <d v="2025-10-27T00:00:00"/>
    <d v="2025-10-31T00:00:00"/>
    <s v="Standard"/>
    <s v="CUST-0009"/>
    <s v="Pooja Das"/>
    <s v="Consumer"/>
    <s v="Delhi"/>
    <s v="North"/>
    <x v="1"/>
    <s v="Storage Box"/>
    <n v="2"/>
    <n v="0"/>
    <x v="418"/>
    <n v="553.52"/>
    <s v="Debit Card"/>
    <b v="0"/>
    <b v="0"/>
    <b v="0"/>
    <m/>
  </r>
  <r>
    <n v="420"/>
    <s v="ORD-2025-0420"/>
    <d v="2025-04-13T00:00:00"/>
    <d v="2025-04-15T00:00:00"/>
    <s v="Standard"/>
    <s v="CUST-0166"/>
    <s v="Sneha Reddy"/>
    <s v="Corporate"/>
    <s v="Mumbai"/>
    <s v="West"/>
    <x v="2"/>
    <s v="Bookshelf"/>
    <n v="5"/>
    <n v="0"/>
    <x v="419"/>
    <n v="4971.5"/>
    <s v="UPI"/>
    <b v="0"/>
    <b v="0"/>
    <b v="0"/>
    <m/>
  </r>
  <r>
    <n v="421"/>
    <s v="ORD-2025-0421"/>
    <d v="2025-06-15T00:00:00"/>
    <d v="2025-06-20T00:00:00"/>
    <s v="Standard"/>
    <s v="CUST-0246"/>
    <s v="Sneha Reddy"/>
    <s v="Small Business"/>
    <s v="Chennai"/>
    <s v="South"/>
    <x v="2"/>
    <s v="Folding Chair"/>
    <n v="1"/>
    <n v="0.15"/>
    <x v="420"/>
    <n v="311.18"/>
    <s v="UPI"/>
    <b v="0"/>
    <b v="0"/>
    <b v="0"/>
    <m/>
  </r>
  <r>
    <n v="422"/>
    <s v="ORD-2025-0422"/>
    <d v="2025-03-02T00:00:00"/>
    <d v="2025-03-07T00:00:00"/>
    <s v="Standard"/>
    <s v="CUST-0247"/>
    <s v="Priya Nair"/>
    <s v="Corporate"/>
    <s v="Mysuru"/>
    <s v="South"/>
    <x v="0"/>
    <s v="File Folder"/>
    <n v="3"/>
    <n v="0.1"/>
    <x v="421"/>
    <n v="16.66"/>
    <s v="UPI"/>
    <b v="0"/>
    <b v="0"/>
    <b v="0"/>
    <m/>
  </r>
  <r>
    <n v="423"/>
    <s v="ORD-2025-0423"/>
    <d v="2025-03-17T00:00:00"/>
    <d v="2025-03-21T00:00:00"/>
    <s v="Standard"/>
    <s v="CUST-0218"/>
    <s v="Nikhil Jain"/>
    <s v="Consumer"/>
    <s v="Mysuru"/>
    <s v="South"/>
    <x v="2"/>
    <s v="Folding Chair"/>
    <n v="3"/>
    <n v="0"/>
    <x v="422"/>
    <n v="1430.91"/>
    <s v="UPI"/>
    <b v="0"/>
    <b v="0"/>
    <b v="0"/>
    <m/>
  </r>
  <r>
    <n v="424"/>
    <s v="ORD-2025-0424"/>
    <d v="2025-10-21T00:00:00"/>
    <d v="2025-10-25T00:00:00"/>
    <s v="Standard"/>
    <s v="CUST-0130"/>
    <s v="Nikhil Jain"/>
    <s v="Corporate"/>
    <s v="Pune"/>
    <s v="West"/>
    <x v="2"/>
    <s v="Study Table"/>
    <n v="1"/>
    <n v="0.1"/>
    <x v="423"/>
    <n v="1511.45"/>
    <s v="Debit Card"/>
    <b v="0"/>
    <b v="0"/>
    <b v="0"/>
    <m/>
  </r>
  <r>
    <n v="425"/>
    <s v="ORD-2025-0425"/>
    <d v="2025-03-21T00:00:00"/>
    <d v="2025-03-22T00:00:00"/>
    <s v="Standard"/>
    <s v="CUST-0192"/>
    <s v="Pooja Das"/>
    <s v="Consumer"/>
    <s v="Kolkata"/>
    <s v="East"/>
    <x v="3"/>
    <s v="Bluetooth Speaker"/>
    <n v="2"/>
    <n v="0.2"/>
    <x v="424"/>
    <n v="117.55"/>
    <s v="Debit Card"/>
    <b v="0"/>
    <b v="0"/>
    <b v="0"/>
    <m/>
  </r>
  <r>
    <n v="426"/>
    <s v="ORD-2025-0426"/>
    <d v="2025-03-17T00:00:00"/>
    <d v="2025-03-22T00:00:00"/>
    <s v="Standard"/>
    <s v="CUST-0087"/>
    <s v="Shreya Kapoor"/>
    <s v="Consumer"/>
    <s v="Jaipur"/>
    <s v="North"/>
    <x v="2"/>
    <s v="Study Table"/>
    <n v="5"/>
    <n v="0.1"/>
    <x v="425"/>
    <n v="3394.33"/>
    <s v="Net Banking"/>
    <b v="0"/>
    <b v="0"/>
    <b v="0"/>
    <m/>
  </r>
  <r>
    <n v="427"/>
    <s v="ORD-2025-0427"/>
    <d v="2025-02-14T00:00:00"/>
    <d v="2025-02-16T00:00:00"/>
    <s v="Express"/>
    <s v="CUST-0019"/>
    <s v="Kiran Joshi"/>
    <s v="Consumer"/>
    <s v="Mysuru"/>
    <s v="South"/>
    <x v="0"/>
    <s v="Notebook"/>
    <n v="4"/>
    <n v="0.15"/>
    <x v="426"/>
    <n v="71.849999999999994"/>
    <s v="UPI"/>
    <b v="0"/>
    <b v="0"/>
    <b v="0"/>
    <m/>
  </r>
  <r>
    <n v="428"/>
    <s v="ORD-2025-0428"/>
    <d v="2025-02-11T00:00:00"/>
    <d v="2025-02-12T00:00:00"/>
    <s v="Standard"/>
    <s v="CUST-0102"/>
    <s v="Manish Yadav"/>
    <s v="Consumer"/>
    <s v="Mysuru"/>
    <s v="South"/>
    <x v="3"/>
    <s v="Bluetooth Speaker"/>
    <n v="3"/>
    <n v="0"/>
    <x v="427"/>
    <n v="966.71"/>
    <s v="UPI"/>
    <b v="0"/>
    <b v="0"/>
    <b v="0"/>
    <m/>
  </r>
  <r>
    <n v="429"/>
    <s v="ORD-2025-0429"/>
    <d v="2025-02-27T00:00:00"/>
    <d v="2025-02-28T00:00:00"/>
    <s v="Same Day"/>
    <s v="CUST-0171"/>
    <s v="Manish Yadav"/>
    <s v="Corporate"/>
    <s v="Mumbai"/>
    <s v="West"/>
    <x v="1"/>
    <s v="Electric Kettle"/>
    <n v="1"/>
    <n v="0"/>
    <x v="428"/>
    <n v="478.53"/>
    <s v="UPI"/>
    <b v="0"/>
    <b v="0"/>
    <b v="0"/>
    <m/>
  </r>
  <r>
    <n v="430"/>
    <s v="ORD-2025-0430"/>
    <d v="2025-09-23T00:00:00"/>
    <d v="2025-09-24T00:00:00"/>
    <s v="Express"/>
    <s v="CUST-0127"/>
    <s v="Divya Rao"/>
    <s v="Small Business"/>
    <s v="Kolkata"/>
    <s v="East"/>
    <x v="1"/>
    <s v="Water Bottle"/>
    <n v="2"/>
    <n v="0.1"/>
    <x v="429"/>
    <n v="247.79"/>
    <s v="Credit Card"/>
    <b v="0"/>
    <b v="0"/>
    <b v="0"/>
    <m/>
  </r>
  <r>
    <n v="431"/>
    <s v="ORD-2025-0431"/>
    <d v="2025-07-17T00:00:00"/>
    <d v="2025-07-18T00:00:00"/>
    <s v="Same Day"/>
    <s v="CUST-0131"/>
    <s v="Neha Gupta"/>
    <s v="Corporate"/>
    <s v="Bhubaneswar"/>
    <s v="East"/>
    <x v="0"/>
    <s v="Notebook"/>
    <n v="1"/>
    <n v="0.1"/>
    <x v="430"/>
    <n v="32.24"/>
    <s v="UPI"/>
    <b v="0"/>
    <b v="0"/>
    <b v="0"/>
    <m/>
  </r>
  <r>
    <n v="432"/>
    <s v="ORD-2025-0432"/>
    <d v="2025-06-21T00:00:00"/>
    <d v="2025-06-26T00:00:00"/>
    <s v="Express"/>
    <s v="CUST-0198"/>
    <s v="Manish Yadav"/>
    <s v="Consumer"/>
    <s v="Pune"/>
    <s v="West"/>
    <x v="3"/>
    <s v="Power Bank"/>
    <n v="1"/>
    <n v="0"/>
    <x v="431"/>
    <n v="386.7"/>
    <s v="UPI"/>
    <b v="0"/>
    <b v="0"/>
    <b v="0"/>
    <m/>
  </r>
  <r>
    <n v="433"/>
    <s v="ORD-2025-0433"/>
    <d v="2025-04-28T00:00:00"/>
    <d v="2025-04-30T00:00:00"/>
    <s v="Standard"/>
    <s v="CUST-0175"/>
    <s v="Priya Nair"/>
    <s v="Consumer"/>
    <s v="Mysuru"/>
    <s v="South"/>
    <x v="1"/>
    <s v="Electric Kettle"/>
    <n v="4"/>
    <n v="0.15"/>
    <x v="432"/>
    <n v="1163.27"/>
    <s v="Debit Card"/>
    <b v="0"/>
    <b v="0"/>
    <b v="0"/>
    <m/>
  </r>
  <r>
    <n v="434"/>
    <s v="ORD-2025-0434"/>
    <d v="2025-02-08T00:00:00"/>
    <d v="2025-02-12T00:00:00"/>
    <s v="Standard"/>
    <s v="CUST-0158"/>
    <s v="Pooja Das"/>
    <s v="Small Business"/>
    <s v="Mumbai"/>
    <s v="West"/>
    <x v="2"/>
    <s v="Study Table"/>
    <n v="5"/>
    <n v="0"/>
    <x v="433"/>
    <n v="11497.84"/>
    <s v="UPI"/>
    <b v="0"/>
    <b v="0"/>
    <b v="0"/>
    <m/>
  </r>
  <r>
    <n v="435"/>
    <s v="ORD-2025-0435"/>
    <d v="2025-07-29T00:00:00"/>
    <d v="2025-07-30T00:00:00"/>
    <s v="Standard"/>
    <s v="CUST-0129"/>
    <s v="Sanjay Menon"/>
    <s v="Consumer"/>
    <s v="Mysuru"/>
    <s v="South"/>
    <x v="3"/>
    <s v="Power Bank"/>
    <n v="1"/>
    <n v="0.15"/>
    <x v="434"/>
    <n v="115.67"/>
    <s v="UPI"/>
    <b v="0"/>
    <b v="0"/>
    <b v="0"/>
    <m/>
  </r>
  <r>
    <n v="436"/>
    <s v="ORD-2025-0436"/>
    <d v="2025-03-17T00:00:00"/>
    <d v="2025-03-21T00:00:00"/>
    <s v="Standard"/>
    <s v="CUST-0047"/>
    <s v="Vikram Rao"/>
    <s v="Consumer"/>
    <s v="Chennai"/>
    <s v="South"/>
    <x v="3"/>
    <s v="USB-C Hub"/>
    <n v="2"/>
    <n v="0.05"/>
    <x v="435"/>
    <n v="780.26"/>
    <s v="Credit Card"/>
    <b v="0"/>
    <b v="0"/>
    <b v="0"/>
    <m/>
  </r>
  <r>
    <n v="437"/>
    <s v="ORD-2025-0437"/>
    <d v="2025-03-23T00:00:00"/>
    <d v="2025-03-27T00:00:00"/>
    <s v="Express"/>
    <s v="CUST-0164"/>
    <s v="Ishita Roy"/>
    <s v="Consumer"/>
    <s v="Bhubaneswar"/>
    <s v="East"/>
    <x v="1"/>
    <s v="Lunch Box"/>
    <n v="4"/>
    <n v="0"/>
    <x v="436"/>
    <n v="530.80999999999995"/>
    <s v="UPI"/>
    <b v="0"/>
    <b v="0"/>
    <b v="0"/>
    <m/>
  </r>
  <r>
    <n v="438"/>
    <s v="ORD-2025-0438"/>
    <d v="2025-08-08T00:00:00"/>
    <d v="2025-08-12T00:00:00"/>
    <s v="Express"/>
    <s v="CUST-0194"/>
    <s v="Aditya Kumar"/>
    <s v="Consumer"/>
    <s v="Delhi"/>
    <s v="North"/>
    <x v="2"/>
    <s v="Office Chair"/>
    <n v="5"/>
    <n v="0.25"/>
    <x v="437"/>
    <n v="2494.09"/>
    <s v="UPI"/>
    <b v="0"/>
    <b v="0"/>
    <b v="0"/>
    <m/>
  </r>
  <r>
    <n v="439"/>
    <s v="ORD-2025-0439"/>
    <d v="2025-08-05T00:00:00"/>
    <d v="2025-08-06T00:00:00"/>
    <s v="Same Day"/>
    <s v="CUST-0108"/>
    <s v="Ishita Roy"/>
    <s v="Consumer"/>
    <s v="Pune"/>
    <s v="West"/>
    <x v="3"/>
    <s v="Power Bank"/>
    <n v="1"/>
    <n v="0.2"/>
    <x v="438"/>
    <n v="228.05"/>
    <s v="Debit Card"/>
    <b v="0"/>
    <b v="0"/>
    <b v="0"/>
    <m/>
  </r>
  <r>
    <n v="440"/>
    <s v="ORD-2025-0440"/>
    <d v="2025-01-17T00:00:00"/>
    <d v="2025-01-21T00:00:00"/>
    <s v="Express"/>
    <s v="CUST-0247"/>
    <s v="Vikram Rao"/>
    <s v="Corporate"/>
    <s v="Lucknow"/>
    <s v="North"/>
    <x v="0"/>
    <s v="Pen Set"/>
    <n v="2"/>
    <n v="0.1"/>
    <x v="439"/>
    <n v="65.02"/>
    <s v="UPI"/>
    <b v="0"/>
    <b v="0"/>
    <b v="0"/>
    <m/>
  </r>
  <r>
    <n v="441"/>
    <s v="ORD-2025-0441"/>
    <d v="2025-03-19T00:00:00"/>
    <d v="2025-03-21T00:00:00"/>
    <s v="Same Day"/>
    <s v="CUST-0086"/>
    <s v="Neha Gupta"/>
    <s v="Consumer"/>
    <s v="Chennai"/>
    <s v="South"/>
    <x v="2"/>
    <s v="Study Table"/>
    <n v="1"/>
    <n v="0.2"/>
    <x v="440"/>
    <n v="780.1"/>
    <s v="UPI"/>
    <b v="0"/>
    <b v="0"/>
    <b v="0"/>
    <m/>
  </r>
  <r>
    <n v="442"/>
    <s v="ORD-2025-0442"/>
    <d v="2025-05-18T00:00:00"/>
    <d v="2025-05-19T00:00:00"/>
    <s v="Express"/>
    <s v="CUST-0137"/>
    <s v="Kiran Joshi"/>
    <s v="Consumer"/>
    <s v="Ahmedabad"/>
    <s v="West"/>
    <x v="0"/>
    <s v="Notebook"/>
    <n v="1"/>
    <n v="0.2"/>
    <x v="441"/>
    <n v="1.73"/>
    <s v="UPI"/>
    <b v="0"/>
    <b v="0"/>
    <b v="0"/>
    <m/>
  </r>
  <r>
    <n v="443"/>
    <s v="ORD-2025-0443"/>
    <d v="2025-06-17T00:00:00"/>
    <d v="2025-06-20T00:00:00"/>
    <s v="Express"/>
    <s v="CUST-0068"/>
    <s v="Meera Shah"/>
    <s v="Small Business"/>
    <s v="Chennai"/>
    <s v="South"/>
    <x v="1"/>
    <s v="Lunch Box"/>
    <n v="3"/>
    <n v="0"/>
    <x v="442"/>
    <n v="535.77"/>
    <s v="UPI"/>
    <b v="0"/>
    <b v="0"/>
    <b v="0"/>
    <m/>
  </r>
  <r>
    <n v="444"/>
    <s v="ORD-2025-0444"/>
    <d v="2025-03-18T00:00:00"/>
    <d v="2025-03-22T00:00:00"/>
    <s v="Express"/>
    <s v="CUST-0022"/>
    <s v="Sanjay Menon"/>
    <s v="Consumer"/>
    <s v="Chennai"/>
    <s v="South"/>
    <x v="2"/>
    <s v="Office Chair"/>
    <n v="2"/>
    <n v="0.25"/>
    <x v="443"/>
    <n v="816.42"/>
    <s v="Cash"/>
    <b v="0"/>
    <b v="0"/>
    <b v="0"/>
    <m/>
  </r>
  <r>
    <n v="445"/>
    <s v="ORD-2025-0445"/>
    <d v="2025-01-13T00:00:00"/>
    <d v="2025-01-14T00:00:00"/>
    <s v="Standard"/>
    <s v="CUST-0202"/>
    <s v="Aarav Sharma"/>
    <s v="Consumer"/>
    <s v="Delhi"/>
    <s v="North"/>
    <x v="1"/>
    <s v="Storage Box"/>
    <n v="4"/>
    <n v="0.2"/>
    <x v="444"/>
    <n v="124.27"/>
    <s v="Credit Card"/>
    <b v="0"/>
    <b v="0"/>
    <b v="0"/>
    <m/>
  </r>
  <r>
    <n v="446"/>
    <s v="ORD-2025-0446"/>
    <d v="2025-11-23T00:00:00"/>
    <d v="2025-11-28T00:00:00"/>
    <s v="Standard"/>
    <s v="CUST-0200"/>
    <s v="Aditya Kumar"/>
    <s v="Consumer"/>
    <s v="Chennai"/>
    <s v="South"/>
    <x v="2"/>
    <s v="Bookshelf"/>
    <n v="1"/>
    <n v="0.1"/>
    <x v="445"/>
    <n v="735.35"/>
    <s v="UPI"/>
    <b v="0"/>
    <b v="0"/>
    <b v="0"/>
    <m/>
  </r>
  <r>
    <n v="447"/>
    <s v="ORD-2025-0447"/>
    <d v="2025-07-18T00:00:00"/>
    <d v="2025-07-19T00:00:00"/>
    <s v="Standard"/>
    <s v="CUST-0238"/>
    <s v="Ananya Singh"/>
    <s v="Consumer"/>
    <s v="Jaipur"/>
    <s v="North"/>
    <x v="1"/>
    <s v="Storage Box"/>
    <n v="1"/>
    <n v="0.1"/>
    <x v="446"/>
    <n v="218.68"/>
    <s v="Net Banking"/>
    <b v="0"/>
    <b v="0"/>
    <b v="0"/>
    <m/>
  </r>
  <r>
    <n v="448"/>
    <s v="ORD-2025-0448"/>
    <d v="2025-02-21T00:00:00"/>
    <d v="2025-02-22T00:00:00"/>
    <s v="Standard"/>
    <s v="CUST-0166"/>
    <s v="Arjun Patel"/>
    <s v="Consumer"/>
    <s v="Bengaluru"/>
    <s v="South"/>
    <x v="2"/>
    <s v="Desk Lamp"/>
    <n v="4"/>
    <n v="0.1"/>
    <x v="447"/>
    <n v="885.98"/>
    <s v="UPI"/>
    <b v="0"/>
    <b v="0"/>
    <b v="0"/>
    <m/>
  </r>
  <r>
    <n v="449"/>
    <s v="ORD-2025-0449"/>
    <d v="2025-08-13T00:00:00"/>
    <d v="2025-08-16T00:00:00"/>
    <s v="Express"/>
    <s v="CUST-0208"/>
    <s v="Arjun Patel"/>
    <s v="Corporate"/>
    <s v="Kolkata"/>
    <s v="East"/>
    <x v="0"/>
    <s v="Pen Set"/>
    <n v="3"/>
    <n v="0.15"/>
    <x v="448"/>
    <n v="44.71"/>
    <s v="Cash"/>
    <b v="0"/>
    <b v="0"/>
    <b v="0"/>
    <m/>
  </r>
  <r>
    <n v="450"/>
    <s v="ORD-2025-0450"/>
    <d v="2025-05-08T00:00:00"/>
    <d v="2025-05-10T00:00:00"/>
    <s v="Standard"/>
    <s v="CUST-0220"/>
    <s v="Priya Nair"/>
    <s v="Small Business"/>
    <s v="Kolkata"/>
    <s v="East"/>
    <x v="1"/>
    <s v="Electric Kettle"/>
    <n v="1"/>
    <n v="0.1"/>
    <x v="449"/>
    <n v="520.34"/>
    <s v="Credit Card"/>
    <b v="0"/>
    <b v="0"/>
    <b v="0"/>
    <m/>
  </r>
  <r>
    <n v="451"/>
    <s v="ORD-2025-0451"/>
    <d v="2025-06-28T00:00:00"/>
    <d v="2025-07-02T00:00:00"/>
    <s v="Express"/>
    <s v="CUST-0011"/>
    <s v="Aarav Sharma"/>
    <s v="Small Business"/>
    <s v="Jaipur"/>
    <s v="North"/>
    <x v="0"/>
    <s v="Desk Organizer"/>
    <n v="4"/>
    <n v="0.2"/>
    <x v="450"/>
    <n v="34.75"/>
    <s v="UPI"/>
    <b v="0"/>
    <b v="0"/>
    <b v="0"/>
    <m/>
  </r>
  <r>
    <n v="452"/>
    <s v="ORD-2025-0452"/>
    <d v="2025-05-03T00:00:00"/>
    <d v="2025-05-04T00:00:00"/>
    <s v="Standard"/>
    <s v="CUST-0129"/>
    <s v="Aditya Kumar"/>
    <s v="Consumer"/>
    <s v="Kolkata"/>
    <s v="East"/>
    <x v="3"/>
    <s v="Keyboard"/>
    <n v="1"/>
    <n v="0.15"/>
    <x v="451"/>
    <n v="160.26"/>
    <s v="UPI"/>
    <b v="0"/>
    <b v="0"/>
    <b v="0"/>
    <m/>
  </r>
  <r>
    <n v="453"/>
    <s v="ORD-2025-0453"/>
    <d v="2025-09-22T00:00:00"/>
    <d v="2025-09-24T00:00:00"/>
    <s v="Same Day"/>
    <s v="CUST-0114"/>
    <s v="Pooja Das"/>
    <s v="Consumer"/>
    <s v="Bhubaneswar"/>
    <s v="East"/>
    <x v="0"/>
    <s v="Pen Set"/>
    <n v="2"/>
    <n v="0.2"/>
    <x v="452"/>
    <n v="4.8499999999999996"/>
    <s v="Net Banking"/>
    <b v="0"/>
    <b v="0"/>
    <b v="0"/>
    <m/>
  </r>
  <r>
    <n v="454"/>
    <s v="ORD-2025-0454"/>
    <d v="2025-07-08T00:00:00"/>
    <d v="2025-07-13T00:00:00"/>
    <s v="Standard"/>
    <s v="CUST-0072"/>
    <s v="Arjun Patel"/>
    <s v="Consumer"/>
    <s v="Chennai"/>
    <s v="South"/>
    <x v="0"/>
    <s v="Notebook"/>
    <n v="2"/>
    <n v="0.05"/>
    <x v="453"/>
    <n v="72.849999999999994"/>
    <s v="Debit Card"/>
    <b v="0"/>
    <b v="0"/>
    <b v="0"/>
    <m/>
  </r>
  <r>
    <n v="455"/>
    <s v="ORD-2025-0455"/>
    <d v="2025-07-27T00:00:00"/>
    <d v="2025-07-30T00:00:00"/>
    <s v="Express"/>
    <s v="CUST-0186"/>
    <s v="Ananya Singh"/>
    <s v="Small Business"/>
    <s v="Chennai"/>
    <s v="South"/>
    <x v="3"/>
    <s v="Power Bank"/>
    <n v="4"/>
    <n v="0.2"/>
    <x v="454"/>
    <n v="57.57"/>
    <s v="Cash"/>
    <b v="0"/>
    <b v="0"/>
    <b v="0"/>
    <m/>
  </r>
  <r>
    <n v="456"/>
    <s v="ORD-2025-0456"/>
    <d v="2025-12-07T00:00:00"/>
    <d v="2025-12-11T00:00:00"/>
    <s v="Express"/>
    <s v="CUST-0093"/>
    <s v="Divya Rao"/>
    <s v="Corporate"/>
    <s v="Ahmedabad"/>
    <s v="West"/>
    <x v="3"/>
    <s v="Power Bank"/>
    <n v="1"/>
    <n v="0"/>
    <x v="455"/>
    <n v="312.04000000000002"/>
    <s v="Debit Card"/>
    <b v="0"/>
    <b v="0"/>
    <b v="0"/>
    <m/>
  </r>
  <r>
    <n v="457"/>
    <s v="ORD-2025-0457"/>
    <d v="2025-11-23T00:00:00"/>
    <d v="2025-11-24T00:00:00"/>
    <s v="Standard"/>
    <s v="CUST-0166"/>
    <s v="Meera Shah"/>
    <s v="Small Business"/>
    <s v="Hyderabad"/>
    <s v="South"/>
    <x v="1"/>
    <s v="Storage Box"/>
    <n v="1"/>
    <n v="0.1"/>
    <x v="456"/>
    <n v="276.11"/>
    <s v="Credit Card"/>
    <b v="0"/>
    <b v="0"/>
    <b v="0"/>
    <m/>
  </r>
  <r>
    <n v="458"/>
    <s v="ORD-2025-0458"/>
    <d v="2025-11-01T00:00:00"/>
    <d v="2025-11-04T00:00:00"/>
    <s v="Express"/>
    <s v="CUST-0042"/>
    <s v="Vikram Rao"/>
    <s v="Corporate"/>
    <s v="Delhi"/>
    <s v="North"/>
    <x v="3"/>
    <s v="Bluetooth Speaker"/>
    <n v="5"/>
    <n v="0.1"/>
    <x v="457"/>
    <n v="1588.82"/>
    <s v="UPI"/>
    <b v="0"/>
    <b v="0"/>
    <b v="0"/>
    <m/>
  </r>
  <r>
    <n v="459"/>
    <s v="ORD-2025-0459"/>
    <d v="2025-03-28T00:00:00"/>
    <d v="2025-03-30T00:00:00"/>
    <s v="Standard"/>
    <s v="CUST-0006"/>
    <s v="Ananya Singh"/>
    <s v="Corporate"/>
    <s v="Jaipur"/>
    <s v="North"/>
    <x v="2"/>
    <s v="Study Table"/>
    <n v="3"/>
    <n v="0.1"/>
    <x v="458"/>
    <n v="4461.76"/>
    <s v="UPI"/>
    <b v="0"/>
    <b v="0"/>
    <b v="0"/>
    <m/>
  </r>
  <r>
    <n v="460"/>
    <s v="ORD-2025-0460"/>
    <d v="2025-01-24T00:00:00"/>
    <d v="2025-01-28T00:00:00"/>
    <s v="Same Day"/>
    <s v="CUST-0116"/>
    <s v="Kiran Joshi"/>
    <s v="Corporate"/>
    <s v="Bhubaneswar"/>
    <s v="East"/>
    <x v="2"/>
    <s v="Study Table"/>
    <n v="3"/>
    <n v="0.1"/>
    <x v="459"/>
    <n v="4825.28"/>
    <s v="UPI"/>
    <b v="0"/>
    <b v="0"/>
    <b v="0"/>
    <m/>
  </r>
  <r>
    <n v="461"/>
    <s v="ORD-2025-0461"/>
    <d v="2025-11-29T00:00:00"/>
    <d v="2025-11-30T00:00:00"/>
    <s v="Same Day"/>
    <s v="CUST-0228"/>
    <s v="Divya Rao"/>
    <s v="Consumer"/>
    <s v="Delhi"/>
    <s v="North"/>
    <x v="2"/>
    <s v="Bookshelf"/>
    <n v="1"/>
    <n v="0.1"/>
    <x v="460"/>
    <n v="239.56"/>
    <s v="Debit Card"/>
    <b v="0"/>
    <b v="0"/>
    <b v="0"/>
    <m/>
  </r>
  <r>
    <n v="462"/>
    <s v="ORD-2025-0462"/>
    <d v="2025-04-25T00:00:00"/>
    <d v="2025-04-29T00:00:00"/>
    <s v="Same Day"/>
    <s v="CUST-0210"/>
    <s v="Priya Nair"/>
    <s v="Consumer"/>
    <s v="Mysuru"/>
    <s v="South"/>
    <x v="3"/>
    <s v="Wireless Mouse"/>
    <n v="2"/>
    <n v="0.15"/>
    <x v="461"/>
    <n v="230.88"/>
    <s v="UPI"/>
    <b v="0"/>
    <b v="0"/>
    <b v="0"/>
    <m/>
  </r>
  <r>
    <n v="463"/>
    <s v="ORD-2025-0463"/>
    <d v="2025-01-26T00:00:00"/>
    <d v="2025-01-27T00:00:00"/>
    <s v="Same Day"/>
    <s v="CUST-0199"/>
    <s v="Sneha Reddy"/>
    <s v="Consumer"/>
    <s v="Ahmedabad"/>
    <s v="West"/>
    <x v="2"/>
    <s v="Bookshelf"/>
    <n v="4"/>
    <n v="0.05"/>
    <x v="462"/>
    <n v="2962.08"/>
    <s v="Debit Card"/>
    <b v="0"/>
    <b v="0"/>
    <b v="0"/>
    <m/>
  </r>
  <r>
    <n v="464"/>
    <s v="ORD-2025-0464"/>
    <d v="2025-10-13T00:00:00"/>
    <d v="2025-10-17T00:00:00"/>
    <s v="Standard"/>
    <s v="CUST-0065"/>
    <s v="Arjun Patel"/>
    <s v="Consumer"/>
    <s v="Bengaluru"/>
    <s v="South"/>
    <x v="3"/>
    <s v="Power Bank"/>
    <n v="2"/>
    <n v="0"/>
    <x v="463"/>
    <n v="775.64"/>
    <s v="UPI"/>
    <b v="0"/>
    <b v="0"/>
    <b v="0"/>
    <m/>
  </r>
  <r>
    <n v="465"/>
    <s v="ORD-2025-0465"/>
    <d v="2025-10-19T00:00:00"/>
    <d v="2025-10-23T00:00:00"/>
    <s v="Express"/>
    <s v="CUST-0022"/>
    <s v="Priya Nair"/>
    <s v="Corporate"/>
    <s v="Mumbai"/>
    <s v="West"/>
    <x v="2"/>
    <s v="Desk Lamp"/>
    <n v="1"/>
    <n v="0"/>
    <x v="464"/>
    <n v="443.39"/>
    <s v="Debit Card"/>
    <b v="0"/>
    <b v="0"/>
    <b v="0"/>
    <m/>
  </r>
  <r>
    <n v="466"/>
    <s v="ORD-2025-0466"/>
    <d v="2025-07-07T00:00:00"/>
    <d v="2025-07-10T00:00:00"/>
    <s v="Standard"/>
    <s v="CUST-0244"/>
    <s v="Divya Rao"/>
    <s v="Corporate"/>
    <s v="Pune"/>
    <s v="West"/>
    <x v="2"/>
    <s v="Folding Chair"/>
    <n v="1"/>
    <n v="0.1"/>
    <x v="465"/>
    <n v="200.75"/>
    <s v="Net Banking"/>
    <b v="0"/>
    <b v="0"/>
    <b v="0"/>
    <m/>
  </r>
  <r>
    <n v="467"/>
    <s v="ORD-2025-0467"/>
    <d v="2025-07-30T00:00:00"/>
    <d v="2025-08-02T00:00:00"/>
    <s v="Express"/>
    <s v="CUST-0135"/>
    <s v="Meera Shah"/>
    <s v="Consumer"/>
    <s v="Chennai"/>
    <s v="South"/>
    <x v="1"/>
    <s v="Coffee Mug"/>
    <n v="3"/>
    <n v="0"/>
    <x v="466"/>
    <n v="308.97000000000003"/>
    <s v="UPI"/>
    <b v="0"/>
    <b v="0"/>
    <b v="0"/>
    <m/>
  </r>
  <r>
    <n v="468"/>
    <s v="ORD-2025-0468"/>
    <d v="2025-12-28T00:00:00"/>
    <d v="2025-12-29T00:00:00"/>
    <s v="Express"/>
    <s v="CUST-0062"/>
    <s v="Ishita Roy"/>
    <s v="Corporate"/>
    <s v="Lucknow"/>
    <s v="North"/>
    <x v="1"/>
    <s v="Coffee Mug"/>
    <n v="4"/>
    <n v="0.25"/>
    <x v="467"/>
    <n v="53.21"/>
    <s v="UPI"/>
    <b v="0"/>
    <b v="0"/>
    <b v="0"/>
    <m/>
  </r>
  <r>
    <n v="469"/>
    <s v="ORD-2025-0469"/>
    <d v="2025-06-21T00:00:00"/>
    <d v="2025-06-24T00:00:00"/>
    <s v="Standard"/>
    <s v="CUST-0064"/>
    <s v="Ananya Singh"/>
    <s v="Consumer"/>
    <s v="Hyderabad"/>
    <s v="South"/>
    <x v="2"/>
    <s v="Folding Chair"/>
    <n v="2"/>
    <n v="0"/>
    <x v="468"/>
    <n v="1130.45"/>
    <s v="Net Banking"/>
    <b v="0"/>
    <b v="0"/>
    <b v="0"/>
    <m/>
  </r>
  <r>
    <n v="470"/>
    <s v="ORD-2025-0470"/>
    <d v="2025-12-19T00:00:00"/>
    <d v="2025-12-23T00:00:00"/>
    <s v="Express"/>
    <s v="CUST-0133"/>
    <s v="Arjun Patel"/>
    <s v="Small Business"/>
    <s v="Jaipur"/>
    <s v="North"/>
    <x v="3"/>
    <s v="Keyboard"/>
    <n v="3"/>
    <n v="0"/>
    <x v="469"/>
    <n v="1312.85"/>
    <s v="Net Banking"/>
    <b v="0"/>
    <b v="0"/>
    <b v="0"/>
    <m/>
  </r>
  <r>
    <n v="471"/>
    <s v="ORD-2025-0471"/>
    <d v="2025-07-04T00:00:00"/>
    <d v="2025-07-09T00:00:00"/>
    <s v="Same Day"/>
    <s v="CUST-0174"/>
    <s v="Sneha Reddy"/>
    <s v="Consumer"/>
    <s v="Mysuru"/>
    <s v="South"/>
    <x v="3"/>
    <s v="Bluetooth Speaker"/>
    <n v="1"/>
    <n v="0.2"/>
    <x v="470"/>
    <n v="149.31"/>
    <s v="UPI"/>
    <b v="0"/>
    <b v="0"/>
    <b v="0"/>
    <m/>
  </r>
  <r>
    <n v="472"/>
    <s v="ORD-2025-0472"/>
    <d v="2025-03-05T00:00:00"/>
    <d v="2025-03-09T00:00:00"/>
    <s v="Standard"/>
    <s v="CUST-0069"/>
    <s v="Neha Gupta"/>
    <s v="Corporate"/>
    <s v="Mysuru"/>
    <s v="South"/>
    <x v="1"/>
    <s v="Water Bottle"/>
    <n v="1"/>
    <n v="0"/>
    <x v="471"/>
    <n v="179.6"/>
    <s v="Debit Card"/>
    <b v="0"/>
    <b v="0"/>
    <b v="0"/>
    <m/>
  </r>
  <r>
    <n v="473"/>
    <s v="ORD-2025-0473"/>
    <d v="2025-02-24T00:00:00"/>
    <d v="2025-02-27T00:00:00"/>
    <s v="Express"/>
    <s v="CUST-0053"/>
    <s v="Ananya Singh"/>
    <s v="Corporate"/>
    <s v="Mysuru"/>
    <s v="South"/>
    <x v="3"/>
    <s v="Wireless Mouse"/>
    <n v="2"/>
    <n v="0"/>
    <x v="472"/>
    <n v="534.88"/>
    <s v="Credit Card"/>
    <b v="0"/>
    <b v="0"/>
    <b v="0"/>
    <m/>
  </r>
  <r>
    <n v="474"/>
    <s v="ORD-2025-0474"/>
    <d v="2025-05-26T00:00:00"/>
    <d v="2025-05-31T00:00:00"/>
    <s v="Express"/>
    <s v="CUST-0181"/>
    <s v="Ishita Roy"/>
    <s v="Consumer"/>
    <s v="Hyderabad"/>
    <s v="South"/>
    <x v="1"/>
    <s v="Water Bottle"/>
    <n v="2"/>
    <n v="0.1"/>
    <x v="473"/>
    <n v="285.08"/>
    <s v="UPI"/>
    <b v="0"/>
    <b v="0"/>
    <b v="0"/>
    <m/>
  </r>
  <r>
    <n v="475"/>
    <s v="ORD-2025-0475"/>
    <d v="2025-10-08T00:00:00"/>
    <d v="2025-10-11T00:00:00"/>
    <s v="Standard"/>
    <s v="CUST-0215"/>
    <s v="Kavya Iyer"/>
    <s v="Corporate"/>
    <s v="Jaipur"/>
    <s v="North"/>
    <x v="2"/>
    <s v="Study Table"/>
    <n v="5"/>
    <n v="0"/>
    <x v="474"/>
    <n v="7636.08"/>
    <s v="Credit Card"/>
    <b v="0"/>
    <b v="0"/>
    <b v="0"/>
    <m/>
  </r>
  <r>
    <n v="476"/>
    <s v="ORD-2025-0476"/>
    <d v="2025-10-16T00:00:00"/>
    <d v="2025-10-19T00:00:00"/>
    <s v="Same Day"/>
    <s v="CUST-0135"/>
    <s v="Pooja Das"/>
    <s v="Consumer"/>
    <s v="Lucknow"/>
    <s v="North"/>
    <x v="0"/>
    <s v="Pen Set"/>
    <n v="3"/>
    <n v="0.15"/>
    <x v="475"/>
    <n v="74.989999999999995"/>
    <s v="Credit Card"/>
    <b v="0"/>
    <b v="0"/>
    <b v="0"/>
    <m/>
  </r>
  <r>
    <n v="477"/>
    <s v="ORD-2025-0477"/>
    <d v="2025-06-10T00:00:00"/>
    <d v="2025-06-13T00:00:00"/>
    <s v="Standard"/>
    <s v="CUST-0030"/>
    <s v="Divya Rao"/>
    <s v="Corporate"/>
    <s v="Lucknow"/>
    <s v="North"/>
    <x v="3"/>
    <s v="Wireless Mouse"/>
    <n v="2"/>
    <n v="0.15"/>
    <x v="476"/>
    <n v="204.56"/>
    <s v="Credit Card"/>
    <b v="0"/>
    <b v="0"/>
    <b v="0"/>
    <m/>
  </r>
  <r>
    <n v="478"/>
    <s v="ORD-2025-0478"/>
    <d v="2025-02-19T00:00:00"/>
    <d v="2025-02-21T00:00:00"/>
    <s v="Standard"/>
    <s v="CUST-0074"/>
    <s v="Nikhil Jain"/>
    <s v="Consumer"/>
    <s v="Pune"/>
    <s v="West"/>
    <x v="0"/>
    <s v="Notebook"/>
    <n v="1"/>
    <n v="0.2"/>
    <x v="477"/>
    <n v="14.45"/>
    <s v="UPI"/>
    <b v="0"/>
    <b v="0"/>
    <b v="0"/>
    <m/>
  </r>
  <r>
    <n v="479"/>
    <s v="ORD-2025-0479"/>
    <d v="2025-02-20T00:00:00"/>
    <d v="2025-02-22T00:00:00"/>
    <s v="Standard"/>
    <s v="CUST-0183"/>
    <s v="Rohan Mehta"/>
    <s v="Consumer"/>
    <s v="Ahmedabad"/>
    <s v="West"/>
    <x v="1"/>
    <s v="Coffee Mug"/>
    <n v="4"/>
    <n v="0.1"/>
    <x v="478"/>
    <n v="271.44"/>
    <s v="Credit Card"/>
    <b v="0"/>
    <b v="0"/>
    <b v="0"/>
    <m/>
  </r>
  <r>
    <n v="480"/>
    <s v="ORD-2025-0480"/>
    <d v="2025-04-30T00:00:00"/>
    <d v="2025-05-03T00:00:00"/>
    <s v="Standard"/>
    <s v="CUST-0067"/>
    <s v="Ishita Roy"/>
    <s v="Small Business"/>
    <s v="Lucknow"/>
    <s v="North"/>
    <x v="1"/>
    <s v="Lunch Box"/>
    <n v="2"/>
    <n v="0.1"/>
    <x v="479"/>
    <n v="332.58"/>
    <s v="UPI"/>
    <b v="0"/>
    <b v="0"/>
    <b v="0"/>
    <m/>
  </r>
  <r>
    <n v="481"/>
    <s v="ORD-2025-0481"/>
    <d v="2025-04-01T00:00:00"/>
    <d v="2025-04-05T00:00:00"/>
    <s v="Standard"/>
    <s v="CUST-0130"/>
    <s v="Arjun Patel"/>
    <s v="Consumer"/>
    <s v="Jaipur"/>
    <s v="North"/>
    <x v="2"/>
    <s v="Bookshelf"/>
    <n v="3"/>
    <n v="0.15"/>
    <x v="480"/>
    <n v="844.91"/>
    <s v="Net Banking"/>
    <b v="0"/>
    <b v="0"/>
    <b v="0"/>
    <m/>
  </r>
  <r>
    <n v="482"/>
    <s v="ORD-2025-0482"/>
    <d v="2025-05-23T00:00:00"/>
    <d v="2025-05-27T00:00:00"/>
    <s v="Standard"/>
    <s v="CUST-0177"/>
    <s v="Manish Yadav"/>
    <s v="Consumer"/>
    <s v="Kolkata"/>
    <s v="East"/>
    <x v="0"/>
    <s v="File Folder"/>
    <n v="3"/>
    <n v="0"/>
    <x v="481"/>
    <n v="44.73"/>
    <s v="UPI"/>
    <b v="0"/>
    <b v="0"/>
    <b v="0"/>
    <m/>
  </r>
  <r>
    <n v="483"/>
    <s v="ORD-2025-0483"/>
    <d v="2025-11-30T00:00:00"/>
    <d v="2025-12-01T00:00:00"/>
    <s v="Express"/>
    <s v="CUST-0146"/>
    <s v="Rohan Mehta"/>
    <s v="Corporate"/>
    <s v="Delhi"/>
    <s v="North"/>
    <x v="2"/>
    <s v="Bookshelf"/>
    <n v="1"/>
    <n v="0"/>
    <x v="482"/>
    <n v="1420.31"/>
    <s v="UPI"/>
    <b v="0"/>
    <b v="0"/>
    <b v="0"/>
    <m/>
  </r>
  <r>
    <n v="484"/>
    <s v="ORD-2025-0484"/>
    <d v="2025-02-13T00:00:00"/>
    <d v="2025-02-17T00:00:00"/>
    <s v="Express"/>
    <s v="CUST-0250"/>
    <s v="Shreya Kapoor"/>
    <s v="Consumer"/>
    <s v="Lucknow"/>
    <s v="North"/>
    <x v="3"/>
    <s v="Bluetooth Speaker"/>
    <n v="1"/>
    <n v="0.1"/>
    <x v="483"/>
    <n v="204.69"/>
    <s v="Cash"/>
    <b v="0"/>
    <b v="0"/>
    <b v="0"/>
    <m/>
  </r>
  <r>
    <n v="485"/>
    <s v="ORD-2025-0485"/>
    <d v="2025-12-13T00:00:00"/>
    <d v="2025-12-14T00:00:00"/>
    <s v="Standard"/>
    <s v="CUST-0174"/>
    <s v="Arjun Patel"/>
    <s v="Small Business"/>
    <s v="Jaipur"/>
    <s v="North"/>
    <x v="3"/>
    <s v="Power Bank"/>
    <n v="4"/>
    <n v="0"/>
    <x v="484"/>
    <n v="837.93"/>
    <s v="Credit Card"/>
    <b v="0"/>
    <b v="0"/>
    <b v="0"/>
    <m/>
  </r>
  <r>
    <n v="486"/>
    <s v="ORD-2025-0486"/>
    <d v="2025-01-02T00:00:00"/>
    <d v="2025-01-07T00:00:00"/>
    <s v="Standard"/>
    <s v="CUST-0093"/>
    <s v="Shreya Kapoor"/>
    <s v="Consumer"/>
    <s v="Mysuru"/>
    <s v="South"/>
    <x v="0"/>
    <s v="Notebook"/>
    <n v="3"/>
    <n v="0"/>
    <x v="485"/>
    <n v="221.19"/>
    <s v="UPI"/>
    <b v="0"/>
    <b v="0"/>
    <b v="0"/>
    <m/>
  </r>
  <r>
    <n v="487"/>
    <s v="ORD-2025-0487"/>
    <d v="2025-11-19T00:00:00"/>
    <d v="2025-11-20T00:00:00"/>
    <s v="Standard"/>
    <s v="CUST-0048"/>
    <s v="Manish Yadav"/>
    <s v="Corporate"/>
    <s v="Jaipur"/>
    <s v="North"/>
    <x v="2"/>
    <s v="Study Table"/>
    <n v="3"/>
    <n v="0.1"/>
    <x v="486"/>
    <n v="2336.94"/>
    <s v="Debit Card"/>
    <b v="0"/>
    <b v="0"/>
    <b v="0"/>
    <m/>
  </r>
  <r>
    <n v="488"/>
    <s v="ORD-2025-0488"/>
    <d v="2025-11-05T00:00:00"/>
    <d v="2025-11-09T00:00:00"/>
    <s v="Express"/>
    <s v="CUST-0200"/>
    <s v="Ishita Roy"/>
    <s v="Corporate"/>
    <s v="Jaipur"/>
    <s v="North"/>
    <x v="2"/>
    <s v="Folding Chair"/>
    <n v="3"/>
    <n v="0.2"/>
    <x v="487"/>
    <n v="481.19"/>
    <s v="Cash"/>
    <b v="0"/>
    <b v="0"/>
    <b v="0"/>
    <m/>
  </r>
  <r>
    <n v="489"/>
    <s v="ORD-2025-0489"/>
    <d v="2025-09-11T00:00:00"/>
    <d v="2025-09-15T00:00:00"/>
    <s v="Standard"/>
    <s v="CUST-0077"/>
    <s v="Ishita Roy"/>
    <s v="Corporate"/>
    <s v="Lucknow"/>
    <s v="North"/>
    <x v="3"/>
    <s v="Power Bank"/>
    <n v="4"/>
    <n v="0"/>
    <x v="488"/>
    <n v="953.88"/>
    <s v="UPI"/>
    <b v="0"/>
    <b v="0"/>
    <b v="0"/>
    <m/>
  </r>
  <r>
    <n v="490"/>
    <s v="ORD-2025-0490"/>
    <d v="2025-09-20T00:00:00"/>
    <d v="2025-09-24T00:00:00"/>
    <s v="Standard"/>
    <s v="CUST-0218"/>
    <s v="Ishita Roy"/>
    <s v="Consumer"/>
    <s v="Lucknow"/>
    <s v="North"/>
    <x v="3"/>
    <s v="Wireless Mouse"/>
    <n v="4"/>
    <n v="0"/>
    <x v="489"/>
    <n v="1163.1400000000001"/>
    <s v="Cash"/>
    <b v="0"/>
    <b v="0"/>
    <b v="0"/>
    <m/>
  </r>
  <r>
    <n v="491"/>
    <s v="ORD-2025-0491"/>
    <d v="2025-07-05T00:00:00"/>
    <d v="2025-07-10T00:00:00"/>
    <s v="Standard"/>
    <s v="CUST-0077"/>
    <s v="Ishita Roy"/>
    <s v="Consumer"/>
    <s v="Jaipur"/>
    <s v="North"/>
    <x v="2"/>
    <s v="Office Chair"/>
    <n v="1"/>
    <n v="0.1"/>
    <x v="490"/>
    <n v="554.5"/>
    <s v="Cash"/>
    <b v="0"/>
    <b v="0"/>
    <b v="0"/>
    <m/>
  </r>
  <r>
    <n v="492"/>
    <s v="ORD-2025-0492"/>
    <d v="2025-01-17T00:00:00"/>
    <d v="2025-01-20T00:00:00"/>
    <s v="Standard"/>
    <s v="CUST-0084"/>
    <s v="Sneha Reddy"/>
    <s v="Small Business"/>
    <s v="Jaipur"/>
    <s v="North"/>
    <x v="1"/>
    <s v="Coffee Mug"/>
    <n v="1"/>
    <n v="0.1"/>
    <x v="491"/>
    <n v="29.2"/>
    <s v="Debit Card"/>
    <b v="0"/>
    <b v="0"/>
    <b v="0"/>
    <m/>
  </r>
  <r>
    <n v="493"/>
    <s v="ORD-2025-0493"/>
    <d v="2025-01-16T00:00:00"/>
    <d v="2025-01-20T00:00:00"/>
    <s v="Standard"/>
    <s v="CUST-0240"/>
    <s v="Nikhil Jain"/>
    <s v="Consumer"/>
    <s v="Bengaluru"/>
    <s v="South"/>
    <x v="3"/>
    <s v="Keyboard"/>
    <n v="1"/>
    <n v="0.05"/>
    <x v="492"/>
    <n v="229.12"/>
    <s v="Credit Card"/>
    <b v="0"/>
    <b v="0"/>
    <b v="0"/>
    <m/>
  </r>
  <r>
    <n v="494"/>
    <s v="ORD-2025-0494"/>
    <d v="2025-09-16T00:00:00"/>
    <d v="2025-09-20T00:00:00"/>
    <s v="Standard"/>
    <s v="CUST-0198"/>
    <s v="Kiran Joshi"/>
    <s v="Corporate"/>
    <s v="Mysuru"/>
    <s v="South"/>
    <x v="3"/>
    <s v="Wireless Mouse"/>
    <n v="1"/>
    <n v="0.15"/>
    <x v="493"/>
    <n v="148.38"/>
    <s v="UPI"/>
    <b v="0"/>
    <b v="0"/>
    <b v="0"/>
    <m/>
  </r>
  <r>
    <n v="495"/>
    <s v="ORD-2025-0495"/>
    <d v="2025-01-31T00:00:00"/>
    <d v="2025-02-03T00:00:00"/>
    <s v="Standard"/>
    <s v="CUST-0232"/>
    <s v="Sneha Reddy"/>
    <s v="Consumer"/>
    <s v="Pune"/>
    <s v="West"/>
    <x v="1"/>
    <s v="Coffee Mug"/>
    <n v="1"/>
    <n v="0.2"/>
    <x v="494"/>
    <n v="55.96"/>
    <s v="UPI"/>
    <b v="0"/>
    <b v="0"/>
    <b v="0"/>
    <m/>
  </r>
  <r>
    <n v="496"/>
    <s v="ORD-2025-0496"/>
    <d v="2025-02-06T00:00:00"/>
    <d v="2025-02-08T00:00:00"/>
    <s v="Standard"/>
    <s v="CUST-0182"/>
    <s v="Neha Gupta"/>
    <s v="Consumer"/>
    <s v="Jaipur"/>
    <s v="North"/>
    <x v="1"/>
    <s v="Lunch Box"/>
    <n v="1"/>
    <n v="0"/>
    <x v="495"/>
    <n v="201.76"/>
    <s v="UPI"/>
    <b v="0"/>
    <b v="0"/>
    <b v="0"/>
    <m/>
  </r>
  <r>
    <n v="497"/>
    <s v="ORD-2025-0497"/>
    <d v="2025-04-10T00:00:00"/>
    <d v="2025-04-13T00:00:00"/>
    <s v="Standard"/>
    <s v="CUST-0207"/>
    <s v="Ishita Roy"/>
    <s v="Consumer"/>
    <s v="Kolkata"/>
    <s v="East"/>
    <x v="3"/>
    <s v="Bluetooth Speaker"/>
    <n v="3"/>
    <n v="0.15"/>
    <x v="496"/>
    <n v="817.08"/>
    <s v="UPI"/>
    <b v="0"/>
    <b v="0"/>
    <b v="0"/>
    <m/>
  </r>
  <r>
    <n v="498"/>
    <s v="ORD-2025-0498"/>
    <d v="2025-02-28T00:00:00"/>
    <d v="2025-03-02T00:00:00"/>
    <s v="Same Day"/>
    <s v="CUST-0136"/>
    <s v="Aditya Kumar"/>
    <s v="Corporate"/>
    <s v="Hyderabad"/>
    <s v="South"/>
    <x v="2"/>
    <s v="Desk Lamp"/>
    <n v="3"/>
    <n v="0"/>
    <x v="497"/>
    <n v="1126.31"/>
    <s v="UPI"/>
    <b v="0"/>
    <b v="0"/>
    <b v="0"/>
    <m/>
  </r>
  <r>
    <n v="499"/>
    <s v="ORD-2025-0499"/>
    <d v="2025-12-30T00:00:00"/>
    <d v="2026-01-03T00:00:00"/>
    <s v="Standard"/>
    <s v="CUST-0075"/>
    <s v="Vikram Rao"/>
    <s v="Consumer"/>
    <s v="Chennai"/>
    <s v="South"/>
    <x v="0"/>
    <s v="Pen Set"/>
    <n v="5"/>
    <n v="0"/>
    <x v="498"/>
    <n v="121.43"/>
    <s v="Debit Card"/>
    <b v="0"/>
    <b v="0"/>
    <b v="0"/>
    <m/>
  </r>
  <r>
    <n v="500"/>
    <s v="ORD-2025-0500"/>
    <d v="2025-05-31T00:00:00"/>
    <d v="2025-06-05T00:00:00"/>
    <s v="Standard"/>
    <s v="CUST-0121"/>
    <s v="Manish Yadav"/>
    <s v="Corporate"/>
    <s v="Bhubaneswar"/>
    <s v="East"/>
    <x v="1"/>
    <s v="Electric Kettle"/>
    <n v="4"/>
    <n v="0"/>
    <x v="499"/>
    <n v="2925.46"/>
    <s v="Debit Card"/>
    <b v="0"/>
    <b v="0"/>
    <b v="0"/>
    <m/>
  </r>
  <r>
    <n v="501"/>
    <s v="ORD-2025-0501"/>
    <d v="2025-08-14T00:00:00"/>
    <d v="2025-08-17T00:00:00"/>
    <s v="Standard"/>
    <s v="CUST-0143"/>
    <s v="Nikhil Jain"/>
    <s v="Consumer"/>
    <s v="Bengaluru"/>
    <s v="South"/>
    <x v="0"/>
    <s v="Desk Organizer"/>
    <n v="1"/>
    <n v="0.2"/>
    <x v="500"/>
    <n v="43.32"/>
    <s v="UPI"/>
    <b v="0"/>
    <b v="0"/>
    <b v="0"/>
    <m/>
  </r>
  <r>
    <n v="502"/>
    <s v="ORD-2025-0502"/>
    <d v="2025-12-04T00:00:00"/>
    <d v="2025-12-09T00:00:00"/>
    <s v="Same Day"/>
    <s v="CUST-0207"/>
    <s v="Aditya Kumar"/>
    <s v="Corporate"/>
    <s v="Pune"/>
    <s v="West"/>
    <x v="0"/>
    <s v="Notebook"/>
    <n v="1"/>
    <n v="0"/>
    <x v="501"/>
    <n v="54.06"/>
    <s v="UPI"/>
    <b v="0"/>
    <b v="0"/>
    <b v="0"/>
    <m/>
  </r>
  <r>
    <n v="503"/>
    <s v="ORD-2025-0503"/>
    <d v="2025-07-18T00:00:00"/>
    <d v="2025-07-23T00:00:00"/>
    <s v="Standard"/>
    <s v="CUST-0093"/>
    <s v="Neha Gupta"/>
    <s v="Consumer"/>
    <s v="Jaipur"/>
    <s v="North"/>
    <x v="1"/>
    <s v="Storage Box"/>
    <n v="5"/>
    <n v="0.1"/>
    <x v="502"/>
    <n v="843.95"/>
    <s v="UPI"/>
    <b v="0"/>
    <b v="0"/>
    <b v="0"/>
    <m/>
  </r>
  <r>
    <n v="504"/>
    <s v="ORD-2025-0504"/>
    <d v="2025-04-10T00:00:00"/>
    <d v="2025-04-15T00:00:00"/>
    <s v="Standard"/>
    <s v="CUST-0063"/>
    <s v="Sanjay Menon"/>
    <s v="Consumer"/>
    <s v="Pune"/>
    <s v="West"/>
    <x v="0"/>
    <s v="Pen Set"/>
    <n v="1"/>
    <n v="0.1"/>
    <x v="503"/>
    <n v="22.9"/>
    <s v="Debit Card"/>
    <b v="0"/>
    <b v="0"/>
    <b v="0"/>
    <m/>
  </r>
  <r>
    <n v="505"/>
    <s v="ORD-2025-0505"/>
    <d v="2025-02-22T00:00:00"/>
    <d v="2025-02-24T00:00:00"/>
    <s v="Standard"/>
    <s v="CUST-0153"/>
    <s v="Vikram Rao"/>
    <s v="Consumer"/>
    <s v="Ahmedabad"/>
    <s v="West"/>
    <x v="0"/>
    <s v="File Folder"/>
    <n v="2"/>
    <n v="0"/>
    <x v="504"/>
    <n v="74.08"/>
    <s v="UPI"/>
    <b v="0"/>
    <b v="0"/>
    <b v="0"/>
    <m/>
  </r>
  <r>
    <n v="506"/>
    <s v="ORD-2025-0506"/>
    <d v="2025-12-26T00:00:00"/>
    <d v="2025-12-29T00:00:00"/>
    <s v="Standard"/>
    <s v="CUST-0034"/>
    <s v="Neha Gupta"/>
    <s v="Corporate"/>
    <s v="Lucknow"/>
    <s v="North"/>
    <x v="0"/>
    <s v="Pen Set"/>
    <n v="4"/>
    <n v="0.1"/>
    <x v="505"/>
    <n v="65.760000000000005"/>
    <s v="Credit Card"/>
    <b v="0"/>
    <b v="0"/>
    <b v="0"/>
    <m/>
  </r>
  <r>
    <n v="507"/>
    <s v="ORD-2025-0507"/>
    <d v="2025-10-08T00:00:00"/>
    <d v="2025-10-11T00:00:00"/>
    <s v="Standard"/>
    <s v="CUST-0074"/>
    <s v="Sneha Reddy"/>
    <s v="Consumer"/>
    <s v="Lucknow"/>
    <s v="North"/>
    <x v="0"/>
    <s v="Notebook"/>
    <n v="1"/>
    <n v="0"/>
    <x v="506"/>
    <n v="65.11"/>
    <s v="Debit Card"/>
    <b v="0"/>
    <b v="0"/>
    <b v="0"/>
    <m/>
  </r>
  <r>
    <n v="508"/>
    <s v="ORD-2025-0508"/>
    <d v="2025-12-23T00:00:00"/>
    <d v="2025-12-24T00:00:00"/>
    <s v="Standard"/>
    <s v="CUST-0006"/>
    <s v="Aditya Kumar"/>
    <s v="Consumer"/>
    <s v="Lucknow"/>
    <s v="North"/>
    <x v="2"/>
    <s v="Office Chair"/>
    <n v="2"/>
    <n v="0.1"/>
    <x v="507"/>
    <n v="1055.57"/>
    <s v="Net Banking"/>
    <b v="0"/>
    <b v="0"/>
    <b v="0"/>
    <m/>
  </r>
  <r>
    <n v="509"/>
    <s v="ORD-2025-0509"/>
    <d v="2025-07-21T00:00:00"/>
    <d v="2025-07-23T00:00:00"/>
    <s v="Express"/>
    <s v="CUST-0097"/>
    <s v="Sanjay Menon"/>
    <s v="Small Business"/>
    <s v="Jaipur"/>
    <s v="North"/>
    <x v="1"/>
    <s v="Coffee Mug"/>
    <n v="3"/>
    <n v="0.1"/>
    <x v="508"/>
    <n v="149.38"/>
    <s v="Credit Card"/>
    <b v="0"/>
    <b v="0"/>
    <b v="0"/>
    <m/>
  </r>
  <r>
    <n v="510"/>
    <s v="ORD-2025-0510"/>
    <d v="2025-02-09T00:00:00"/>
    <d v="2025-02-14T00:00:00"/>
    <s v="Standard"/>
    <s v="CUST-0137"/>
    <s v="Rahul Verma"/>
    <s v="Small Business"/>
    <s v="Bengaluru"/>
    <s v="South"/>
    <x v="1"/>
    <s v="Lunch Box"/>
    <n v="3"/>
    <n v="0"/>
    <x v="509"/>
    <n v="488.93"/>
    <s v="Debit Card"/>
    <b v="0"/>
    <b v="0"/>
    <b v="0"/>
    <m/>
  </r>
  <r>
    <n v="511"/>
    <s v="ORD-2025-0511"/>
    <d v="2025-06-01T00:00:00"/>
    <d v="2025-06-03T00:00:00"/>
    <s v="Standard"/>
    <s v="CUST-0235"/>
    <s v="Rahul Verma"/>
    <s v="Corporate"/>
    <s v="Jaipur"/>
    <s v="North"/>
    <x v="1"/>
    <s v="Coffee Mug"/>
    <n v="1"/>
    <n v="0.15"/>
    <x v="510"/>
    <n v="17.16"/>
    <s v="UPI"/>
    <b v="0"/>
    <b v="0"/>
    <b v="0"/>
    <m/>
  </r>
  <r>
    <n v="512"/>
    <s v="ORD-2025-0512"/>
    <d v="2025-08-24T00:00:00"/>
    <d v="2025-08-25T00:00:00"/>
    <s v="Express"/>
    <s v="CUST-0221"/>
    <s v="Rohan Mehta"/>
    <s v="Consumer"/>
    <s v="Bhubaneswar"/>
    <s v="East"/>
    <x v="0"/>
    <s v="Desk Organizer"/>
    <n v="2"/>
    <n v="0.1"/>
    <x v="511"/>
    <n v="196.39"/>
    <s v="UPI"/>
    <b v="0"/>
    <b v="0"/>
    <b v="0"/>
    <m/>
  </r>
  <r>
    <n v="513"/>
    <s v="ORD-2025-0513"/>
    <d v="2025-04-25T00:00:00"/>
    <d v="2025-04-26T00:00:00"/>
    <s v="Standard"/>
    <s v="CUST-0136"/>
    <s v="Neha Gupta"/>
    <s v="Corporate"/>
    <s v="Mumbai"/>
    <s v="West"/>
    <x v="2"/>
    <s v="Study Table"/>
    <n v="1"/>
    <n v="0.15"/>
    <x v="512"/>
    <n v="1419.08"/>
    <s v="UPI"/>
    <b v="0"/>
    <b v="0"/>
    <b v="0"/>
    <m/>
  </r>
  <r>
    <n v="514"/>
    <s v="ORD-2025-0514"/>
    <d v="2025-04-28T00:00:00"/>
    <d v="2025-05-02T00:00:00"/>
    <s v="Express"/>
    <s v="CUST-0104"/>
    <s v="Aarav Sharma"/>
    <s v="Consumer"/>
    <s v="Jaipur"/>
    <s v="North"/>
    <x v="2"/>
    <s v="Study Table"/>
    <n v="1"/>
    <n v="0.25"/>
    <x v="513"/>
    <n v="574.11"/>
    <s v="Credit Card"/>
    <b v="0"/>
    <b v="0"/>
    <b v="0"/>
    <m/>
  </r>
  <r>
    <n v="515"/>
    <s v="ORD-2025-0515"/>
    <d v="2025-07-15T00:00:00"/>
    <d v="2025-07-19T00:00:00"/>
    <s v="Same Day"/>
    <s v="CUST-0225"/>
    <s v="Vikram Rao"/>
    <s v="Consumer"/>
    <s v="Hyderabad"/>
    <s v="South"/>
    <x v="3"/>
    <s v="Bluetooth Speaker"/>
    <n v="3"/>
    <n v="0.2"/>
    <x v="514"/>
    <n v="519.07000000000005"/>
    <s v="UPI"/>
    <b v="0"/>
    <b v="0"/>
    <b v="0"/>
    <m/>
  </r>
  <r>
    <n v="516"/>
    <s v="ORD-2025-0516"/>
    <d v="2025-11-29T00:00:00"/>
    <d v="2025-12-03T00:00:00"/>
    <s v="Standard"/>
    <s v="CUST-0159"/>
    <s v="Ishita Roy"/>
    <s v="Corporate"/>
    <s v="Lucknow"/>
    <s v="North"/>
    <x v="2"/>
    <s v="Study Table"/>
    <n v="2"/>
    <n v="0.1"/>
    <x v="515"/>
    <n v="1821.97"/>
    <s v="UPI"/>
    <b v="0"/>
    <b v="0"/>
    <b v="0"/>
    <m/>
  </r>
  <r>
    <n v="517"/>
    <s v="ORD-2025-0517"/>
    <d v="2025-01-23T00:00:00"/>
    <d v="2025-01-26T00:00:00"/>
    <s v="Standard"/>
    <s v="CUST-0229"/>
    <s v="Divya Rao"/>
    <s v="Consumer"/>
    <s v="Hyderabad"/>
    <s v="South"/>
    <x v="3"/>
    <s v="Wireless Mouse"/>
    <n v="4"/>
    <n v="0.1"/>
    <x v="516"/>
    <n v="443.28"/>
    <s v="UPI"/>
    <b v="0"/>
    <b v="0"/>
    <b v="0"/>
    <m/>
  </r>
  <r>
    <n v="518"/>
    <s v="ORD-2025-0518"/>
    <d v="2025-11-23T00:00:00"/>
    <d v="2025-11-26T00:00:00"/>
    <s v="Express"/>
    <s v="CUST-0086"/>
    <s v="Kavya Iyer"/>
    <s v="Consumer"/>
    <s v="Jaipur"/>
    <s v="North"/>
    <x v="3"/>
    <s v="Bluetooth Speaker"/>
    <n v="2"/>
    <n v="0.2"/>
    <x v="517"/>
    <n v="630.94000000000005"/>
    <s v="Debit Card"/>
    <b v="0"/>
    <b v="0"/>
    <b v="0"/>
    <m/>
  </r>
  <r>
    <n v="519"/>
    <s v="ORD-2025-0519"/>
    <d v="2025-08-28T00:00:00"/>
    <d v="2025-09-01T00:00:00"/>
    <s v="Express"/>
    <s v="CUST-0221"/>
    <s v="Ishita Roy"/>
    <s v="Small Business"/>
    <s v="Bhubaneswar"/>
    <s v="East"/>
    <x v="2"/>
    <s v="Study Table"/>
    <n v="1"/>
    <n v="0.1"/>
    <x v="518"/>
    <n v="1226.81"/>
    <s v="UPI"/>
    <b v="0"/>
    <b v="0"/>
    <b v="0"/>
    <m/>
  </r>
  <r>
    <n v="520"/>
    <s v="ORD-2025-0520"/>
    <d v="2025-11-28T00:00:00"/>
    <d v="2025-11-29T00:00:00"/>
    <s v="Express"/>
    <s v="CUST-0096"/>
    <s v="Vikram Rao"/>
    <s v="Corporate"/>
    <s v="Jaipur"/>
    <s v="North"/>
    <x v="1"/>
    <s v="Electric Kettle"/>
    <n v="3"/>
    <n v="0"/>
    <x v="519"/>
    <n v="1513.1"/>
    <s v="Credit Card"/>
    <b v="0"/>
    <b v="0"/>
    <b v="0"/>
    <m/>
  </r>
  <r>
    <n v="521"/>
    <s v="ORD-2025-0521"/>
    <d v="2025-07-01T00:00:00"/>
    <d v="2025-07-02T00:00:00"/>
    <s v="Express"/>
    <s v="CUST-0096"/>
    <s v="Shreya Kapoor"/>
    <s v="Corporate"/>
    <s v="Hyderabad"/>
    <s v="South"/>
    <x v="1"/>
    <s v="Lunch Box"/>
    <n v="1"/>
    <n v="0.05"/>
    <x v="520"/>
    <n v="75.42"/>
    <s v="Net Banking"/>
    <b v="0"/>
    <b v="0"/>
    <b v="0"/>
    <m/>
  </r>
  <r>
    <n v="522"/>
    <s v="ORD-2025-0522"/>
    <d v="2025-05-13T00:00:00"/>
    <d v="2025-05-14T00:00:00"/>
    <s v="Express"/>
    <s v="CUST-0022"/>
    <s v="Kavya Iyer"/>
    <s v="Corporate"/>
    <s v="Mumbai"/>
    <s v="West"/>
    <x v="1"/>
    <s v="Storage Box"/>
    <n v="3"/>
    <n v="0.1"/>
    <x v="521"/>
    <n v="393.93"/>
    <s v="UPI"/>
    <b v="0"/>
    <b v="0"/>
    <b v="0"/>
    <m/>
  </r>
  <r>
    <n v="523"/>
    <s v="ORD-2025-0523"/>
    <d v="2025-10-14T00:00:00"/>
    <d v="2025-10-18T00:00:00"/>
    <s v="Express"/>
    <s v="CUST-0113"/>
    <s v="Meera Shah"/>
    <s v="Corporate"/>
    <s v="Mysuru"/>
    <s v="South"/>
    <x v="2"/>
    <s v="Study Table"/>
    <n v="5"/>
    <n v="0.1"/>
    <x v="522"/>
    <n v="4074.56"/>
    <s v="UPI"/>
    <b v="0"/>
    <b v="0"/>
    <b v="0"/>
    <m/>
  </r>
  <r>
    <n v="524"/>
    <s v="ORD-2025-0524"/>
    <d v="2025-05-08T00:00:00"/>
    <d v="2025-05-12T00:00:00"/>
    <s v="Standard"/>
    <s v="CUST-0146"/>
    <s v="Kiran Joshi"/>
    <s v="Consumer"/>
    <s v="Pune"/>
    <s v="West"/>
    <x v="2"/>
    <s v="Bookshelf"/>
    <n v="3"/>
    <n v="0.25"/>
    <x v="523"/>
    <n v="-426.33"/>
    <s v="UPI"/>
    <b v="0"/>
    <b v="0"/>
    <b v="0"/>
    <m/>
  </r>
  <r>
    <n v="525"/>
    <s v="ORD-2025-0525"/>
    <d v="2025-11-22T00:00:00"/>
    <d v="2025-11-25T00:00:00"/>
    <s v="Express"/>
    <s v="CUST-0145"/>
    <s v="Kavya Iyer"/>
    <s v="Consumer"/>
    <s v="Ahmedabad"/>
    <s v="West"/>
    <x v="1"/>
    <s v="Storage Box"/>
    <n v="1"/>
    <n v="0.1"/>
    <x v="524"/>
    <n v="138.66999999999999"/>
    <s v="Debit Card"/>
    <b v="0"/>
    <b v="0"/>
    <b v="0"/>
    <m/>
  </r>
  <r>
    <n v="526"/>
    <s v="ORD-2025-0526"/>
    <d v="2025-10-30T00:00:00"/>
    <d v="2025-11-01T00:00:00"/>
    <s v="Standard"/>
    <s v="CUST-0113"/>
    <s v="Pooja Das"/>
    <s v="Consumer"/>
    <s v="Mysuru"/>
    <s v="South"/>
    <x v="2"/>
    <s v="Bookshelf"/>
    <n v="2"/>
    <n v="0.1"/>
    <x v="525"/>
    <n v="1029.9000000000001"/>
    <s v="Debit Card"/>
    <b v="0"/>
    <b v="0"/>
    <b v="0"/>
    <m/>
  </r>
  <r>
    <n v="527"/>
    <s v="ORD-2025-0527"/>
    <d v="2025-11-07T00:00:00"/>
    <d v="2025-11-08T00:00:00"/>
    <s v="Same Day"/>
    <s v="CUST-0071"/>
    <s v="Aarav Sharma"/>
    <s v="Small Business"/>
    <s v="Hyderabad"/>
    <s v="South"/>
    <x v="3"/>
    <s v="Wireless Mouse"/>
    <n v="2"/>
    <n v="0.2"/>
    <x v="526"/>
    <n v="74.72"/>
    <s v="Cash"/>
    <b v="0"/>
    <b v="0"/>
    <b v="0"/>
    <m/>
  </r>
  <r>
    <n v="528"/>
    <s v="ORD-2025-0528"/>
    <d v="2025-01-23T00:00:00"/>
    <d v="2025-01-26T00:00:00"/>
    <s v="Express"/>
    <s v="CUST-0140"/>
    <s v="Priya Nair"/>
    <s v="Corporate"/>
    <s v="Hyderabad"/>
    <s v="South"/>
    <x v="3"/>
    <s v="Bluetooth Speaker"/>
    <n v="3"/>
    <n v="0.2"/>
    <x v="527"/>
    <n v="1049.31"/>
    <s v="Credit Card"/>
    <b v="0"/>
    <b v="0"/>
    <b v="0"/>
    <m/>
  </r>
  <r>
    <n v="529"/>
    <s v="ORD-2025-0529"/>
    <d v="2025-02-03T00:00:00"/>
    <d v="2025-02-07T00:00:00"/>
    <s v="Standard"/>
    <s v="CUST-0077"/>
    <s v="Arjun Patel"/>
    <s v="Small Business"/>
    <s v="Mysuru"/>
    <s v="South"/>
    <x v="3"/>
    <s v="Power Bank"/>
    <n v="1"/>
    <n v="0.1"/>
    <x v="528"/>
    <n v="114.57"/>
    <s v="UPI"/>
    <b v="0"/>
    <b v="0"/>
    <b v="0"/>
    <m/>
  </r>
  <r>
    <n v="530"/>
    <s v="ORD-2025-0530"/>
    <d v="2025-03-02T00:00:00"/>
    <d v="2025-03-04T00:00:00"/>
    <s v="Express"/>
    <s v="CUST-0157"/>
    <s v="Aditya Kumar"/>
    <s v="Consumer"/>
    <s v="Mumbai"/>
    <s v="West"/>
    <x v="1"/>
    <s v="Electric Kettle"/>
    <n v="2"/>
    <n v="0.2"/>
    <x v="529"/>
    <n v="345.27"/>
    <s v="Debit Card"/>
    <b v="0"/>
    <b v="0"/>
    <b v="0"/>
    <m/>
  </r>
  <r>
    <n v="531"/>
    <s v="ORD-2025-0531"/>
    <d v="2025-06-02T00:00:00"/>
    <d v="2025-06-03T00:00:00"/>
    <s v="Standard"/>
    <s v="CUST-0092"/>
    <s v="Aditya Kumar"/>
    <s v="Consumer"/>
    <s v="Jaipur"/>
    <s v="North"/>
    <x v="3"/>
    <s v="Wireless Mouse"/>
    <n v="5"/>
    <n v="0.05"/>
    <x v="530"/>
    <n v="939.07"/>
    <s v="Credit Card"/>
    <b v="0"/>
    <b v="0"/>
    <b v="0"/>
    <m/>
  </r>
  <r>
    <n v="532"/>
    <s v="ORD-2025-0532"/>
    <d v="2025-04-03T00:00:00"/>
    <d v="2025-04-07T00:00:00"/>
    <s v="Standard"/>
    <s v="CUST-0153"/>
    <s v="Priya Nair"/>
    <s v="Corporate"/>
    <s v="Chennai"/>
    <s v="South"/>
    <x v="2"/>
    <s v="Desk Lamp"/>
    <n v="3"/>
    <n v="0.15"/>
    <x v="531"/>
    <n v="859.91"/>
    <s v="UPI"/>
    <b v="0"/>
    <b v="0"/>
    <b v="0"/>
    <m/>
  </r>
  <r>
    <n v="533"/>
    <s v="ORD-2025-0533"/>
    <d v="2025-03-30T00:00:00"/>
    <d v="2025-04-01T00:00:00"/>
    <s v="Standard"/>
    <s v="CUST-0228"/>
    <s v="Nikhil Jain"/>
    <s v="Consumer"/>
    <s v="Mumbai"/>
    <s v="West"/>
    <x v="0"/>
    <s v="File Folder"/>
    <n v="2"/>
    <n v="0.05"/>
    <x v="532"/>
    <n v="60.25"/>
    <s v="Debit Card"/>
    <b v="0"/>
    <b v="0"/>
    <b v="0"/>
    <m/>
  </r>
  <r>
    <n v="534"/>
    <s v="ORD-2025-0534"/>
    <d v="2025-10-02T00:00:00"/>
    <d v="2025-10-03T00:00:00"/>
    <s v="Standard"/>
    <s v="CUST-0150"/>
    <s v="Meera Shah"/>
    <s v="Consumer"/>
    <s v="Bhubaneswar"/>
    <s v="East"/>
    <x v="1"/>
    <s v="Storage Box"/>
    <n v="4"/>
    <n v="0.1"/>
    <x v="533"/>
    <n v="511.98"/>
    <s v="Debit Card"/>
    <b v="0"/>
    <b v="0"/>
    <b v="0"/>
    <m/>
  </r>
  <r>
    <n v="535"/>
    <s v="ORD-2025-0535"/>
    <d v="2025-11-19T00:00:00"/>
    <d v="2025-11-22T00:00:00"/>
    <s v="Standard"/>
    <s v="CUST-0206"/>
    <s v="Pooja Das"/>
    <s v="Consumer"/>
    <s v="Kolkata"/>
    <s v="East"/>
    <x v="3"/>
    <s v="Power Bank"/>
    <n v="2"/>
    <n v="0"/>
    <x v="534"/>
    <n v="637.01"/>
    <s v="Net Banking"/>
    <b v="0"/>
    <b v="0"/>
    <b v="0"/>
    <m/>
  </r>
  <r>
    <n v="536"/>
    <s v="ORD-2025-0536"/>
    <d v="2025-07-22T00:00:00"/>
    <d v="2025-07-23T00:00:00"/>
    <s v="Standard"/>
    <s v="CUST-0198"/>
    <s v="Sneha Reddy"/>
    <s v="Small Business"/>
    <s v="Mumbai"/>
    <s v="West"/>
    <x v="2"/>
    <s v="Office Chair"/>
    <n v="2"/>
    <n v="0.05"/>
    <x v="535"/>
    <n v="3396.87"/>
    <s v="UPI"/>
    <b v="0"/>
    <b v="0"/>
    <b v="0"/>
    <m/>
  </r>
  <r>
    <n v="537"/>
    <s v="ORD-2025-0537"/>
    <d v="2025-01-22T00:00:00"/>
    <d v="2025-01-23T00:00:00"/>
    <s v="Standard"/>
    <s v="CUST-0051"/>
    <s v="Divya Rao"/>
    <s v="Consumer"/>
    <s v="Jaipur"/>
    <s v="North"/>
    <x v="1"/>
    <s v="Coffee Mug"/>
    <n v="1"/>
    <n v="0"/>
    <x v="536"/>
    <n v="82.44"/>
    <s v="Debit Card"/>
    <b v="0"/>
    <b v="0"/>
    <b v="0"/>
    <m/>
  </r>
  <r>
    <n v="538"/>
    <s v="ORD-2025-0538"/>
    <d v="2025-09-24T00:00:00"/>
    <d v="2025-09-28T00:00:00"/>
    <s v="Standard"/>
    <s v="CUST-0052"/>
    <s v="Aarav Sharma"/>
    <s v="Small Business"/>
    <s v="Bhubaneswar"/>
    <s v="East"/>
    <x v="1"/>
    <s v="Water Bottle"/>
    <n v="5"/>
    <n v="0.05"/>
    <x v="537"/>
    <n v="487.53"/>
    <s v="Net Banking"/>
    <b v="0"/>
    <b v="0"/>
    <b v="0"/>
    <m/>
  </r>
  <r>
    <n v="539"/>
    <s v="ORD-2025-0539"/>
    <d v="2025-08-18T00:00:00"/>
    <d v="2025-08-21T00:00:00"/>
    <s v="Standard"/>
    <s v="CUST-0203"/>
    <s v="Sanjay Menon"/>
    <s v="Consumer"/>
    <s v="Ahmedabad"/>
    <s v="West"/>
    <x v="3"/>
    <s v="Wireless Mouse"/>
    <n v="1"/>
    <n v="0.1"/>
    <x v="538"/>
    <n v="119.6"/>
    <s v="Debit Card"/>
    <b v="0"/>
    <b v="0"/>
    <b v="0"/>
    <m/>
  </r>
  <r>
    <n v="540"/>
    <s v="ORD-2025-0540"/>
    <d v="2025-03-23T00:00:00"/>
    <d v="2025-03-27T00:00:00"/>
    <s v="Standard"/>
    <s v="CUST-0043"/>
    <s v="Vikram Rao"/>
    <s v="Consumer"/>
    <s v="Mysuru"/>
    <s v="South"/>
    <x v="3"/>
    <s v="Wireless Mouse"/>
    <n v="2"/>
    <n v="0"/>
    <x v="539"/>
    <n v="455.58"/>
    <s v="UPI"/>
    <b v="0"/>
    <b v="0"/>
    <b v="0"/>
    <m/>
  </r>
  <r>
    <n v="541"/>
    <s v="ORD-2025-0541"/>
    <d v="2025-05-28T00:00:00"/>
    <d v="2025-06-02T00:00:00"/>
    <s v="Standard"/>
    <s v="CUST-0022"/>
    <s v="Shreya Kapoor"/>
    <s v="Consumer"/>
    <s v="Delhi"/>
    <s v="North"/>
    <x v="3"/>
    <s v="Keyboard"/>
    <n v="2"/>
    <n v="0.05"/>
    <x v="540"/>
    <n v="561.23"/>
    <s v="UPI"/>
    <b v="0"/>
    <b v="0"/>
    <b v="0"/>
    <m/>
  </r>
  <r>
    <n v="542"/>
    <s v="ORD-2025-0542"/>
    <d v="2025-11-07T00:00:00"/>
    <d v="2025-11-12T00:00:00"/>
    <s v="Express"/>
    <s v="CUST-0194"/>
    <s v="Divya Rao"/>
    <s v="Consumer"/>
    <s v="Mumbai"/>
    <s v="West"/>
    <x v="0"/>
    <s v="File Folder"/>
    <n v="1"/>
    <n v="0.2"/>
    <x v="541"/>
    <n v="7.55"/>
    <s v="Cash"/>
    <b v="0"/>
    <b v="0"/>
    <b v="0"/>
    <m/>
  </r>
  <r>
    <n v="543"/>
    <s v="ORD-2025-0543"/>
    <d v="2025-02-23T00:00:00"/>
    <d v="2025-02-25T00:00:00"/>
    <s v="Standard"/>
    <s v="CUST-0187"/>
    <s v="Neha Gupta"/>
    <s v="Consumer"/>
    <s v="Kolkata"/>
    <s v="East"/>
    <x v="1"/>
    <s v="Lunch Box"/>
    <n v="2"/>
    <n v="0.1"/>
    <x v="542"/>
    <n v="220.82"/>
    <s v="Debit Card"/>
    <b v="0"/>
    <b v="0"/>
    <b v="0"/>
    <m/>
  </r>
  <r>
    <n v="544"/>
    <s v="ORD-2025-0544"/>
    <d v="2025-05-02T00:00:00"/>
    <d v="2025-05-04T00:00:00"/>
    <s v="Express"/>
    <s v="CUST-0052"/>
    <s v="Rohan Mehta"/>
    <s v="Consumer"/>
    <s v="Lucknow"/>
    <s v="North"/>
    <x v="1"/>
    <s v="Coffee Mug"/>
    <n v="3"/>
    <n v="0.05"/>
    <x v="543"/>
    <n v="176.04"/>
    <s v="Cash"/>
    <b v="0"/>
    <b v="0"/>
    <b v="0"/>
    <m/>
  </r>
  <r>
    <n v="545"/>
    <s v="ORD-2025-0545"/>
    <d v="2025-02-14T00:00:00"/>
    <d v="2025-02-18T00:00:00"/>
    <s v="Standard"/>
    <s v="CUST-0106"/>
    <s v="Aditya Kumar"/>
    <s v="Consumer"/>
    <s v="Mumbai"/>
    <s v="West"/>
    <x v="1"/>
    <s v="Storage Box"/>
    <n v="1"/>
    <n v="0"/>
    <x v="544"/>
    <n v="262.58999999999997"/>
    <s v="UPI"/>
    <b v="0"/>
    <b v="0"/>
    <b v="0"/>
    <m/>
  </r>
  <r>
    <n v="546"/>
    <s v="ORD-2025-0546"/>
    <d v="2025-06-14T00:00:00"/>
    <d v="2025-06-19T00:00:00"/>
    <s v="Standard"/>
    <s v="CUST-0189"/>
    <s v="Aarav Sharma"/>
    <s v="Small Business"/>
    <s v="Bengaluru"/>
    <s v="South"/>
    <x v="2"/>
    <s v="Folding Chair"/>
    <n v="4"/>
    <n v="0.2"/>
    <x v="545"/>
    <n v="1221.55"/>
    <s v="Credit Card"/>
    <b v="0"/>
    <b v="0"/>
    <b v="0"/>
    <m/>
  </r>
  <r>
    <n v="547"/>
    <s v="ORD-2025-0547"/>
    <d v="2025-02-06T00:00:00"/>
    <d v="2025-02-10T00:00:00"/>
    <s v="Express"/>
    <s v="CUST-0088"/>
    <s v="Priya Nair"/>
    <s v="Consumer"/>
    <s v="Jaipur"/>
    <s v="North"/>
    <x v="3"/>
    <s v="Bluetooth Speaker"/>
    <n v="2"/>
    <n v="0"/>
    <x v="546"/>
    <n v="1387.42"/>
    <s v="Debit Card"/>
    <b v="0"/>
    <b v="0"/>
    <b v="0"/>
    <m/>
  </r>
  <r>
    <n v="548"/>
    <s v="ORD-2025-0548"/>
    <d v="2025-02-11T00:00:00"/>
    <d v="2025-02-16T00:00:00"/>
    <s v="Same Day"/>
    <s v="CUST-0069"/>
    <s v="Rohan Mehta"/>
    <s v="Consumer"/>
    <s v="Jaipur"/>
    <s v="North"/>
    <x v="1"/>
    <s v="Lunch Box"/>
    <n v="4"/>
    <n v="0.15"/>
    <x v="547"/>
    <n v="209.31"/>
    <s v="Credit Card"/>
    <b v="0"/>
    <b v="0"/>
    <b v="0"/>
    <m/>
  </r>
  <r>
    <n v="549"/>
    <s v="ORD-2025-0549"/>
    <d v="2025-06-11T00:00:00"/>
    <d v="2025-06-12T00:00:00"/>
    <s v="Standard"/>
    <s v="CUST-0070"/>
    <s v="Arjun Patel"/>
    <s v="Consumer"/>
    <s v="Jaipur"/>
    <s v="North"/>
    <x v="2"/>
    <s v="Desk Lamp"/>
    <n v="1"/>
    <n v="0"/>
    <x v="548"/>
    <n v="393.07"/>
    <s v="Debit Card"/>
    <b v="0"/>
    <b v="0"/>
    <b v="0"/>
    <m/>
  </r>
  <r>
    <n v="550"/>
    <s v="ORD-2025-0550"/>
    <d v="2025-02-05T00:00:00"/>
    <d v="2025-02-10T00:00:00"/>
    <s v="Standard"/>
    <s v="CUST-0208"/>
    <s v="Manish Yadav"/>
    <s v="Consumer"/>
    <s v="Hyderabad"/>
    <s v="South"/>
    <x v="1"/>
    <s v="Storage Box"/>
    <n v="2"/>
    <n v="0.05"/>
    <x v="549"/>
    <n v="427.8"/>
    <s v="Debit Card"/>
    <b v="0"/>
    <b v="0"/>
    <b v="0"/>
    <m/>
  </r>
  <r>
    <n v="551"/>
    <s v="ORD-2025-0551"/>
    <d v="2025-10-22T00:00:00"/>
    <d v="2025-10-27T00:00:00"/>
    <s v="Express"/>
    <s v="CUST-0138"/>
    <s v="Rohan Mehta"/>
    <s v="Small Business"/>
    <s v="Lucknow"/>
    <s v="North"/>
    <x v="0"/>
    <s v="Pen Set"/>
    <n v="1"/>
    <n v="0.05"/>
    <x v="550"/>
    <n v="32.06"/>
    <s v="Cash"/>
    <b v="0"/>
    <b v="0"/>
    <b v="0"/>
    <m/>
  </r>
  <r>
    <n v="552"/>
    <s v="ORD-2025-0552"/>
    <d v="2025-01-01T00:00:00"/>
    <d v="2025-01-06T00:00:00"/>
    <s v="Same Day"/>
    <s v="CUST-0240"/>
    <s v="Kiran Joshi"/>
    <s v="Consumer"/>
    <s v="Lucknow"/>
    <s v="North"/>
    <x v="2"/>
    <s v="Folding Chair"/>
    <n v="1"/>
    <n v="0.05"/>
    <x v="551"/>
    <n v="485.35"/>
    <s v="Credit Card"/>
    <b v="0"/>
    <b v="0"/>
    <b v="0"/>
    <m/>
  </r>
  <r>
    <n v="553"/>
    <s v="ORD-2025-0553"/>
    <d v="2025-05-03T00:00:00"/>
    <d v="2025-05-04T00:00:00"/>
    <s v="Standard"/>
    <s v="CUST-0059"/>
    <s v="Ishita Roy"/>
    <s v="Corporate"/>
    <s v="Bhubaneswar"/>
    <s v="East"/>
    <x v="3"/>
    <s v="Bluetooth Speaker"/>
    <n v="1"/>
    <n v="0.1"/>
    <x v="552"/>
    <n v="410.73"/>
    <s v="UPI"/>
    <b v="0"/>
    <b v="0"/>
    <b v="0"/>
    <m/>
  </r>
  <r>
    <n v="554"/>
    <s v="ORD-2025-0554"/>
    <d v="2025-12-22T00:00:00"/>
    <d v="2025-12-24T00:00:00"/>
    <s v="Standard"/>
    <s v="CUST-0202"/>
    <s v="Priya Nair"/>
    <s v="Small Business"/>
    <s v="Jaipur"/>
    <s v="North"/>
    <x v="3"/>
    <s v="USB-C Hub"/>
    <n v="2"/>
    <n v="0"/>
    <x v="553"/>
    <n v="821.43"/>
    <s v="Net Banking"/>
    <b v="0"/>
    <b v="0"/>
    <b v="0"/>
    <m/>
  </r>
  <r>
    <n v="555"/>
    <s v="ORD-2025-0555"/>
    <d v="2025-01-01T00:00:00"/>
    <d v="2025-01-06T00:00:00"/>
    <s v="Standard"/>
    <s v="CUST-0172"/>
    <s v="Kavya Iyer"/>
    <s v="Small Business"/>
    <s v="Mysuru"/>
    <s v="South"/>
    <x v="3"/>
    <s v="Keyboard"/>
    <n v="2"/>
    <n v="0"/>
    <x v="554"/>
    <n v="489.47"/>
    <s v="UPI"/>
    <b v="0"/>
    <b v="0"/>
    <b v="0"/>
    <m/>
  </r>
  <r>
    <n v="556"/>
    <s v="ORD-2025-0556"/>
    <d v="2025-10-04T00:00:00"/>
    <d v="2025-10-06T00:00:00"/>
    <s v="Standard"/>
    <s v="CUST-0201"/>
    <s v="Meera Shah"/>
    <s v="Consumer"/>
    <s v="Kolkata"/>
    <s v="East"/>
    <x v="0"/>
    <s v="Desk Organizer"/>
    <n v="1"/>
    <n v="0.25"/>
    <x v="555"/>
    <n v="36.36"/>
    <s v="Credit Card"/>
    <b v="0"/>
    <b v="0"/>
    <b v="0"/>
    <m/>
  </r>
  <r>
    <n v="557"/>
    <s v="ORD-2025-0557"/>
    <d v="2025-12-25T00:00:00"/>
    <d v="2025-12-26T00:00:00"/>
    <s v="Standard"/>
    <s v="CUST-0221"/>
    <s v="Aditya Kumar"/>
    <s v="Corporate"/>
    <s v="Pune"/>
    <s v="West"/>
    <x v="0"/>
    <s v="Calculator"/>
    <n v="1"/>
    <n v="0"/>
    <x v="556"/>
    <n v="181.02"/>
    <s v="Net Banking"/>
    <b v="0"/>
    <b v="0"/>
    <b v="0"/>
    <m/>
  </r>
  <r>
    <n v="558"/>
    <s v="ORD-2025-0558"/>
    <d v="2025-01-26T00:00:00"/>
    <d v="2025-01-28T00:00:00"/>
    <s v="Standard"/>
    <s v="CUST-0066"/>
    <s v="Priya Nair"/>
    <s v="Corporate"/>
    <s v="Delhi"/>
    <s v="North"/>
    <x v="2"/>
    <s v="Study Table"/>
    <n v="4"/>
    <n v="0.25"/>
    <x v="557"/>
    <n v="2008.83"/>
    <s v="Net Banking"/>
    <b v="0"/>
    <b v="0"/>
    <b v="0"/>
    <m/>
  </r>
  <r>
    <n v="559"/>
    <s v="ORD-2025-0559"/>
    <d v="2025-11-11T00:00:00"/>
    <d v="2025-11-12T00:00:00"/>
    <s v="Standard"/>
    <s v="CUST-0122"/>
    <s v="Arjun Patel"/>
    <s v="Corporate"/>
    <s v="Mumbai"/>
    <s v="West"/>
    <x v="0"/>
    <s v="Calculator"/>
    <n v="1"/>
    <n v="0.05"/>
    <x v="558"/>
    <n v="189.68"/>
    <s v="UPI"/>
    <b v="0"/>
    <b v="0"/>
    <b v="0"/>
    <m/>
  </r>
  <r>
    <n v="560"/>
    <s v="ORD-2025-0560"/>
    <d v="2025-02-14T00:00:00"/>
    <d v="2025-02-15T00:00:00"/>
    <s v="Standard"/>
    <s v="CUST-0195"/>
    <s v="Ishita Roy"/>
    <s v="Small Business"/>
    <s v="Lucknow"/>
    <s v="North"/>
    <x v="0"/>
    <s v="Desk Organizer"/>
    <n v="1"/>
    <n v="0.2"/>
    <x v="559"/>
    <n v="22.48"/>
    <s v="Debit Card"/>
    <b v="0"/>
    <b v="0"/>
    <b v="0"/>
    <m/>
  </r>
  <r>
    <n v="561"/>
    <s v="ORD-2025-0561"/>
    <d v="2025-10-08T00:00:00"/>
    <d v="2025-10-13T00:00:00"/>
    <s v="Express"/>
    <s v="CUST-0195"/>
    <s v="Pooja Das"/>
    <s v="Consumer"/>
    <s v="Delhi"/>
    <s v="North"/>
    <x v="0"/>
    <s v="Pen Set"/>
    <n v="1"/>
    <n v="0.05"/>
    <x v="560"/>
    <n v="35.270000000000003"/>
    <s v="UPI"/>
    <b v="0"/>
    <b v="0"/>
    <b v="0"/>
    <m/>
  </r>
  <r>
    <n v="562"/>
    <s v="ORD-2025-0562"/>
    <d v="2025-06-14T00:00:00"/>
    <d v="2025-06-17T00:00:00"/>
    <s v="Standard"/>
    <s v="CUST-0180"/>
    <s v="Kavya Iyer"/>
    <s v="Corporate"/>
    <s v="Jaipur"/>
    <s v="North"/>
    <x v="1"/>
    <s v="Lunch Box"/>
    <n v="2"/>
    <n v="0.1"/>
    <x v="561"/>
    <n v="263.86"/>
    <s v="Credit Card"/>
    <b v="0"/>
    <b v="0"/>
    <b v="0"/>
    <m/>
  </r>
  <r>
    <n v="563"/>
    <s v="ORD-2025-0563"/>
    <d v="2025-11-20T00:00:00"/>
    <d v="2025-11-23T00:00:00"/>
    <s v="Express"/>
    <s v="CUST-0077"/>
    <s v="Divya Rao"/>
    <s v="Corporate"/>
    <s v="Kolkata"/>
    <s v="East"/>
    <x v="3"/>
    <s v="USB-C Hub"/>
    <n v="1"/>
    <n v="0.1"/>
    <x v="562"/>
    <n v="236.77"/>
    <s v="UPI"/>
    <b v="0"/>
    <b v="0"/>
    <b v="0"/>
    <m/>
  </r>
  <r>
    <n v="564"/>
    <s v="ORD-2025-0564"/>
    <d v="2025-03-18T00:00:00"/>
    <d v="2025-03-23T00:00:00"/>
    <s v="Standard"/>
    <s v="CUST-0214"/>
    <s v="Kiran Joshi"/>
    <s v="Small Business"/>
    <s v="Lucknow"/>
    <s v="North"/>
    <x v="3"/>
    <s v="USB-C Hub"/>
    <n v="1"/>
    <n v="0.2"/>
    <x v="563"/>
    <n v="18.170000000000002"/>
    <s v="Cash"/>
    <b v="0"/>
    <b v="0"/>
    <b v="0"/>
    <m/>
  </r>
  <r>
    <n v="565"/>
    <s v="ORD-2025-0565"/>
    <d v="2025-05-21T00:00:00"/>
    <d v="2025-05-24T00:00:00"/>
    <s v="Standard"/>
    <s v="CUST-0043"/>
    <s v="Kavya Iyer"/>
    <s v="Consumer"/>
    <s v="Bengaluru"/>
    <s v="South"/>
    <x v="2"/>
    <s v="Desk Lamp"/>
    <n v="3"/>
    <n v="0"/>
    <x v="564"/>
    <n v="1049.1600000000001"/>
    <s v="Credit Card"/>
    <b v="0"/>
    <b v="0"/>
    <b v="0"/>
    <m/>
  </r>
  <r>
    <n v="566"/>
    <s v="ORD-2025-0566"/>
    <d v="2025-02-18T00:00:00"/>
    <d v="2025-02-21T00:00:00"/>
    <s v="Same Day"/>
    <s v="CUST-0082"/>
    <s v="Meera Shah"/>
    <s v="Small Business"/>
    <s v="Mumbai"/>
    <s v="West"/>
    <x v="1"/>
    <s v="Lunch Box"/>
    <n v="1"/>
    <n v="0.05"/>
    <x v="565"/>
    <n v="83.19"/>
    <s v="Cash"/>
    <b v="0"/>
    <b v="0"/>
    <b v="0"/>
    <m/>
  </r>
  <r>
    <n v="567"/>
    <s v="ORD-2025-0567"/>
    <d v="2025-09-06T00:00:00"/>
    <d v="2025-09-10T00:00:00"/>
    <s v="Express"/>
    <s v="CUST-0182"/>
    <s v="Manish Yadav"/>
    <s v="Consumer"/>
    <s v="Lucknow"/>
    <s v="North"/>
    <x v="0"/>
    <s v="File Folder"/>
    <n v="2"/>
    <n v="0"/>
    <x v="566"/>
    <n v="40.299999999999997"/>
    <s v="Credit Card"/>
    <b v="0"/>
    <b v="0"/>
    <b v="0"/>
    <m/>
  </r>
  <r>
    <n v="568"/>
    <s v="ORD-2025-0568"/>
    <d v="2025-03-02T00:00:00"/>
    <d v="2025-03-03T00:00:00"/>
    <s v="Express"/>
    <s v="CUST-0061"/>
    <s v="Sanjay Menon"/>
    <s v="Consumer"/>
    <s v="Mysuru"/>
    <s v="South"/>
    <x v="1"/>
    <s v="Water Bottle"/>
    <n v="2"/>
    <n v="0.2"/>
    <x v="567"/>
    <n v="130.33000000000001"/>
    <s v="Debit Card"/>
    <b v="0"/>
    <b v="0"/>
    <b v="0"/>
    <m/>
  </r>
  <r>
    <n v="569"/>
    <s v="ORD-2025-0569"/>
    <d v="2025-01-10T00:00:00"/>
    <d v="2025-01-11T00:00:00"/>
    <s v="Express"/>
    <s v="CUST-0203"/>
    <s v="Nikhil Jain"/>
    <s v="Consumer"/>
    <s v="Mysuru"/>
    <s v="South"/>
    <x v="3"/>
    <s v="USB-C Hub"/>
    <n v="2"/>
    <n v="0.1"/>
    <x v="568"/>
    <n v="784.3"/>
    <s v="Debit Card"/>
    <b v="0"/>
    <b v="0"/>
    <b v="0"/>
    <m/>
  </r>
  <r>
    <n v="570"/>
    <s v="ORD-2025-0570"/>
    <d v="2025-05-11T00:00:00"/>
    <d v="2025-05-12T00:00:00"/>
    <s v="Standard"/>
    <s v="CUST-0023"/>
    <s v="Divya Rao"/>
    <s v="Consumer"/>
    <s v="Mumbai"/>
    <s v="West"/>
    <x v="0"/>
    <s v="Desk Organizer"/>
    <n v="1"/>
    <n v="0.15"/>
    <x v="569"/>
    <n v="90.03"/>
    <s v="UPI"/>
    <b v="0"/>
    <b v="0"/>
    <b v="0"/>
    <m/>
  </r>
  <r>
    <n v="571"/>
    <s v="ORD-2025-0571"/>
    <d v="2025-07-10T00:00:00"/>
    <d v="2025-07-13T00:00:00"/>
    <s v="Standard"/>
    <s v="CUST-0171"/>
    <s v="Pooja Das"/>
    <s v="Small Business"/>
    <s v="Bengaluru"/>
    <s v="South"/>
    <x v="0"/>
    <s v="File Folder"/>
    <n v="2"/>
    <n v="0.2"/>
    <x v="570"/>
    <n v="14.87"/>
    <s v="UPI"/>
    <b v="0"/>
    <b v="0"/>
    <b v="0"/>
    <m/>
  </r>
  <r>
    <n v="572"/>
    <s v="ORD-2025-0572"/>
    <d v="2025-12-31T00:00:00"/>
    <d v="2026-01-04T00:00:00"/>
    <s v="Same Day"/>
    <s v="CUST-0240"/>
    <s v="Arjun Patel"/>
    <s v="Small Business"/>
    <s v="Lucknow"/>
    <s v="North"/>
    <x v="3"/>
    <s v="Wireless Mouse"/>
    <n v="1"/>
    <n v="0.1"/>
    <x v="571"/>
    <n v="103.32"/>
    <s v="UPI"/>
    <b v="0"/>
    <b v="0"/>
    <b v="0"/>
    <m/>
  </r>
  <r>
    <n v="573"/>
    <s v="ORD-2025-0573"/>
    <d v="2025-03-30T00:00:00"/>
    <d v="2025-04-02T00:00:00"/>
    <s v="Standard"/>
    <s v="CUST-0025"/>
    <s v="Kavya Iyer"/>
    <s v="Small Business"/>
    <s v="Jaipur"/>
    <s v="North"/>
    <x v="2"/>
    <s v="Bookshelf"/>
    <n v="1"/>
    <n v="0.2"/>
    <x v="572"/>
    <n v="893.56"/>
    <s v="UPI"/>
    <b v="0"/>
    <b v="0"/>
    <b v="0"/>
    <m/>
  </r>
  <r>
    <n v="574"/>
    <s v="ORD-2025-0574"/>
    <d v="2025-01-14T00:00:00"/>
    <d v="2025-01-15T00:00:00"/>
    <s v="Standard"/>
    <s v="CUST-0175"/>
    <s v="Pooja Das"/>
    <s v="Consumer"/>
    <s v="Pune"/>
    <s v="West"/>
    <x v="0"/>
    <s v="Notebook"/>
    <n v="2"/>
    <n v="0.2"/>
    <x v="573"/>
    <n v="28.9"/>
    <s v="Debit Card"/>
    <b v="0"/>
    <b v="0"/>
    <b v="0"/>
    <m/>
  </r>
  <r>
    <n v="575"/>
    <s v="ORD-2025-0575"/>
    <d v="2025-12-21T00:00:00"/>
    <d v="2025-12-22T00:00:00"/>
    <s v="Same Day"/>
    <s v="CUST-0117"/>
    <s v="Neha Gupta"/>
    <s v="Small Business"/>
    <s v="Delhi"/>
    <s v="North"/>
    <x v="0"/>
    <s v="Desk Organizer"/>
    <n v="2"/>
    <n v="0"/>
    <x v="574"/>
    <n v="294.70999999999998"/>
    <s v="UPI"/>
    <b v="0"/>
    <b v="0"/>
    <b v="0"/>
    <m/>
  </r>
  <r>
    <n v="576"/>
    <s v="ORD-2025-0576"/>
    <d v="2025-07-11T00:00:00"/>
    <d v="2025-07-15T00:00:00"/>
    <s v="Express"/>
    <s v="CUST-0152"/>
    <s v="Kiran Joshi"/>
    <s v="Corporate"/>
    <s v="Bengaluru"/>
    <s v="South"/>
    <x v="1"/>
    <s v="Water Bottle"/>
    <n v="2"/>
    <n v="0"/>
    <x v="575"/>
    <n v="275.89"/>
    <s v="Debit Card"/>
    <b v="0"/>
    <b v="0"/>
    <b v="0"/>
    <m/>
  </r>
  <r>
    <n v="577"/>
    <s v="ORD-2025-0577"/>
    <d v="2025-01-28T00:00:00"/>
    <d v="2025-01-29T00:00:00"/>
    <s v="Standard"/>
    <s v="CUST-0221"/>
    <s v="Ishita Roy"/>
    <s v="Corporate"/>
    <s v="Kolkata"/>
    <s v="East"/>
    <x v="0"/>
    <s v="Notebook"/>
    <n v="1"/>
    <n v="0.2"/>
    <x v="576"/>
    <n v="14.19"/>
    <s v="UPI"/>
    <b v="0"/>
    <b v="0"/>
    <b v="0"/>
    <m/>
  </r>
  <r>
    <n v="578"/>
    <s v="ORD-2025-0578"/>
    <d v="2025-02-23T00:00:00"/>
    <d v="2025-02-27T00:00:00"/>
    <s v="Express"/>
    <s v="CUST-0010"/>
    <s v="Divya Rao"/>
    <s v="Small Business"/>
    <s v="Mumbai"/>
    <s v="West"/>
    <x v="1"/>
    <s v="Storage Box"/>
    <n v="5"/>
    <n v="0.25"/>
    <x v="577"/>
    <n v="84.27"/>
    <s v="Debit Card"/>
    <b v="0"/>
    <b v="0"/>
    <b v="0"/>
    <m/>
  </r>
  <r>
    <n v="579"/>
    <s v="ORD-2025-0579"/>
    <d v="2025-04-11T00:00:00"/>
    <d v="2025-04-15T00:00:00"/>
    <s v="Express"/>
    <s v="CUST-0092"/>
    <s v="Kiran Joshi"/>
    <s v="Consumer"/>
    <s v="Mysuru"/>
    <s v="South"/>
    <x v="3"/>
    <s v="Bluetooth Speaker"/>
    <n v="3"/>
    <n v="0"/>
    <x v="578"/>
    <n v="2263.25"/>
    <s v="Credit Card"/>
    <b v="0"/>
    <b v="0"/>
    <b v="0"/>
    <m/>
  </r>
  <r>
    <n v="580"/>
    <s v="ORD-2025-0580"/>
    <d v="2025-02-26T00:00:00"/>
    <d v="2025-02-28T00:00:00"/>
    <s v="Standard"/>
    <s v="CUST-0070"/>
    <s v="Vikram Rao"/>
    <s v="Corporate"/>
    <s v="Lucknow"/>
    <s v="North"/>
    <x v="1"/>
    <s v="Coffee Mug"/>
    <n v="2"/>
    <n v="0"/>
    <x v="579"/>
    <n v="220.05"/>
    <s v="UPI"/>
    <b v="0"/>
    <b v="0"/>
    <b v="0"/>
    <m/>
  </r>
  <r>
    <n v="581"/>
    <s v="ORD-2025-0581"/>
    <d v="2025-07-05T00:00:00"/>
    <d v="2025-07-08T00:00:00"/>
    <s v="Standard"/>
    <s v="CUST-0034"/>
    <s v="Rahul Verma"/>
    <s v="Corporate"/>
    <s v="Jaipur"/>
    <s v="North"/>
    <x v="1"/>
    <s v="Electric Kettle"/>
    <n v="5"/>
    <n v="0.15"/>
    <x v="580"/>
    <n v="1339.76"/>
    <s v="Net Banking"/>
    <b v="0"/>
    <b v="0"/>
    <b v="0"/>
    <m/>
  </r>
  <r>
    <n v="582"/>
    <s v="ORD-2025-0582"/>
    <d v="2025-08-11T00:00:00"/>
    <d v="2025-08-16T00:00:00"/>
    <s v="Express"/>
    <s v="CUST-0107"/>
    <s v="Sanjay Menon"/>
    <s v="Corporate"/>
    <s v="Bengaluru"/>
    <s v="South"/>
    <x v="0"/>
    <s v="Calculator"/>
    <n v="1"/>
    <n v="0.15"/>
    <x v="581"/>
    <n v="135.91"/>
    <s v="UPI"/>
    <b v="0"/>
    <b v="0"/>
    <b v="0"/>
    <m/>
  </r>
  <r>
    <n v="583"/>
    <s v="ORD-2025-0583"/>
    <d v="2025-03-14T00:00:00"/>
    <d v="2025-03-17T00:00:00"/>
    <s v="Express"/>
    <s v="CUST-0186"/>
    <s v="Kiran Joshi"/>
    <s v="Small Business"/>
    <s v="Mysuru"/>
    <s v="South"/>
    <x v="2"/>
    <s v="Study Table"/>
    <n v="2"/>
    <n v="0.15"/>
    <x v="582"/>
    <n v="2997.66"/>
    <s v="UPI"/>
    <b v="0"/>
    <b v="0"/>
    <b v="0"/>
    <m/>
  </r>
  <r>
    <n v="584"/>
    <s v="ORD-2025-0584"/>
    <d v="2025-08-26T00:00:00"/>
    <d v="2025-08-28T00:00:00"/>
    <s v="Standard"/>
    <s v="CUST-0044"/>
    <s v="Kiran Joshi"/>
    <s v="Corporate"/>
    <s v="Chennai"/>
    <s v="South"/>
    <x v="1"/>
    <s v="Coffee Mug"/>
    <n v="1"/>
    <n v="0.25"/>
    <x v="583"/>
    <n v="2.39"/>
    <s v="Debit Card"/>
    <b v="0"/>
    <b v="0"/>
    <b v="0"/>
    <m/>
  </r>
  <r>
    <n v="585"/>
    <s v="ORD-2025-0585"/>
    <d v="2025-10-09T00:00:00"/>
    <d v="2025-10-12T00:00:00"/>
    <s v="Express"/>
    <s v="CUST-0240"/>
    <s v="Vikram Rao"/>
    <s v="Small Business"/>
    <s v="Mysuru"/>
    <s v="South"/>
    <x v="3"/>
    <s v="Bluetooth Speaker"/>
    <n v="2"/>
    <n v="0.1"/>
    <x v="584"/>
    <n v="355.83"/>
    <s v="UPI"/>
    <b v="0"/>
    <b v="0"/>
    <b v="0"/>
    <m/>
  </r>
  <r>
    <n v="586"/>
    <s v="ORD-2025-0586"/>
    <d v="2025-05-18T00:00:00"/>
    <d v="2025-05-19T00:00:00"/>
    <s v="Standard"/>
    <s v="CUST-0199"/>
    <s v="Manish Yadav"/>
    <s v="Consumer"/>
    <s v="Chennai"/>
    <s v="South"/>
    <x v="3"/>
    <s v="Keyboard"/>
    <n v="2"/>
    <n v="0"/>
    <x v="585"/>
    <n v="1004.6"/>
    <s v="Debit Card"/>
    <b v="0"/>
    <b v="0"/>
    <b v="0"/>
    <m/>
  </r>
  <r>
    <n v="587"/>
    <s v="ORD-2025-0587"/>
    <d v="2025-02-07T00:00:00"/>
    <d v="2025-02-08T00:00:00"/>
    <s v="Express"/>
    <s v="CUST-0244"/>
    <s v="Vikram Rao"/>
    <s v="Small Business"/>
    <s v="Ahmedabad"/>
    <s v="West"/>
    <x v="0"/>
    <s v="Notebook"/>
    <n v="1"/>
    <n v="0.1"/>
    <x v="586"/>
    <n v="31.84"/>
    <s v="Net Banking"/>
    <b v="0"/>
    <b v="0"/>
    <b v="0"/>
    <m/>
  </r>
  <r>
    <n v="588"/>
    <s v="ORD-2025-0588"/>
    <d v="2025-10-07T00:00:00"/>
    <d v="2025-10-12T00:00:00"/>
    <s v="Same Day"/>
    <s v="CUST-0018"/>
    <s v="Aditya Kumar"/>
    <s v="Consumer"/>
    <s v="Bhubaneswar"/>
    <s v="East"/>
    <x v="3"/>
    <s v="Bluetooth Speaker"/>
    <n v="1"/>
    <n v="0.2"/>
    <x v="587"/>
    <n v="354.63"/>
    <s v="Credit Card"/>
    <b v="0"/>
    <b v="0"/>
    <b v="0"/>
    <m/>
  </r>
  <r>
    <n v="589"/>
    <s v="ORD-2025-0589"/>
    <d v="2025-09-27T00:00:00"/>
    <d v="2025-09-29T00:00:00"/>
    <s v="Express"/>
    <s v="CUST-0240"/>
    <s v="Vikram Rao"/>
    <s v="Corporate"/>
    <s v="Kolkata"/>
    <s v="East"/>
    <x v="3"/>
    <s v="Wireless Mouse"/>
    <n v="1"/>
    <n v="0.1"/>
    <x v="588"/>
    <n v="87.26"/>
    <s v="Debit Card"/>
    <b v="0"/>
    <b v="0"/>
    <b v="0"/>
    <m/>
  </r>
  <r>
    <n v="590"/>
    <s v="ORD-2025-0590"/>
    <d v="2025-01-04T00:00:00"/>
    <d v="2025-01-09T00:00:00"/>
    <s v="Same Day"/>
    <s v="CUST-0139"/>
    <s v="Neha Gupta"/>
    <s v="Consumer"/>
    <s v="Ahmedabad"/>
    <s v="West"/>
    <x v="1"/>
    <s v="Lunch Box"/>
    <n v="4"/>
    <n v="0"/>
    <x v="589"/>
    <n v="579.84"/>
    <s v="UPI"/>
    <b v="0"/>
    <b v="0"/>
    <b v="0"/>
    <m/>
  </r>
  <r>
    <n v="591"/>
    <s v="ORD-2025-0591"/>
    <d v="2025-03-11T00:00:00"/>
    <d v="2025-03-12T00:00:00"/>
    <s v="Express"/>
    <s v="CUST-0214"/>
    <s v="Arjun Patel"/>
    <s v="Consumer"/>
    <s v="Mumbai"/>
    <s v="West"/>
    <x v="1"/>
    <s v="Coffee Mug"/>
    <n v="2"/>
    <n v="0.05"/>
    <x v="590"/>
    <n v="206.95"/>
    <s v="UPI"/>
    <b v="0"/>
    <b v="0"/>
    <b v="0"/>
    <m/>
  </r>
  <r>
    <n v="592"/>
    <s v="ORD-2025-0592"/>
    <d v="2025-03-05T00:00:00"/>
    <d v="2025-03-07T00:00:00"/>
    <s v="Standard"/>
    <s v="CUST-0060"/>
    <s v="Kiran Joshi"/>
    <s v="Corporate"/>
    <s v="Mumbai"/>
    <s v="West"/>
    <x v="0"/>
    <s v="Pen Set"/>
    <n v="1"/>
    <n v="0"/>
    <x v="591"/>
    <n v="23.76"/>
    <s v="Debit Card"/>
    <b v="0"/>
    <b v="0"/>
    <b v="0"/>
    <m/>
  </r>
  <r>
    <n v="593"/>
    <s v="ORD-2025-0593"/>
    <d v="2025-10-24T00:00:00"/>
    <d v="2025-10-25T00:00:00"/>
    <s v="Same Day"/>
    <s v="CUST-0065"/>
    <s v="Pooja Das"/>
    <s v="Corporate"/>
    <s v="Kolkata"/>
    <s v="East"/>
    <x v="2"/>
    <s v="Study Table"/>
    <n v="4"/>
    <n v="0.1"/>
    <x v="592"/>
    <n v="6364.56"/>
    <s v="UPI"/>
    <b v="0"/>
    <b v="0"/>
    <b v="0"/>
    <m/>
  </r>
  <r>
    <n v="594"/>
    <s v="ORD-2025-0594"/>
    <d v="2025-02-18T00:00:00"/>
    <d v="2025-02-21T00:00:00"/>
    <s v="Express"/>
    <s v="CUST-0184"/>
    <s v="Nikhil Jain"/>
    <s v="Consumer"/>
    <s v="Bengaluru"/>
    <s v="South"/>
    <x v="3"/>
    <s v="Wireless Mouse"/>
    <n v="1"/>
    <n v="0.25"/>
    <x v="593"/>
    <n v="44.93"/>
    <s v="UPI"/>
    <b v="0"/>
    <b v="0"/>
    <b v="0"/>
    <m/>
  </r>
  <r>
    <n v="595"/>
    <s v="ORD-2025-0595"/>
    <d v="2025-02-26T00:00:00"/>
    <d v="2025-02-28T00:00:00"/>
    <s v="Same Day"/>
    <s v="CUST-0015"/>
    <s v="Aarav Sharma"/>
    <s v="Consumer"/>
    <s v="Bhubaneswar"/>
    <s v="East"/>
    <x v="1"/>
    <s v="Storage Box"/>
    <n v="4"/>
    <n v="0.2"/>
    <x v="594"/>
    <n v="708.05"/>
    <s v="UPI"/>
    <b v="0"/>
    <b v="0"/>
    <b v="0"/>
    <m/>
  </r>
  <r>
    <n v="596"/>
    <s v="ORD-2025-0596"/>
    <d v="2025-03-29T00:00:00"/>
    <d v="2025-03-30T00:00:00"/>
    <s v="Standard"/>
    <s v="CUST-0061"/>
    <s v="Sanjay Menon"/>
    <s v="Consumer"/>
    <s v="Pune"/>
    <s v="West"/>
    <x v="3"/>
    <s v="Power Bank"/>
    <n v="2"/>
    <n v="0"/>
    <x v="595"/>
    <n v="595.14"/>
    <s v="UPI"/>
    <b v="0"/>
    <b v="0"/>
    <b v="0"/>
    <m/>
  </r>
  <r>
    <n v="597"/>
    <s v="ORD-2025-0597"/>
    <d v="2025-06-09T00:00:00"/>
    <d v="2025-06-10T00:00:00"/>
    <s v="Standard"/>
    <s v="CUST-0085"/>
    <s v="Neha Gupta"/>
    <s v="Corporate"/>
    <s v="Kolkata"/>
    <s v="East"/>
    <x v="3"/>
    <s v="Keyboard"/>
    <n v="1"/>
    <n v="0.1"/>
    <x v="596"/>
    <n v="312.68"/>
    <s v="Net Banking"/>
    <b v="0"/>
    <b v="0"/>
    <b v="0"/>
    <m/>
  </r>
  <r>
    <n v="598"/>
    <s v="ORD-2025-0598"/>
    <d v="2025-11-06T00:00:00"/>
    <d v="2025-11-07T00:00:00"/>
    <s v="Standard"/>
    <s v="CUST-0150"/>
    <s v="Aditya Kumar"/>
    <s v="Corporate"/>
    <s v="Kolkata"/>
    <s v="East"/>
    <x v="3"/>
    <s v="Wireless Mouse"/>
    <n v="4"/>
    <n v="0.05"/>
    <x v="597"/>
    <n v="887.34"/>
    <s v="Credit Card"/>
    <b v="0"/>
    <b v="0"/>
    <b v="0"/>
    <m/>
  </r>
  <r>
    <n v="599"/>
    <s v="ORD-2025-0599"/>
    <d v="2025-08-16T00:00:00"/>
    <d v="2025-08-19T00:00:00"/>
    <s v="Standard"/>
    <s v="CUST-0058"/>
    <s v="Aarav Sharma"/>
    <s v="Corporate"/>
    <s v="Hyderabad"/>
    <s v="South"/>
    <x v="2"/>
    <s v="Bookshelf"/>
    <n v="1"/>
    <n v="0.25"/>
    <x v="598"/>
    <n v="-104.79"/>
    <s v="UPI"/>
    <b v="0"/>
    <b v="0"/>
    <b v="0"/>
    <m/>
  </r>
  <r>
    <n v="600"/>
    <s v="ORD-2025-0600"/>
    <d v="2025-01-02T00:00:00"/>
    <d v="2025-01-04T00:00:00"/>
    <s v="Express"/>
    <s v="CUST-0057"/>
    <s v="Nikhil Jain"/>
    <s v="Consumer"/>
    <s v="Jaipur"/>
    <s v="North"/>
    <x v="3"/>
    <s v="Power Bank"/>
    <n v="2"/>
    <n v="0"/>
    <x v="599"/>
    <n v="895.48"/>
    <s v="Credit Card"/>
    <b v="0"/>
    <b v="0"/>
    <b v="0"/>
    <m/>
  </r>
  <r>
    <n v="601"/>
    <s v="ORD-2025-0601"/>
    <d v="2025-04-14T00:00:00"/>
    <d v="2025-04-16T00:00:00"/>
    <s v="Express"/>
    <s v="CUST-0031"/>
    <s v="Aarav Sharma"/>
    <s v="Small Business"/>
    <s v="Ahmedabad"/>
    <s v="West"/>
    <x v="0"/>
    <s v="Desk Organizer"/>
    <n v="1"/>
    <n v="0.1"/>
    <x v="600"/>
    <n v="87.64"/>
    <s v="UPI"/>
    <b v="0"/>
    <b v="0"/>
    <b v="0"/>
    <m/>
  </r>
  <r>
    <n v="602"/>
    <s v="ORD-2025-0602"/>
    <d v="2025-12-03T00:00:00"/>
    <d v="2025-12-06T00:00:00"/>
    <s v="Standard"/>
    <s v="CUST-0081"/>
    <s v="Pooja Das"/>
    <s v="Corporate"/>
    <s v="Bhubaneswar"/>
    <s v="East"/>
    <x v="0"/>
    <s v="Calculator"/>
    <n v="3"/>
    <n v="0.2"/>
    <x v="601"/>
    <n v="6.91"/>
    <s v="Credit Card"/>
    <b v="0"/>
    <b v="0"/>
    <b v="0"/>
    <m/>
  </r>
  <r>
    <n v="603"/>
    <s v="ORD-2025-0603"/>
    <d v="2025-07-02T00:00:00"/>
    <d v="2025-07-03T00:00:00"/>
    <s v="Standard"/>
    <s v="CUST-0204"/>
    <s v="Aarav Sharma"/>
    <s v="Small Business"/>
    <s v="Kolkata"/>
    <s v="East"/>
    <x v="0"/>
    <s v="File Folder"/>
    <n v="3"/>
    <n v="0.25"/>
    <x v="602"/>
    <n v="14.16"/>
    <s v="Credit Card"/>
    <b v="0"/>
    <b v="0"/>
    <b v="0"/>
    <m/>
  </r>
  <r>
    <n v="604"/>
    <s v="ORD-2025-0604"/>
    <d v="2025-09-23T00:00:00"/>
    <d v="2025-09-28T00:00:00"/>
    <s v="Standard"/>
    <s v="CUST-0181"/>
    <s v="Sneha Reddy"/>
    <s v="Consumer"/>
    <s v="Chennai"/>
    <s v="South"/>
    <x v="0"/>
    <s v="File Folder"/>
    <n v="1"/>
    <n v="0"/>
    <x v="603"/>
    <n v="19.63"/>
    <s v="Debit Card"/>
    <b v="0"/>
    <b v="0"/>
    <b v="0"/>
    <m/>
  </r>
  <r>
    <n v="605"/>
    <s v="ORD-2025-0605"/>
    <d v="2025-11-16T00:00:00"/>
    <d v="2025-11-21T00:00:00"/>
    <s v="Express"/>
    <s v="CUST-0067"/>
    <s v="Arjun Patel"/>
    <s v="Small Business"/>
    <s v="Delhi"/>
    <s v="North"/>
    <x v="3"/>
    <s v="Keyboard"/>
    <n v="3"/>
    <n v="0"/>
    <x v="604"/>
    <n v="817.02"/>
    <s v="UPI"/>
    <b v="0"/>
    <b v="0"/>
    <b v="0"/>
    <m/>
  </r>
  <r>
    <n v="606"/>
    <s v="ORD-2025-0606"/>
    <d v="2025-08-07T00:00:00"/>
    <d v="2025-08-08T00:00:00"/>
    <s v="Standard"/>
    <s v="CUST-0151"/>
    <s v="Sneha Reddy"/>
    <s v="Corporate"/>
    <s v="Lucknow"/>
    <s v="North"/>
    <x v="3"/>
    <s v="Power Bank"/>
    <n v="3"/>
    <n v="0.1"/>
    <x v="605"/>
    <n v="445.95"/>
    <s v="UPI"/>
    <b v="0"/>
    <b v="0"/>
    <b v="0"/>
    <m/>
  </r>
  <r>
    <n v="607"/>
    <s v="ORD-2025-0607"/>
    <d v="2025-01-29T00:00:00"/>
    <d v="2025-02-02T00:00:00"/>
    <s v="Standard"/>
    <s v="CUST-0174"/>
    <s v="Nikhil Jain"/>
    <s v="Small Business"/>
    <s v="Lucknow"/>
    <s v="North"/>
    <x v="0"/>
    <s v="Notebook"/>
    <n v="1"/>
    <n v="0.1"/>
    <x v="606"/>
    <n v="23.65"/>
    <s v="Debit Card"/>
    <b v="0"/>
    <b v="0"/>
    <b v="0"/>
    <m/>
  </r>
  <r>
    <n v="608"/>
    <s v="ORD-2025-0608"/>
    <d v="2025-02-24T00:00:00"/>
    <d v="2025-02-27T00:00:00"/>
    <s v="Express"/>
    <s v="CUST-0198"/>
    <s v="Divya Rao"/>
    <s v="Consumer"/>
    <s v="Bengaluru"/>
    <s v="South"/>
    <x v="3"/>
    <s v="USB-C Hub"/>
    <n v="2"/>
    <n v="0.2"/>
    <x v="607"/>
    <n v="366.67"/>
    <s v="Credit Card"/>
    <b v="0"/>
    <b v="0"/>
    <b v="0"/>
    <m/>
  </r>
  <r>
    <n v="609"/>
    <s v="ORD-2025-0609"/>
    <d v="2025-03-18T00:00:00"/>
    <d v="2025-03-21T00:00:00"/>
    <s v="Express"/>
    <s v="CUST-0211"/>
    <s v="Kiran Joshi"/>
    <s v="Consumer"/>
    <s v="Lucknow"/>
    <s v="North"/>
    <x v="2"/>
    <s v="Desk Lamp"/>
    <n v="1"/>
    <n v="0.1"/>
    <x v="608"/>
    <n v="302.3"/>
    <s v="Debit Card"/>
    <b v="0"/>
    <b v="0"/>
    <b v="0"/>
    <m/>
  </r>
  <r>
    <n v="610"/>
    <s v="ORD-2025-0610"/>
    <d v="2025-07-10T00:00:00"/>
    <d v="2025-07-15T00:00:00"/>
    <s v="Express"/>
    <s v="CUST-0056"/>
    <s v="Vikram Rao"/>
    <s v="Consumer"/>
    <s v="Delhi"/>
    <s v="North"/>
    <x v="0"/>
    <s v="Calculator"/>
    <n v="2"/>
    <n v="0.2"/>
    <x v="609"/>
    <n v="68.959999999999994"/>
    <s v="Cash"/>
    <b v="0"/>
    <b v="0"/>
    <b v="0"/>
    <m/>
  </r>
  <r>
    <n v="611"/>
    <s v="ORD-2025-0611"/>
    <d v="2025-07-16T00:00:00"/>
    <d v="2025-07-18T00:00:00"/>
    <s v="Standard"/>
    <s v="CUST-0218"/>
    <s v="Aarav Sharma"/>
    <s v="Small Business"/>
    <s v="Hyderabad"/>
    <s v="South"/>
    <x v="1"/>
    <s v="Storage Box"/>
    <n v="4"/>
    <n v="0"/>
    <x v="610"/>
    <n v="777.57"/>
    <s v="Cash"/>
    <b v="0"/>
    <b v="0"/>
    <b v="0"/>
    <m/>
  </r>
  <r>
    <n v="612"/>
    <s v="ORD-2025-0612"/>
    <d v="2025-02-11T00:00:00"/>
    <d v="2025-02-15T00:00:00"/>
    <s v="Standard"/>
    <s v="CUST-0218"/>
    <s v="Rohan Mehta"/>
    <s v="Corporate"/>
    <s v="Ahmedabad"/>
    <s v="West"/>
    <x v="1"/>
    <s v="Coffee Mug"/>
    <n v="2"/>
    <n v="0.05"/>
    <x v="611"/>
    <n v="117.69"/>
    <s v="Net Banking"/>
    <b v="0"/>
    <b v="0"/>
    <b v="0"/>
    <m/>
  </r>
  <r>
    <n v="613"/>
    <s v="ORD-2025-0613"/>
    <d v="2025-05-21T00:00:00"/>
    <d v="2025-05-23T00:00:00"/>
    <s v="Standard"/>
    <s v="CUST-0047"/>
    <s v="Aditya Kumar"/>
    <s v="Consumer"/>
    <s v="Chennai"/>
    <s v="South"/>
    <x v="1"/>
    <s v="Electric Kettle"/>
    <n v="3"/>
    <n v="0.05"/>
    <x v="612"/>
    <n v="1566.31"/>
    <s v="Credit Card"/>
    <b v="0"/>
    <b v="0"/>
    <b v="0"/>
    <m/>
  </r>
  <r>
    <n v="614"/>
    <s v="ORD-2025-0614"/>
    <d v="2025-09-15T00:00:00"/>
    <d v="2025-09-18T00:00:00"/>
    <s v="Standard"/>
    <s v="CUST-0070"/>
    <s v="Nikhil Jain"/>
    <s v="Corporate"/>
    <s v="Delhi"/>
    <s v="North"/>
    <x v="3"/>
    <s v="USB-C Hub"/>
    <n v="2"/>
    <n v="0.05"/>
    <x v="613"/>
    <n v="422.1"/>
    <s v="UPI"/>
    <b v="0"/>
    <b v="0"/>
    <b v="0"/>
    <m/>
  </r>
  <r>
    <n v="615"/>
    <s v="ORD-2025-0615"/>
    <d v="2025-08-16T00:00:00"/>
    <d v="2025-08-17T00:00:00"/>
    <s v="Standard"/>
    <s v="CUST-0173"/>
    <s v="Sneha Reddy"/>
    <s v="Consumer"/>
    <s v="Ahmedabad"/>
    <s v="West"/>
    <x v="1"/>
    <s v="Lunch Box"/>
    <n v="4"/>
    <n v="0.1"/>
    <x v="614"/>
    <n v="564.32000000000005"/>
    <s v="Cash"/>
    <b v="0"/>
    <b v="0"/>
    <b v="0"/>
    <m/>
  </r>
  <r>
    <n v="616"/>
    <s v="ORD-2025-0616"/>
    <d v="2025-09-25T00:00:00"/>
    <d v="2025-09-28T00:00:00"/>
    <s v="Express"/>
    <s v="CUST-0086"/>
    <s v="Priya Nair"/>
    <s v="Consumer"/>
    <s v="Mumbai"/>
    <s v="West"/>
    <x v="2"/>
    <s v="Bookshelf"/>
    <n v="1"/>
    <n v="0.15"/>
    <x v="615"/>
    <n v="1171.17"/>
    <s v="Credit Card"/>
    <b v="0"/>
    <b v="0"/>
    <b v="0"/>
    <m/>
  </r>
  <r>
    <n v="617"/>
    <s v="ORD-2025-0617"/>
    <d v="2025-12-02T00:00:00"/>
    <d v="2025-12-05T00:00:00"/>
    <s v="Standard"/>
    <s v="CUST-0009"/>
    <s v="Rohan Mehta"/>
    <s v="Consumer"/>
    <s v="Hyderabad"/>
    <s v="South"/>
    <x v="3"/>
    <s v="Keyboard"/>
    <n v="2"/>
    <n v="0.15"/>
    <x v="616"/>
    <n v="293.86"/>
    <s v="Credit Card"/>
    <b v="0"/>
    <b v="0"/>
    <b v="0"/>
    <m/>
  </r>
  <r>
    <n v="618"/>
    <s v="ORD-2025-0618"/>
    <d v="2025-10-24T00:00:00"/>
    <d v="2025-10-29T00:00:00"/>
    <s v="Standard"/>
    <s v="CUST-0083"/>
    <s v="Kavya Iyer"/>
    <s v="Consumer"/>
    <s v="Kolkata"/>
    <s v="East"/>
    <x v="2"/>
    <s v="Study Table"/>
    <n v="2"/>
    <n v="0.1"/>
    <x v="617"/>
    <n v="1697.81"/>
    <s v="Net Banking"/>
    <b v="0"/>
    <b v="0"/>
    <b v="0"/>
    <m/>
  </r>
  <r>
    <n v="619"/>
    <s v="ORD-2025-0619"/>
    <d v="2025-04-21T00:00:00"/>
    <d v="2025-04-23T00:00:00"/>
    <s v="Express"/>
    <s v="CUST-0239"/>
    <s v="Ananya Singh"/>
    <s v="Small Business"/>
    <s v="Mysuru"/>
    <s v="South"/>
    <x v="3"/>
    <s v="Bluetooth Speaker"/>
    <n v="3"/>
    <n v="0.05"/>
    <x v="618"/>
    <n v="1098.57"/>
    <s v="Debit Card"/>
    <b v="0"/>
    <b v="0"/>
    <b v="0"/>
    <m/>
  </r>
  <r>
    <n v="620"/>
    <s v="ORD-2025-0620"/>
    <d v="2025-01-29T00:00:00"/>
    <d v="2025-02-02T00:00:00"/>
    <s v="Standard"/>
    <s v="CUST-0072"/>
    <s v="Arjun Patel"/>
    <s v="Consumer"/>
    <s v="Pune"/>
    <s v="West"/>
    <x v="3"/>
    <s v="Wireless Mouse"/>
    <n v="2"/>
    <n v="0"/>
    <x v="619"/>
    <n v="335.9"/>
    <s v="Debit Card"/>
    <b v="0"/>
    <b v="0"/>
    <b v="0"/>
    <m/>
  </r>
  <r>
    <n v="621"/>
    <s v="ORD-2025-0621"/>
    <d v="2025-01-29T00:00:00"/>
    <d v="2025-02-01T00:00:00"/>
    <s v="Standard"/>
    <s v="CUST-0067"/>
    <s v="Arjun Patel"/>
    <s v="Corporate"/>
    <s v="Delhi"/>
    <s v="North"/>
    <x v="0"/>
    <s v="Pen Set"/>
    <n v="4"/>
    <n v="0.1"/>
    <x v="620"/>
    <n v="76"/>
    <s v="UPI"/>
    <b v="0"/>
    <b v="0"/>
    <b v="0"/>
    <m/>
  </r>
  <r>
    <n v="622"/>
    <s v="ORD-2025-0622"/>
    <d v="2025-11-29T00:00:00"/>
    <d v="2025-11-30T00:00:00"/>
    <s v="Standard"/>
    <s v="CUST-0209"/>
    <s v="Sneha Reddy"/>
    <s v="Consumer"/>
    <s v="Ahmedabad"/>
    <s v="West"/>
    <x v="0"/>
    <s v="Calculator"/>
    <n v="2"/>
    <n v="0.2"/>
    <x v="621"/>
    <n v="159.28"/>
    <s v="Debit Card"/>
    <b v="0"/>
    <b v="0"/>
    <b v="0"/>
    <m/>
  </r>
  <r>
    <n v="623"/>
    <s v="ORD-2025-0623"/>
    <d v="2025-05-16T00:00:00"/>
    <d v="2025-05-19T00:00:00"/>
    <s v="Standard"/>
    <s v="CUST-0095"/>
    <s v="Rohan Mehta"/>
    <s v="Corporate"/>
    <s v="Mumbai"/>
    <s v="West"/>
    <x v="1"/>
    <s v="Coffee Mug"/>
    <n v="4"/>
    <n v="0.1"/>
    <x v="622"/>
    <n v="322.62"/>
    <s v="UPI"/>
    <b v="0"/>
    <b v="0"/>
    <b v="0"/>
    <m/>
  </r>
  <r>
    <n v="624"/>
    <s v="ORD-2025-0624"/>
    <d v="2025-03-30T00:00:00"/>
    <d v="2025-04-02T00:00:00"/>
    <s v="Express"/>
    <s v="CUST-0207"/>
    <s v="Kiran Joshi"/>
    <s v="Corporate"/>
    <s v="Mumbai"/>
    <s v="West"/>
    <x v="2"/>
    <s v="Folding Chair"/>
    <n v="2"/>
    <n v="0.05"/>
    <x v="623"/>
    <n v="737.61"/>
    <s v="Credit Card"/>
    <b v="0"/>
    <b v="0"/>
    <b v="0"/>
    <m/>
  </r>
  <r>
    <n v="625"/>
    <s v="ORD-2025-0625"/>
    <d v="2025-12-19T00:00:00"/>
    <d v="2025-12-24T00:00:00"/>
    <s v="Same Day"/>
    <s v="CUST-0067"/>
    <s v="Vikram Rao"/>
    <s v="Corporate"/>
    <s v="Mysuru"/>
    <s v="South"/>
    <x v="1"/>
    <s v="Lunch Box"/>
    <n v="2"/>
    <n v="0.1"/>
    <x v="624"/>
    <n v="290.58999999999997"/>
    <s v="Credit Card"/>
    <b v="0"/>
    <b v="0"/>
    <b v="0"/>
    <m/>
  </r>
  <r>
    <n v="626"/>
    <s v="ORD-2025-0626"/>
    <d v="2025-10-23T00:00:00"/>
    <d v="2025-10-24T00:00:00"/>
    <s v="Standard"/>
    <s v="CUST-0003"/>
    <s v="Sneha Reddy"/>
    <s v="Corporate"/>
    <s v="Kolkata"/>
    <s v="East"/>
    <x v="2"/>
    <s v="Study Table"/>
    <n v="1"/>
    <n v="0.1"/>
    <x v="625"/>
    <n v="969.97"/>
    <s v="UPI"/>
    <b v="0"/>
    <b v="0"/>
    <b v="0"/>
    <m/>
  </r>
  <r>
    <n v="627"/>
    <s v="ORD-2025-0627"/>
    <d v="2025-03-18T00:00:00"/>
    <d v="2025-03-19T00:00:00"/>
    <s v="Standard"/>
    <s v="CUST-0104"/>
    <s v="Sneha Reddy"/>
    <s v="Corporate"/>
    <s v="Lucknow"/>
    <s v="North"/>
    <x v="0"/>
    <s v="Calculator"/>
    <n v="4"/>
    <n v="0.05"/>
    <x v="626"/>
    <n v="741.76"/>
    <s v="UPI"/>
    <b v="0"/>
    <b v="0"/>
    <b v="0"/>
    <m/>
  </r>
  <r>
    <n v="628"/>
    <s v="ORD-2025-0628"/>
    <d v="2025-11-12T00:00:00"/>
    <d v="2025-11-14T00:00:00"/>
    <s v="Standard"/>
    <s v="CUST-0218"/>
    <s v="Priya Nair"/>
    <s v="Consumer"/>
    <s v="Jaipur"/>
    <s v="North"/>
    <x v="3"/>
    <s v="Bluetooth Speaker"/>
    <n v="1"/>
    <n v="0.05"/>
    <x v="627"/>
    <n v="187.14"/>
    <s v="Net Banking"/>
    <b v="0"/>
    <b v="0"/>
    <b v="0"/>
    <m/>
  </r>
  <r>
    <n v="629"/>
    <s v="ORD-2025-0629"/>
    <d v="2025-02-09T00:00:00"/>
    <d v="2025-02-12T00:00:00"/>
    <s v="Express"/>
    <s v="CUST-0086"/>
    <s v="Sneha Reddy"/>
    <s v="Small Business"/>
    <s v="Bengaluru"/>
    <s v="South"/>
    <x v="2"/>
    <s v="Bookshelf"/>
    <n v="1"/>
    <n v="0.15"/>
    <x v="628"/>
    <n v="713.32"/>
    <s v="UPI"/>
    <b v="0"/>
    <b v="0"/>
    <b v="0"/>
    <m/>
  </r>
  <r>
    <n v="630"/>
    <s v="ORD-2025-0630"/>
    <d v="2025-03-13T00:00:00"/>
    <d v="2025-03-17T00:00:00"/>
    <s v="Standard"/>
    <s v="CUST-0032"/>
    <s v="Ishita Roy"/>
    <s v="Corporate"/>
    <s v="Mumbai"/>
    <s v="West"/>
    <x v="0"/>
    <s v="Calculator"/>
    <n v="2"/>
    <n v="0.15"/>
    <x v="629"/>
    <n v="70.510000000000005"/>
    <s v="UPI"/>
    <b v="0"/>
    <b v="0"/>
    <b v="0"/>
    <m/>
  </r>
  <r>
    <n v="631"/>
    <s v="ORD-2025-0631"/>
    <d v="2025-05-17T00:00:00"/>
    <d v="2025-05-21T00:00:00"/>
    <s v="Standard"/>
    <s v="CUST-0061"/>
    <s v="Meera Shah"/>
    <s v="Consumer"/>
    <s v="Lucknow"/>
    <s v="North"/>
    <x v="2"/>
    <s v="Study Table"/>
    <n v="3"/>
    <n v="0"/>
    <x v="630"/>
    <n v="5411.93"/>
    <s v="Net Banking"/>
    <b v="0"/>
    <b v="0"/>
    <b v="0"/>
    <m/>
  </r>
  <r>
    <n v="632"/>
    <s v="ORD-2025-0632"/>
    <d v="2025-02-26T00:00:00"/>
    <d v="2025-02-27T00:00:00"/>
    <s v="Express"/>
    <s v="CUST-0013"/>
    <s v="Sanjay Menon"/>
    <s v="Consumer"/>
    <s v="Delhi"/>
    <s v="North"/>
    <x v="1"/>
    <s v="Storage Box"/>
    <n v="2"/>
    <n v="0.2"/>
    <x v="631"/>
    <n v="44.3"/>
    <s v="Credit Card"/>
    <b v="0"/>
    <b v="0"/>
    <b v="0"/>
    <m/>
  </r>
  <r>
    <n v="633"/>
    <s v="ORD-2025-0633"/>
    <d v="2025-04-11T00:00:00"/>
    <d v="2025-04-14T00:00:00"/>
    <s v="Express"/>
    <s v="CUST-0228"/>
    <s v="Pooja Das"/>
    <s v="Consumer"/>
    <s v="Mumbai"/>
    <s v="West"/>
    <x v="1"/>
    <s v="Electric Kettle"/>
    <n v="1"/>
    <n v="0"/>
    <x v="632"/>
    <n v="336.79"/>
    <s v="Net Banking"/>
    <b v="0"/>
    <b v="0"/>
    <b v="0"/>
    <m/>
  </r>
  <r>
    <n v="634"/>
    <s v="ORD-2025-0634"/>
    <d v="2025-02-02T00:00:00"/>
    <d v="2025-02-06T00:00:00"/>
    <s v="Standard"/>
    <s v="CUST-0028"/>
    <s v="Ananya Singh"/>
    <s v="Small Business"/>
    <s v="Pune"/>
    <s v="West"/>
    <x v="0"/>
    <s v="Desk Organizer"/>
    <n v="2"/>
    <n v="0.15"/>
    <x v="633"/>
    <n v="46.81"/>
    <s v="Debit Card"/>
    <b v="0"/>
    <b v="0"/>
    <b v="0"/>
    <m/>
  </r>
  <r>
    <n v="635"/>
    <s v="ORD-2025-0635"/>
    <d v="2025-06-24T00:00:00"/>
    <d v="2025-06-28T00:00:00"/>
    <s v="Standard"/>
    <s v="CUST-0018"/>
    <s v="Pooja Das"/>
    <s v="Small Business"/>
    <s v="Delhi"/>
    <s v="North"/>
    <x v="3"/>
    <s v="Wireless Mouse"/>
    <n v="2"/>
    <n v="0.15"/>
    <x v="634"/>
    <n v="34.78"/>
    <s v="UPI"/>
    <b v="0"/>
    <b v="0"/>
    <b v="0"/>
    <m/>
  </r>
  <r>
    <n v="636"/>
    <s v="ORD-2025-0636"/>
    <d v="2025-01-31T00:00:00"/>
    <d v="2025-02-05T00:00:00"/>
    <s v="Express"/>
    <s v="CUST-0235"/>
    <s v="Aditya Kumar"/>
    <s v="Corporate"/>
    <s v="Bhubaneswar"/>
    <s v="East"/>
    <x v="0"/>
    <s v="Desk Organizer"/>
    <n v="2"/>
    <n v="0.1"/>
    <x v="635"/>
    <n v="146.63"/>
    <s v="Net Banking"/>
    <b v="0"/>
    <b v="0"/>
    <b v="0"/>
    <m/>
  </r>
  <r>
    <n v="637"/>
    <s v="ORD-2025-0637"/>
    <d v="2025-02-04T00:00:00"/>
    <d v="2025-02-07T00:00:00"/>
    <s v="Standard"/>
    <s v="CUST-0160"/>
    <s v="Shreya Kapoor"/>
    <s v="Consumer"/>
    <s v="Pune"/>
    <s v="West"/>
    <x v="0"/>
    <s v="Pen Set"/>
    <n v="2"/>
    <n v="0.2"/>
    <x v="636"/>
    <n v="13.14"/>
    <s v="UPI"/>
    <b v="0"/>
    <b v="0"/>
    <b v="0"/>
    <m/>
  </r>
  <r>
    <n v="638"/>
    <s v="ORD-2025-0638"/>
    <d v="2025-07-25T00:00:00"/>
    <d v="2025-07-26T00:00:00"/>
    <s v="Standard"/>
    <s v="CUST-0130"/>
    <s v="Sanjay Menon"/>
    <s v="Small Business"/>
    <s v="Chennai"/>
    <s v="South"/>
    <x v="1"/>
    <s v="Water Bottle"/>
    <n v="2"/>
    <n v="0.15"/>
    <x v="637"/>
    <n v="147.61000000000001"/>
    <s v="UPI"/>
    <b v="0"/>
    <b v="0"/>
    <b v="0"/>
    <m/>
  </r>
  <r>
    <n v="639"/>
    <s v="ORD-2025-0639"/>
    <d v="2025-10-25T00:00:00"/>
    <d v="2025-10-26T00:00:00"/>
    <s v="Standard"/>
    <s v="CUST-0165"/>
    <s v="Priya Nair"/>
    <s v="Corporate"/>
    <s v="Ahmedabad"/>
    <s v="West"/>
    <x v="1"/>
    <s v="Coffee Mug"/>
    <n v="4"/>
    <n v="0"/>
    <x v="638"/>
    <n v="224.49"/>
    <s v="Credit Card"/>
    <b v="0"/>
    <b v="0"/>
    <b v="0"/>
    <m/>
  </r>
  <r>
    <n v="640"/>
    <s v="ORD-2025-0640"/>
    <d v="2025-08-22T00:00:00"/>
    <d v="2025-08-27T00:00:00"/>
    <s v="Standard"/>
    <s v="CUST-0108"/>
    <s v="Neha Gupta"/>
    <s v="Consumer"/>
    <s v="Kolkata"/>
    <s v="East"/>
    <x v="2"/>
    <s v="Bookshelf"/>
    <n v="2"/>
    <n v="0.05"/>
    <x v="639"/>
    <n v="2360.7199999999998"/>
    <s v="Net Banking"/>
    <b v="0"/>
    <b v="0"/>
    <b v="0"/>
    <m/>
  </r>
  <r>
    <n v="641"/>
    <s v="ORD-2025-0641"/>
    <d v="2025-10-23T00:00:00"/>
    <d v="2025-10-26T00:00:00"/>
    <s v="Standard"/>
    <s v="CUST-0112"/>
    <s v="Shreya Kapoor"/>
    <s v="Consumer"/>
    <s v="Delhi"/>
    <s v="North"/>
    <x v="3"/>
    <s v="Keyboard"/>
    <n v="3"/>
    <n v="0.15"/>
    <x v="640"/>
    <n v="253.97"/>
    <s v="UPI"/>
    <b v="0"/>
    <b v="0"/>
    <b v="0"/>
    <m/>
  </r>
  <r>
    <n v="642"/>
    <s v="ORD-2025-0642"/>
    <d v="2025-01-31T00:00:00"/>
    <d v="2025-02-05T00:00:00"/>
    <s v="Standard"/>
    <s v="CUST-0111"/>
    <s v="Arjun Patel"/>
    <s v="Consumer"/>
    <s v="Kolkata"/>
    <s v="East"/>
    <x v="0"/>
    <s v="Pen Set"/>
    <n v="1"/>
    <n v="0.1"/>
    <x v="641"/>
    <n v="32.04"/>
    <s v="UPI"/>
    <b v="0"/>
    <b v="0"/>
    <b v="0"/>
    <m/>
  </r>
  <r>
    <n v="643"/>
    <s v="ORD-2025-0643"/>
    <d v="2025-12-25T00:00:00"/>
    <d v="2025-12-30T00:00:00"/>
    <s v="Standard"/>
    <s v="CUST-0163"/>
    <s v="Neha Gupta"/>
    <s v="Consumer"/>
    <s v="Hyderabad"/>
    <s v="South"/>
    <x v="0"/>
    <s v="Desk Organizer"/>
    <n v="3"/>
    <n v="0.1"/>
    <x v="642"/>
    <n v="328.89"/>
    <s v="Debit Card"/>
    <b v="0"/>
    <b v="0"/>
    <b v="0"/>
    <m/>
  </r>
  <r>
    <n v="644"/>
    <s v="ORD-2025-0644"/>
    <d v="2025-08-03T00:00:00"/>
    <d v="2025-08-07T00:00:00"/>
    <s v="Standard"/>
    <s v="CUST-0195"/>
    <s v="Sanjay Menon"/>
    <s v="Consumer"/>
    <s v="Bengaluru"/>
    <s v="South"/>
    <x v="1"/>
    <s v="Storage Box"/>
    <n v="5"/>
    <n v="0"/>
    <x v="643"/>
    <n v="912.9"/>
    <s v="UPI"/>
    <b v="0"/>
    <b v="0"/>
    <b v="0"/>
    <m/>
  </r>
  <r>
    <n v="645"/>
    <s v="ORD-2025-0645"/>
    <d v="2025-09-01T00:00:00"/>
    <d v="2025-09-02T00:00:00"/>
    <s v="Standard"/>
    <s v="CUST-0119"/>
    <s v="Manish Yadav"/>
    <s v="Consumer"/>
    <s v="Lucknow"/>
    <s v="North"/>
    <x v="3"/>
    <s v="Power Bank"/>
    <n v="1"/>
    <n v="0"/>
    <x v="644"/>
    <n v="214.91"/>
    <s v="Debit Card"/>
    <b v="0"/>
    <b v="0"/>
    <b v="0"/>
    <m/>
  </r>
  <r>
    <n v="646"/>
    <s v="ORD-2025-0646"/>
    <d v="2025-07-16T00:00:00"/>
    <d v="2025-07-21T00:00:00"/>
    <s v="Standard"/>
    <s v="CUST-0019"/>
    <s v="Kiran Joshi"/>
    <s v="Corporate"/>
    <s v="Delhi"/>
    <s v="North"/>
    <x v="3"/>
    <s v="Power Bank"/>
    <n v="1"/>
    <n v="0.2"/>
    <x v="645"/>
    <n v="252.65"/>
    <s v="UPI"/>
    <b v="0"/>
    <b v="0"/>
    <b v="0"/>
    <m/>
  </r>
  <r>
    <n v="647"/>
    <s v="ORD-2025-0647"/>
    <d v="2025-08-24T00:00:00"/>
    <d v="2025-08-29T00:00:00"/>
    <s v="Same Day"/>
    <s v="CUST-0157"/>
    <s v="Priya Nair"/>
    <s v="Small Business"/>
    <s v="Pune"/>
    <s v="West"/>
    <x v="0"/>
    <s v="Pen Set"/>
    <n v="4"/>
    <n v="0"/>
    <x v="646"/>
    <n v="118.43"/>
    <s v="UPI"/>
    <b v="0"/>
    <b v="0"/>
    <b v="0"/>
    <m/>
  </r>
  <r>
    <n v="648"/>
    <s v="ORD-2025-0648"/>
    <d v="2025-12-14T00:00:00"/>
    <d v="2025-12-17T00:00:00"/>
    <s v="Standard"/>
    <s v="CUST-0244"/>
    <s v="Vikram Rao"/>
    <s v="Consumer"/>
    <s v="Pune"/>
    <s v="West"/>
    <x v="2"/>
    <s v="Bookshelf"/>
    <n v="2"/>
    <n v="0.15"/>
    <x v="647"/>
    <n v="138.01"/>
    <s v="Credit Card"/>
    <b v="0"/>
    <b v="0"/>
    <b v="0"/>
    <m/>
  </r>
  <r>
    <n v="649"/>
    <s v="ORD-2025-0649"/>
    <d v="2025-08-10T00:00:00"/>
    <d v="2025-08-13T00:00:00"/>
    <s v="Standard"/>
    <s v="CUST-0007"/>
    <s v="Nikhil Jain"/>
    <s v="Small Business"/>
    <s v="Lucknow"/>
    <s v="North"/>
    <x v="3"/>
    <s v="Power Bank"/>
    <n v="4"/>
    <n v="0"/>
    <x v="648"/>
    <n v="1688.84"/>
    <s v="Debit Card"/>
    <b v="0"/>
    <b v="0"/>
    <b v="0"/>
    <m/>
  </r>
  <r>
    <n v="650"/>
    <s v="ORD-2025-0650"/>
    <d v="2025-11-16T00:00:00"/>
    <d v="2025-11-18T00:00:00"/>
    <s v="Standard"/>
    <s v="CUST-0008"/>
    <s v="Rohan Mehta"/>
    <s v="Corporate"/>
    <s v="Chennai"/>
    <s v="South"/>
    <x v="2"/>
    <s v="Folding Chair"/>
    <n v="3"/>
    <n v="0"/>
    <x v="649"/>
    <n v="1049.78"/>
    <s v="Net Banking"/>
    <b v="0"/>
    <b v="0"/>
    <b v="0"/>
    <m/>
  </r>
  <r>
    <n v="651"/>
    <s v="ORD-2025-0651"/>
    <d v="2025-07-15T00:00:00"/>
    <d v="2025-07-16T00:00:00"/>
    <s v="Standard"/>
    <s v="CUST-0139"/>
    <s v="Nikhil Jain"/>
    <s v="Small Business"/>
    <s v="Jaipur"/>
    <s v="North"/>
    <x v="2"/>
    <s v="Study Table"/>
    <n v="5"/>
    <n v="0.1"/>
    <x v="650"/>
    <n v="5297.9"/>
    <s v="Credit Card"/>
    <b v="0"/>
    <b v="0"/>
    <b v="0"/>
    <m/>
  </r>
  <r>
    <n v="652"/>
    <s v="ORD-2025-0652"/>
    <d v="2025-03-19T00:00:00"/>
    <d v="2025-03-23T00:00:00"/>
    <s v="Standard"/>
    <s v="CUST-0128"/>
    <s v="Kavya Iyer"/>
    <s v="Consumer"/>
    <s v="Mysuru"/>
    <s v="South"/>
    <x v="0"/>
    <s v="File Folder"/>
    <n v="3"/>
    <n v="0"/>
    <x v="651"/>
    <n v="90.32"/>
    <s v="Debit Card"/>
    <b v="0"/>
    <b v="0"/>
    <b v="0"/>
    <m/>
  </r>
  <r>
    <n v="653"/>
    <s v="ORD-2025-0653"/>
    <d v="2025-05-28T00:00:00"/>
    <d v="2025-05-30T00:00:00"/>
    <s v="Standard"/>
    <s v="CUST-0101"/>
    <s v="Shreya Kapoor"/>
    <s v="Consumer"/>
    <s v="Lucknow"/>
    <s v="North"/>
    <x v="0"/>
    <s v="Calculator"/>
    <n v="2"/>
    <n v="0.2"/>
    <x v="652"/>
    <n v="164.87"/>
    <s v="Credit Card"/>
    <b v="0"/>
    <b v="0"/>
    <b v="0"/>
    <m/>
  </r>
  <r>
    <n v="654"/>
    <s v="ORD-2025-0654"/>
    <d v="2025-01-21T00:00:00"/>
    <d v="2025-01-24T00:00:00"/>
    <s v="Standard"/>
    <s v="CUST-0012"/>
    <s v="Vikram Rao"/>
    <s v="Small Business"/>
    <s v="Mysuru"/>
    <s v="South"/>
    <x v="1"/>
    <s v="Storage Box"/>
    <n v="2"/>
    <n v="0.15"/>
    <x v="653"/>
    <n v="71.099999999999994"/>
    <s v="UPI"/>
    <b v="0"/>
    <b v="0"/>
    <b v="0"/>
    <m/>
  </r>
  <r>
    <n v="655"/>
    <s v="ORD-2025-0655"/>
    <d v="2025-04-05T00:00:00"/>
    <d v="2025-04-08T00:00:00"/>
    <s v="Standard"/>
    <s v="CUST-0083"/>
    <s v="Pooja Das"/>
    <s v="Corporate"/>
    <s v="Bhubaneswar"/>
    <s v="East"/>
    <x v="3"/>
    <s v="Bluetooth Speaker"/>
    <n v="3"/>
    <n v="0.2"/>
    <x v="654"/>
    <n v="202.42"/>
    <s v="Debit Card"/>
    <b v="0"/>
    <b v="0"/>
    <b v="0"/>
    <m/>
  </r>
  <r>
    <n v="656"/>
    <s v="ORD-2025-0656"/>
    <d v="2025-10-06T00:00:00"/>
    <d v="2025-10-10T00:00:00"/>
    <s v="Standard"/>
    <s v="CUST-0229"/>
    <s v="Rohan Mehta"/>
    <s v="Consumer"/>
    <s v="Mumbai"/>
    <s v="West"/>
    <x v="0"/>
    <s v="File Folder"/>
    <n v="2"/>
    <n v="0.1"/>
    <x v="655"/>
    <n v="12.32"/>
    <s v="UPI"/>
    <b v="0"/>
    <b v="0"/>
    <b v="0"/>
    <m/>
  </r>
  <r>
    <n v="657"/>
    <s v="ORD-2025-0657"/>
    <d v="2025-10-09T00:00:00"/>
    <d v="2025-10-11T00:00:00"/>
    <s v="Standard"/>
    <s v="CUST-0098"/>
    <s v="Sanjay Menon"/>
    <s v="Consumer"/>
    <s v="Lucknow"/>
    <s v="North"/>
    <x v="1"/>
    <s v="Storage Box"/>
    <n v="1"/>
    <n v="0"/>
    <x v="656"/>
    <n v="208.51"/>
    <s v="Net Banking"/>
    <b v="0"/>
    <b v="0"/>
    <b v="0"/>
    <m/>
  </r>
  <r>
    <n v="658"/>
    <s v="ORD-2025-0658"/>
    <d v="2025-10-19T00:00:00"/>
    <d v="2025-10-22T00:00:00"/>
    <s v="Standard"/>
    <s v="CUST-0068"/>
    <s v="Kiran Joshi"/>
    <s v="Consumer"/>
    <s v="Bengaluru"/>
    <s v="South"/>
    <x v="1"/>
    <s v="Lunch Box"/>
    <n v="3"/>
    <n v="0.15"/>
    <x v="657"/>
    <n v="256.60000000000002"/>
    <s v="Credit Card"/>
    <b v="0"/>
    <b v="0"/>
    <b v="0"/>
    <m/>
  </r>
  <r>
    <n v="659"/>
    <s v="ORD-2025-0659"/>
    <d v="2025-05-05T00:00:00"/>
    <d v="2025-05-09T00:00:00"/>
    <s v="Express"/>
    <s v="CUST-0250"/>
    <s v="Pooja Das"/>
    <s v="Consumer"/>
    <s v="Delhi"/>
    <s v="North"/>
    <x v="1"/>
    <s v="Lunch Box"/>
    <n v="4"/>
    <n v="0"/>
    <x v="658"/>
    <n v="718.92"/>
    <s v="UPI"/>
    <b v="0"/>
    <b v="0"/>
    <b v="0"/>
    <m/>
  </r>
  <r>
    <n v="660"/>
    <s v="ORD-2025-0660"/>
    <d v="2025-12-12T00:00:00"/>
    <d v="2025-12-17T00:00:00"/>
    <s v="Express"/>
    <s v="CUST-0042"/>
    <s v="Nikhil Jain"/>
    <s v="Consumer"/>
    <s v="Chennai"/>
    <s v="South"/>
    <x v="1"/>
    <s v="Coffee Mug"/>
    <n v="2"/>
    <n v="0"/>
    <x v="659"/>
    <n v="223.29"/>
    <s v="UPI"/>
    <b v="0"/>
    <b v="0"/>
    <b v="0"/>
    <m/>
  </r>
  <r>
    <n v="661"/>
    <s v="ORD-2025-0661"/>
    <d v="2025-04-22T00:00:00"/>
    <d v="2025-04-24T00:00:00"/>
    <s v="Same Day"/>
    <s v="CUST-0068"/>
    <s v="Kiran Joshi"/>
    <s v="Consumer"/>
    <s v="Bhubaneswar"/>
    <s v="East"/>
    <x v="2"/>
    <s v="Office Chair"/>
    <n v="3"/>
    <n v="0.1"/>
    <x v="660"/>
    <n v="3104.88"/>
    <s v="Cash"/>
    <b v="0"/>
    <b v="0"/>
    <b v="0"/>
    <m/>
  </r>
  <r>
    <n v="662"/>
    <s v="ORD-2025-0662"/>
    <d v="2025-07-16T00:00:00"/>
    <d v="2025-07-20T00:00:00"/>
    <s v="Standard"/>
    <s v="CUST-0009"/>
    <s v="Neha Gupta"/>
    <s v="Small Business"/>
    <s v="Jaipur"/>
    <s v="North"/>
    <x v="3"/>
    <s v="Keyboard"/>
    <n v="2"/>
    <n v="0.1"/>
    <x v="661"/>
    <n v="736.86"/>
    <s v="Credit Card"/>
    <b v="0"/>
    <b v="0"/>
    <b v="0"/>
    <m/>
  </r>
  <r>
    <n v="663"/>
    <s v="ORD-2025-0663"/>
    <d v="2025-07-10T00:00:00"/>
    <d v="2025-07-13T00:00:00"/>
    <s v="Standard"/>
    <s v="CUST-0051"/>
    <s v="Ishita Roy"/>
    <s v="Small Business"/>
    <s v="Pune"/>
    <s v="West"/>
    <x v="0"/>
    <s v="Pen Set"/>
    <n v="2"/>
    <n v="0.15"/>
    <x v="662"/>
    <n v="48.39"/>
    <s v="UPI"/>
    <b v="0"/>
    <b v="0"/>
    <b v="0"/>
    <m/>
  </r>
  <r>
    <n v="664"/>
    <s v="ORD-2025-0664"/>
    <d v="2025-03-11T00:00:00"/>
    <d v="2025-03-14T00:00:00"/>
    <s v="Standard"/>
    <s v="CUST-0217"/>
    <s v="Nikhil Jain"/>
    <s v="Consumer"/>
    <s v="Hyderabad"/>
    <s v="South"/>
    <x v="1"/>
    <s v="Lunch Box"/>
    <n v="2"/>
    <n v="0.2"/>
    <x v="663"/>
    <n v="111.59"/>
    <s v="UPI"/>
    <b v="0"/>
    <b v="0"/>
    <b v="0"/>
    <m/>
  </r>
  <r>
    <n v="665"/>
    <s v="ORD-2025-0665"/>
    <d v="2025-01-28T00:00:00"/>
    <d v="2025-01-30T00:00:00"/>
    <s v="Express"/>
    <s v="CUST-0185"/>
    <s v="Ananya Singh"/>
    <s v="Small Business"/>
    <s v="Chennai"/>
    <s v="South"/>
    <x v="0"/>
    <s v="Desk Organizer"/>
    <n v="5"/>
    <n v="0.1"/>
    <x v="664"/>
    <n v="460.89"/>
    <s v="UPI"/>
    <b v="0"/>
    <b v="0"/>
    <b v="0"/>
    <m/>
  </r>
  <r>
    <n v="666"/>
    <s v="ORD-2025-0666"/>
    <d v="2025-04-03T00:00:00"/>
    <d v="2025-04-08T00:00:00"/>
    <s v="Standard"/>
    <s v="CUST-0017"/>
    <s v="Neha Gupta"/>
    <s v="Consumer"/>
    <s v="Ahmedabad"/>
    <s v="West"/>
    <x v="3"/>
    <s v="Wireless Mouse"/>
    <n v="1"/>
    <n v="0"/>
    <x v="665"/>
    <n v="132.51"/>
    <s v="UPI"/>
    <b v="0"/>
    <b v="0"/>
    <b v="0"/>
    <m/>
  </r>
  <r>
    <n v="667"/>
    <s v="ORD-2025-0667"/>
    <d v="2025-08-04T00:00:00"/>
    <d v="2025-08-09T00:00:00"/>
    <s v="Standard"/>
    <s v="CUST-0134"/>
    <s v="Rahul Verma"/>
    <s v="Small Business"/>
    <s v="Lucknow"/>
    <s v="North"/>
    <x v="2"/>
    <s v="Study Table"/>
    <n v="2"/>
    <n v="0.05"/>
    <x v="666"/>
    <n v="2723.59"/>
    <s v="UPI"/>
    <b v="0"/>
    <b v="0"/>
    <b v="0"/>
    <m/>
  </r>
  <r>
    <n v="668"/>
    <s v="ORD-2025-0668"/>
    <d v="2025-02-03T00:00:00"/>
    <d v="2025-02-05T00:00:00"/>
    <s v="Same Day"/>
    <s v="CUST-0157"/>
    <s v="Pooja Das"/>
    <s v="Consumer"/>
    <s v="Bengaluru"/>
    <s v="South"/>
    <x v="0"/>
    <s v="Pen Set"/>
    <n v="1"/>
    <n v="0"/>
    <x v="667"/>
    <n v="25.79"/>
    <s v="Credit Card"/>
    <b v="0"/>
    <b v="0"/>
    <b v="0"/>
    <m/>
  </r>
  <r>
    <n v="669"/>
    <s v="ORD-2025-0669"/>
    <d v="2025-02-03T00:00:00"/>
    <d v="2025-02-08T00:00:00"/>
    <s v="Standard"/>
    <s v="CUST-0234"/>
    <s v="Sanjay Menon"/>
    <s v="Corporate"/>
    <s v="Bhubaneswar"/>
    <s v="East"/>
    <x v="2"/>
    <s v="Study Table"/>
    <n v="3"/>
    <n v="0.2"/>
    <x v="668"/>
    <n v="2978.31"/>
    <s v="Credit Card"/>
    <b v="0"/>
    <b v="0"/>
    <b v="0"/>
    <m/>
  </r>
  <r>
    <n v="670"/>
    <s v="ORD-2025-0670"/>
    <d v="2025-09-11T00:00:00"/>
    <d v="2025-09-16T00:00:00"/>
    <s v="Express"/>
    <s v="CUST-0018"/>
    <s v="Rahul Verma"/>
    <s v="Corporate"/>
    <s v="Ahmedabad"/>
    <s v="West"/>
    <x v="3"/>
    <s v="Power Bank"/>
    <n v="3"/>
    <n v="0.1"/>
    <x v="669"/>
    <n v="502.52"/>
    <s v="Debit Card"/>
    <b v="0"/>
    <b v="0"/>
    <b v="0"/>
    <m/>
  </r>
  <r>
    <n v="671"/>
    <s v="ORD-2025-0671"/>
    <d v="2025-10-20T00:00:00"/>
    <d v="2025-10-25T00:00:00"/>
    <s v="Express"/>
    <s v="CUST-0156"/>
    <s v="Ishita Roy"/>
    <s v="Consumer"/>
    <s v="Pune"/>
    <s v="West"/>
    <x v="3"/>
    <s v="Power Bank"/>
    <n v="3"/>
    <n v="0.05"/>
    <x v="670"/>
    <n v="748.91"/>
    <s v="UPI"/>
    <b v="0"/>
    <b v="0"/>
    <b v="0"/>
    <m/>
  </r>
  <r>
    <n v="672"/>
    <s v="ORD-2025-0672"/>
    <d v="2025-02-25T00:00:00"/>
    <d v="2025-02-28T00:00:00"/>
    <s v="Express"/>
    <s v="CUST-0191"/>
    <s v="Neha Gupta"/>
    <s v="Corporate"/>
    <s v="Delhi"/>
    <s v="North"/>
    <x v="1"/>
    <s v="Water Bottle"/>
    <n v="1"/>
    <n v="0.05"/>
    <x v="671"/>
    <n v="174.73"/>
    <s v="UPI"/>
    <b v="0"/>
    <b v="0"/>
    <b v="0"/>
    <m/>
  </r>
  <r>
    <n v="673"/>
    <s v="ORD-2025-0673"/>
    <d v="2025-01-29T00:00:00"/>
    <d v="2025-01-31T00:00:00"/>
    <s v="Standard"/>
    <s v="CUST-0184"/>
    <s v="Nikhil Jain"/>
    <s v="Consumer"/>
    <s v="Pune"/>
    <s v="West"/>
    <x v="2"/>
    <s v="Desk Lamp"/>
    <n v="3"/>
    <n v="0.1"/>
    <x v="672"/>
    <n v="720.43"/>
    <s v="UPI"/>
    <b v="0"/>
    <b v="0"/>
    <b v="0"/>
    <m/>
  </r>
  <r>
    <n v="674"/>
    <s v="ORD-2025-0674"/>
    <d v="2025-04-24T00:00:00"/>
    <d v="2025-04-27T00:00:00"/>
    <s v="Standard"/>
    <s v="CUST-0013"/>
    <s v="Pooja Das"/>
    <s v="Consumer"/>
    <s v="Ahmedabad"/>
    <s v="West"/>
    <x v="0"/>
    <s v="Notebook"/>
    <n v="4"/>
    <n v="0.05"/>
    <x v="673"/>
    <n v="197.82"/>
    <s v="Net Banking"/>
    <b v="0"/>
    <b v="0"/>
    <b v="0"/>
    <m/>
  </r>
  <r>
    <n v="675"/>
    <s v="ORD-2025-0675"/>
    <d v="2025-05-20T00:00:00"/>
    <d v="2025-05-22T00:00:00"/>
    <s v="Standard"/>
    <s v="CUST-0041"/>
    <s v="Kiran Joshi"/>
    <s v="Corporate"/>
    <s v="Delhi"/>
    <s v="North"/>
    <x v="2"/>
    <s v="Desk Lamp"/>
    <n v="1"/>
    <n v="0.15"/>
    <x v="674"/>
    <n v="144.35"/>
    <s v="UPI"/>
    <b v="0"/>
    <b v="0"/>
    <b v="0"/>
    <m/>
  </r>
  <r>
    <n v="676"/>
    <s v="ORD-2025-0676"/>
    <d v="2025-08-31T00:00:00"/>
    <d v="2025-09-03T00:00:00"/>
    <s v="Express"/>
    <s v="CUST-0123"/>
    <s v="Ishita Roy"/>
    <s v="Corporate"/>
    <s v="Bhubaneswar"/>
    <s v="East"/>
    <x v="2"/>
    <s v="Folding Chair"/>
    <n v="2"/>
    <n v="0.15"/>
    <x v="675"/>
    <n v="335.44"/>
    <s v="Cash"/>
    <b v="0"/>
    <b v="0"/>
    <b v="0"/>
    <m/>
  </r>
  <r>
    <n v="677"/>
    <s v="ORD-2025-0677"/>
    <d v="2025-02-27T00:00:00"/>
    <d v="2025-03-03T00:00:00"/>
    <s v="Standard"/>
    <s v="CUST-0024"/>
    <s v="Kavya Iyer"/>
    <s v="Consumer"/>
    <s v="Ahmedabad"/>
    <s v="West"/>
    <x v="1"/>
    <s v="Storage Box"/>
    <n v="2"/>
    <n v="0"/>
    <x v="676"/>
    <n v="566.09"/>
    <s v="Debit Card"/>
    <b v="0"/>
    <b v="0"/>
    <b v="0"/>
    <m/>
  </r>
  <r>
    <n v="678"/>
    <s v="ORD-2025-0678"/>
    <d v="2025-12-25T00:00:00"/>
    <d v="2025-12-30T00:00:00"/>
    <s v="Express"/>
    <s v="CUST-0004"/>
    <s v="Kavya Iyer"/>
    <s v="Consumer"/>
    <s v="Delhi"/>
    <s v="North"/>
    <x v="3"/>
    <s v="Power Bank"/>
    <n v="4"/>
    <n v="0.2"/>
    <x v="677"/>
    <n v="565.37"/>
    <s v="UPI"/>
    <b v="0"/>
    <b v="0"/>
    <b v="0"/>
    <m/>
  </r>
  <r>
    <n v="679"/>
    <s v="ORD-2025-0679"/>
    <d v="2025-09-04T00:00:00"/>
    <d v="2025-09-06T00:00:00"/>
    <s v="Express"/>
    <s v="CUST-0108"/>
    <s v="Kavya Iyer"/>
    <s v="Consumer"/>
    <s v="Kolkata"/>
    <s v="East"/>
    <x v="2"/>
    <s v="Study Table"/>
    <n v="1"/>
    <n v="0"/>
    <x v="678"/>
    <n v="1933.19"/>
    <s v="Debit Card"/>
    <b v="0"/>
    <b v="0"/>
    <b v="0"/>
    <m/>
  </r>
  <r>
    <n v="680"/>
    <s v="ORD-2025-0680"/>
    <d v="2025-09-25T00:00:00"/>
    <d v="2025-09-28T00:00:00"/>
    <s v="Standard"/>
    <s v="CUST-0089"/>
    <s v="Divya Rao"/>
    <s v="Consumer"/>
    <s v="Hyderabad"/>
    <s v="South"/>
    <x v="1"/>
    <s v="Lunch Box"/>
    <n v="4"/>
    <n v="0.1"/>
    <x v="679"/>
    <n v="431.14"/>
    <s v="Credit Card"/>
    <b v="0"/>
    <b v="0"/>
    <b v="0"/>
    <m/>
  </r>
  <r>
    <n v="681"/>
    <s v="ORD-2025-0681"/>
    <d v="2025-03-12T00:00:00"/>
    <d v="2025-03-15T00:00:00"/>
    <s v="Standard"/>
    <s v="CUST-0207"/>
    <s v="Ishita Roy"/>
    <s v="Corporate"/>
    <s v="Bhubaneswar"/>
    <s v="East"/>
    <x v="0"/>
    <s v="Pen Set"/>
    <n v="2"/>
    <n v="0.15"/>
    <x v="680"/>
    <n v="27.21"/>
    <s v="UPI"/>
    <b v="0"/>
    <b v="0"/>
    <b v="0"/>
    <m/>
  </r>
  <r>
    <n v="682"/>
    <s v="ORD-2025-0682"/>
    <d v="2025-01-18T00:00:00"/>
    <d v="2025-01-23T00:00:00"/>
    <s v="Express"/>
    <s v="CUST-0222"/>
    <s v="Pooja Das"/>
    <s v="Corporate"/>
    <s v="Delhi"/>
    <s v="North"/>
    <x v="3"/>
    <s v="Bluetooth Speaker"/>
    <n v="2"/>
    <n v="0.1"/>
    <x v="681"/>
    <n v="447.33"/>
    <s v="UPI"/>
    <b v="0"/>
    <b v="0"/>
    <b v="0"/>
    <m/>
  </r>
  <r>
    <n v="683"/>
    <s v="ORD-2025-0683"/>
    <d v="2025-09-22T00:00:00"/>
    <d v="2025-09-25T00:00:00"/>
    <s v="Standard"/>
    <s v="CUST-0048"/>
    <s v="Arjun Patel"/>
    <s v="Consumer"/>
    <s v="Pune"/>
    <s v="West"/>
    <x v="0"/>
    <s v="Calculator"/>
    <n v="5"/>
    <n v="0.15"/>
    <x v="682"/>
    <n v="536.37"/>
    <s v="Net Banking"/>
    <b v="0"/>
    <b v="0"/>
    <b v="0"/>
    <m/>
  </r>
  <r>
    <n v="684"/>
    <s v="ORD-2025-0684"/>
    <d v="2025-02-06T00:00:00"/>
    <d v="2025-02-11T00:00:00"/>
    <s v="Standard"/>
    <s v="CUST-0196"/>
    <s v="Manish Yadav"/>
    <s v="Small Business"/>
    <s v="Ahmedabad"/>
    <s v="West"/>
    <x v="2"/>
    <s v="Study Table"/>
    <n v="4"/>
    <n v="0.2"/>
    <x v="683"/>
    <n v="4059.45"/>
    <s v="Debit Card"/>
    <b v="0"/>
    <b v="0"/>
    <b v="0"/>
    <m/>
  </r>
  <r>
    <n v="685"/>
    <s v="ORD-2025-0685"/>
    <d v="2025-12-29T00:00:00"/>
    <d v="2025-12-30T00:00:00"/>
    <s v="Standard"/>
    <s v="CUST-0096"/>
    <s v="Sanjay Menon"/>
    <s v="Consumer"/>
    <s v="Hyderabad"/>
    <s v="South"/>
    <x v="1"/>
    <s v="Coffee Mug"/>
    <n v="4"/>
    <n v="0.05"/>
    <x v="684"/>
    <n v="218.12"/>
    <s v="Debit Card"/>
    <b v="0"/>
    <b v="0"/>
    <b v="0"/>
    <m/>
  </r>
  <r>
    <n v="686"/>
    <s v="ORD-2025-0686"/>
    <d v="2025-07-24T00:00:00"/>
    <d v="2025-07-27T00:00:00"/>
    <s v="Standard"/>
    <s v="CUST-0028"/>
    <s v="Meera Shah"/>
    <s v="Consumer"/>
    <s v="Mumbai"/>
    <s v="West"/>
    <x v="3"/>
    <s v="Bluetooth Speaker"/>
    <n v="1"/>
    <n v="0.2"/>
    <x v="685"/>
    <n v="171.77"/>
    <s v="UPI"/>
    <b v="0"/>
    <b v="0"/>
    <b v="0"/>
    <m/>
  </r>
  <r>
    <n v="687"/>
    <s v="ORD-2025-0687"/>
    <d v="2025-10-08T00:00:00"/>
    <d v="2025-10-10T00:00:00"/>
    <s v="Standard"/>
    <s v="CUST-0136"/>
    <s v="Divya Rao"/>
    <s v="Consumer"/>
    <s v="Kolkata"/>
    <s v="East"/>
    <x v="2"/>
    <s v="Desk Lamp"/>
    <n v="1"/>
    <n v="0.15"/>
    <x v="686"/>
    <n v="84.37"/>
    <s v="Debit Card"/>
    <b v="0"/>
    <b v="0"/>
    <b v="0"/>
    <m/>
  </r>
  <r>
    <n v="688"/>
    <s v="ORD-2025-0688"/>
    <d v="2025-02-25T00:00:00"/>
    <d v="2025-02-26T00:00:00"/>
    <s v="Standard"/>
    <s v="CUST-0221"/>
    <s v="Kiran Joshi"/>
    <s v="Small Business"/>
    <s v="Chennai"/>
    <s v="South"/>
    <x v="2"/>
    <s v="Office Chair"/>
    <n v="2"/>
    <n v="0.2"/>
    <x v="687"/>
    <n v="-141.31"/>
    <s v="UPI"/>
    <b v="0"/>
    <b v="0"/>
    <b v="0"/>
    <m/>
  </r>
  <r>
    <n v="689"/>
    <s v="ORD-2025-0689"/>
    <d v="2025-06-04T00:00:00"/>
    <d v="2025-06-07T00:00:00"/>
    <s v="Standard"/>
    <s v="CUST-0012"/>
    <s v="Shreya Kapoor"/>
    <s v="Consumer"/>
    <s v="Mumbai"/>
    <s v="West"/>
    <x v="1"/>
    <s v="Lunch Box"/>
    <n v="1"/>
    <n v="0.1"/>
    <x v="688"/>
    <n v="134.46"/>
    <s v="Cash"/>
    <b v="0"/>
    <b v="0"/>
    <b v="0"/>
    <m/>
  </r>
  <r>
    <n v="690"/>
    <s v="ORD-2025-0690"/>
    <d v="2025-10-30T00:00:00"/>
    <d v="2025-11-04T00:00:00"/>
    <s v="Same Day"/>
    <s v="CUST-0015"/>
    <s v="Sneha Reddy"/>
    <s v="Corporate"/>
    <s v="Pune"/>
    <s v="West"/>
    <x v="2"/>
    <s v="Study Table"/>
    <n v="3"/>
    <n v="0.15"/>
    <x v="689"/>
    <n v="2901.16"/>
    <s v="Debit Card"/>
    <b v="0"/>
    <b v="0"/>
    <b v="0"/>
    <m/>
  </r>
  <r>
    <n v="691"/>
    <s v="ORD-2025-0691"/>
    <d v="2025-03-02T00:00:00"/>
    <d v="2025-03-03T00:00:00"/>
    <s v="Standard"/>
    <s v="CUST-0244"/>
    <s v="Priya Nair"/>
    <s v="Small Business"/>
    <s v="Jaipur"/>
    <s v="North"/>
    <x v="3"/>
    <s v="Power Bank"/>
    <n v="1"/>
    <n v="0"/>
    <x v="690"/>
    <n v="226.79"/>
    <s v="Credit Card"/>
    <b v="0"/>
    <b v="0"/>
    <b v="0"/>
    <m/>
  </r>
  <r>
    <n v="692"/>
    <s v="ORD-2025-0692"/>
    <d v="2025-09-03T00:00:00"/>
    <d v="2025-09-08T00:00:00"/>
    <s v="Standard"/>
    <s v="CUST-0060"/>
    <s v="Nikhil Jain"/>
    <s v="Consumer"/>
    <s v="Chennai"/>
    <s v="South"/>
    <x v="3"/>
    <s v="Wireless Mouse"/>
    <n v="2"/>
    <n v="0.05"/>
    <x v="691"/>
    <n v="304.79000000000002"/>
    <s v="Debit Card"/>
    <b v="0"/>
    <b v="0"/>
    <b v="0"/>
    <m/>
  </r>
  <r>
    <n v="693"/>
    <s v="ORD-2025-0693"/>
    <d v="2025-02-26T00:00:00"/>
    <d v="2025-03-03T00:00:00"/>
    <s v="Express"/>
    <s v="CUST-0179"/>
    <s v="Pooja Das"/>
    <s v="Consumer"/>
    <s v="Ahmedabad"/>
    <s v="West"/>
    <x v="2"/>
    <s v="Study Table"/>
    <n v="1"/>
    <n v="0.05"/>
    <x v="692"/>
    <n v="1950.97"/>
    <s v="UPI"/>
    <b v="0"/>
    <b v="0"/>
    <b v="0"/>
    <m/>
  </r>
  <r>
    <n v="694"/>
    <s v="ORD-2025-0694"/>
    <d v="2025-01-04T00:00:00"/>
    <d v="2025-01-09T00:00:00"/>
    <s v="Same Day"/>
    <s v="CUST-0245"/>
    <s v="Rahul Verma"/>
    <s v="Corporate"/>
    <s v="Lucknow"/>
    <s v="North"/>
    <x v="0"/>
    <s v="Pen Set"/>
    <n v="1"/>
    <n v="0.1"/>
    <x v="693"/>
    <n v="20.3"/>
    <s v="Debit Card"/>
    <b v="0"/>
    <b v="0"/>
    <b v="0"/>
    <m/>
  </r>
  <r>
    <n v="695"/>
    <s v="ORD-2025-0695"/>
    <d v="2025-12-19T00:00:00"/>
    <d v="2025-12-23T00:00:00"/>
    <s v="Express"/>
    <s v="CUST-0007"/>
    <s v="Sneha Reddy"/>
    <s v="Consumer"/>
    <s v="Hyderabad"/>
    <s v="South"/>
    <x v="0"/>
    <s v="File Folder"/>
    <n v="5"/>
    <n v="0.15"/>
    <x v="694"/>
    <n v="37.78"/>
    <s v="Cash"/>
    <b v="0"/>
    <b v="0"/>
    <b v="0"/>
    <m/>
  </r>
  <r>
    <n v="696"/>
    <s v="ORD-2025-0696"/>
    <d v="2025-12-29T00:00:00"/>
    <d v="2025-12-30T00:00:00"/>
    <s v="Express"/>
    <s v="CUST-0015"/>
    <s v="Neha Gupta"/>
    <s v="Corporate"/>
    <s v="Bhubaneswar"/>
    <s v="East"/>
    <x v="0"/>
    <s v="File Folder"/>
    <n v="5"/>
    <n v="0.25"/>
    <x v="695"/>
    <n v="19.059999999999999"/>
    <s v="Debit Card"/>
    <b v="0"/>
    <b v="0"/>
    <b v="0"/>
    <m/>
  </r>
  <r>
    <n v="697"/>
    <s v="ORD-2025-0697"/>
    <d v="2025-04-30T00:00:00"/>
    <d v="2025-05-04T00:00:00"/>
    <s v="Same Day"/>
    <s v="CUST-0197"/>
    <s v="Arjun Patel"/>
    <s v="Consumer"/>
    <s v="Hyderabad"/>
    <s v="South"/>
    <x v="1"/>
    <s v="Electric Kettle"/>
    <n v="4"/>
    <n v="0.15"/>
    <x v="696"/>
    <n v="865.99"/>
    <s v="UPI"/>
    <b v="0"/>
    <b v="0"/>
    <b v="0"/>
    <m/>
  </r>
  <r>
    <n v="698"/>
    <s v="ORD-2025-0698"/>
    <d v="2025-07-17T00:00:00"/>
    <d v="2025-07-20T00:00:00"/>
    <s v="Standard"/>
    <s v="CUST-0156"/>
    <s v="Ishita Roy"/>
    <s v="Corporate"/>
    <s v="Mysuru"/>
    <s v="South"/>
    <x v="0"/>
    <s v="File Folder"/>
    <n v="1"/>
    <n v="0.25"/>
    <x v="697"/>
    <n v="-1.33"/>
    <s v="Net Banking"/>
    <b v="0"/>
    <b v="0"/>
    <b v="0"/>
    <m/>
  </r>
  <r>
    <n v="699"/>
    <s v="ORD-2025-0699"/>
    <d v="2025-04-15T00:00:00"/>
    <d v="2025-04-16T00:00:00"/>
    <s v="Express"/>
    <s v="CUST-0003"/>
    <s v="Ananya Singh"/>
    <s v="Consumer"/>
    <s v="Bengaluru"/>
    <s v="South"/>
    <x v="3"/>
    <s v="Wireless Mouse"/>
    <n v="2"/>
    <n v="0.2"/>
    <x v="698"/>
    <n v="74.94"/>
    <s v="Net Banking"/>
    <b v="0"/>
    <b v="0"/>
    <b v="0"/>
    <m/>
  </r>
  <r>
    <n v="700"/>
    <s v="ORD-2025-0700"/>
    <d v="2025-03-06T00:00:00"/>
    <d v="2025-03-09T00:00:00"/>
    <s v="Express"/>
    <s v="CUST-0030"/>
    <s v="Neha Gupta"/>
    <s v="Small Business"/>
    <s v="Kolkata"/>
    <s v="East"/>
    <x v="2"/>
    <s v="Bookshelf"/>
    <n v="2"/>
    <n v="0.05"/>
    <x v="699"/>
    <n v="1685.17"/>
    <s v="Credit Card"/>
    <b v="0"/>
    <b v="0"/>
    <b v="0"/>
    <m/>
  </r>
  <r>
    <n v="701"/>
    <s v="ORD-2025-0701"/>
    <d v="2025-04-15T00:00:00"/>
    <d v="2025-04-20T00:00:00"/>
    <s v="Same Day"/>
    <s v="CUST-0206"/>
    <s v="Kavya Iyer"/>
    <s v="Small Business"/>
    <s v="Jaipur"/>
    <s v="North"/>
    <x v="2"/>
    <s v="Bookshelf"/>
    <n v="2"/>
    <n v="0"/>
    <x v="700"/>
    <n v="2373.33"/>
    <s v="Debit Card"/>
    <b v="0"/>
    <b v="0"/>
    <b v="0"/>
    <m/>
  </r>
  <r>
    <n v="702"/>
    <s v="ORD-2025-0702"/>
    <d v="2025-09-16T00:00:00"/>
    <d v="2025-09-19T00:00:00"/>
    <s v="Express"/>
    <s v="CUST-0089"/>
    <s v="Vikram Rao"/>
    <s v="Consumer"/>
    <s v="Bengaluru"/>
    <s v="South"/>
    <x v="0"/>
    <s v="Calculator"/>
    <n v="4"/>
    <n v="0.1"/>
    <x v="701"/>
    <n v="326.18"/>
    <s v="Credit Card"/>
    <b v="0"/>
    <b v="0"/>
    <b v="0"/>
    <m/>
  </r>
  <r>
    <n v="703"/>
    <s v="ORD-2025-0703"/>
    <d v="2025-10-18T00:00:00"/>
    <d v="2025-10-21T00:00:00"/>
    <s v="Standard"/>
    <s v="CUST-0139"/>
    <s v="Sanjay Menon"/>
    <s v="Consumer"/>
    <s v="Bengaluru"/>
    <s v="South"/>
    <x v="3"/>
    <s v="Power Bank"/>
    <n v="2"/>
    <n v="0.25"/>
    <x v="702"/>
    <n v="-132.44"/>
    <s v="UPI"/>
    <b v="0"/>
    <b v="0"/>
    <b v="0"/>
    <m/>
  </r>
  <r>
    <n v="704"/>
    <s v="ORD-2025-0704"/>
    <d v="2025-10-20T00:00:00"/>
    <d v="2025-10-21T00:00:00"/>
    <s v="Standard"/>
    <s v="CUST-0115"/>
    <s v="Pooja Das"/>
    <s v="Consumer"/>
    <s v="Jaipur"/>
    <s v="North"/>
    <x v="0"/>
    <s v="File Folder"/>
    <n v="2"/>
    <n v="0.1"/>
    <x v="703"/>
    <n v="46.25"/>
    <s v="UPI"/>
    <b v="0"/>
    <b v="0"/>
    <b v="0"/>
    <m/>
  </r>
  <r>
    <n v="705"/>
    <s v="ORD-2025-0705"/>
    <d v="2025-04-19T00:00:00"/>
    <d v="2025-04-21T00:00:00"/>
    <s v="Standard"/>
    <s v="CUST-0244"/>
    <s v="Manish Yadav"/>
    <s v="Corporate"/>
    <s v="Hyderabad"/>
    <s v="South"/>
    <x v="0"/>
    <s v="File Folder"/>
    <n v="1"/>
    <n v="0"/>
    <x v="704"/>
    <n v="26.18"/>
    <s v="Credit Card"/>
    <b v="0"/>
    <b v="0"/>
    <b v="0"/>
    <m/>
  </r>
  <r>
    <n v="706"/>
    <s v="ORD-2025-0706"/>
    <d v="2025-01-04T00:00:00"/>
    <d v="2025-01-06T00:00:00"/>
    <s v="Standard"/>
    <s v="CUST-0019"/>
    <s v="Nikhil Jain"/>
    <s v="Consumer"/>
    <s v="Chennai"/>
    <s v="South"/>
    <x v="2"/>
    <s v="Study Table"/>
    <n v="4"/>
    <n v="0"/>
    <x v="705"/>
    <n v="8380.68"/>
    <s v="UPI"/>
    <b v="0"/>
    <b v="0"/>
    <b v="0"/>
    <m/>
  </r>
  <r>
    <n v="707"/>
    <s v="ORD-2025-0707"/>
    <d v="2025-11-02T00:00:00"/>
    <d v="2025-11-06T00:00:00"/>
    <s v="Standard"/>
    <s v="CUST-0039"/>
    <s v="Priya Nair"/>
    <s v="Consumer"/>
    <s v="Kolkata"/>
    <s v="East"/>
    <x v="3"/>
    <s v="Power Bank"/>
    <n v="1"/>
    <n v="0.1"/>
    <x v="706"/>
    <n v="171.2"/>
    <s v="UPI"/>
    <b v="0"/>
    <b v="0"/>
    <b v="0"/>
    <m/>
  </r>
  <r>
    <n v="708"/>
    <s v="ORD-2025-0708"/>
    <d v="2025-03-31T00:00:00"/>
    <d v="2025-04-03T00:00:00"/>
    <s v="Standard"/>
    <s v="CUST-0209"/>
    <s v="Rohan Mehta"/>
    <s v="Small Business"/>
    <s v="Kolkata"/>
    <s v="East"/>
    <x v="1"/>
    <s v="Coffee Mug"/>
    <n v="1"/>
    <n v="0"/>
    <x v="707"/>
    <n v="45.93"/>
    <s v="UPI"/>
    <b v="0"/>
    <b v="0"/>
    <b v="0"/>
    <m/>
  </r>
  <r>
    <n v="709"/>
    <s v="ORD-2025-0709"/>
    <d v="2025-03-27T00:00:00"/>
    <d v="2025-03-30T00:00:00"/>
    <s v="Standard"/>
    <s v="CUST-0250"/>
    <s v="Divya Rao"/>
    <s v="Consumer"/>
    <s v="Mumbai"/>
    <s v="West"/>
    <x v="3"/>
    <s v="USB-C Hub"/>
    <n v="4"/>
    <n v="0.2"/>
    <x v="708"/>
    <n v="220.01"/>
    <s v="Net Banking"/>
    <b v="0"/>
    <b v="0"/>
    <b v="0"/>
    <m/>
  </r>
  <r>
    <n v="710"/>
    <s v="ORD-2025-0710"/>
    <d v="2025-12-11T00:00:00"/>
    <d v="2025-12-15T00:00:00"/>
    <s v="Standard"/>
    <s v="CUST-0225"/>
    <s v="Pooja Das"/>
    <s v="Small Business"/>
    <s v="Bhubaneswar"/>
    <s v="East"/>
    <x v="1"/>
    <s v="Water Bottle"/>
    <n v="3"/>
    <n v="0.2"/>
    <x v="709"/>
    <n v="21.44"/>
    <s v="Debit Card"/>
    <b v="0"/>
    <b v="0"/>
    <b v="0"/>
    <m/>
  </r>
  <r>
    <n v="711"/>
    <s v="ORD-2025-0711"/>
    <d v="2025-03-15T00:00:00"/>
    <d v="2025-03-19T00:00:00"/>
    <s v="Standard"/>
    <s v="CUST-0121"/>
    <s v="Aditya Kumar"/>
    <s v="Consumer"/>
    <s v="Bhubaneswar"/>
    <s v="East"/>
    <x v="2"/>
    <s v="Study Table"/>
    <n v="2"/>
    <n v="0"/>
    <x v="710"/>
    <n v="2410.0500000000002"/>
    <s v="Credit Card"/>
    <b v="0"/>
    <b v="0"/>
    <b v="0"/>
    <m/>
  </r>
  <r>
    <n v="712"/>
    <s v="ORD-2025-0712"/>
    <d v="2025-11-21T00:00:00"/>
    <d v="2025-11-24T00:00:00"/>
    <s v="Express"/>
    <s v="CUST-0192"/>
    <s v="Nikhil Jain"/>
    <s v="Consumer"/>
    <s v="Chennai"/>
    <s v="South"/>
    <x v="2"/>
    <s v="Study Table"/>
    <n v="1"/>
    <n v="0.1"/>
    <x v="711"/>
    <n v="1240.68"/>
    <s v="Net Banking"/>
    <b v="0"/>
    <b v="0"/>
    <b v="0"/>
    <m/>
  </r>
  <r>
    <n v="713"/>
    <s v="ORD-2025-0713"/>
    <d v="2025-10-31T00:00:00"/>
    <d v="2025-11-05T00:00:00"/>
    <s v="Standard"/>
    <s v="CUST-0235"/>
    <s v="Aarav Sharma"/>
    <s v="Consumer"/>
    <s v="Pune"/>
    <s v="West"/>
    <x v="1"/>
    <s v="Storage Box"/>
    <n v="1"/>
    <n v="0"/>
    <x v="712"/>
    <n v="323.60000000000002"/>
    <s v="UPI"/>
    <b v="0"/>
    <b v="0"/>
    <b v="0"/>
    <m/>
  </r>
  <r>
    <n v="714"/>
    <s v="ORD-2025-0714"/>
    <d v="2025-07-11T00:00:00"/>
    <d v="2025-07-16T00:00:00"/>
    <s v="Standard"/>
    <s v="CUST-0014"/>
    <s v="Pooja Das"/>
    <s v="Consumer"/>
    <s v="Ahmedabad"/>
    <s v="West"/>
    <x v="0"/>
    <s v="Calculator"/>
    <n v="2"/>
    <n v="0"/>
    <x v="713"/>
    <n v="444.21"/>
    <s v="Cash"/>
    <b v="0"/>
    <b v="0"/>
    <b v="0"/>
    <m/>
  </r>
  <r>
    <n v="715"/>
    <s v="ORD-2025-0715"/>
    <d v="2025-04-16T00:00:00"/>
    <d v="2025-04-19T00:00:00"/>
    <s v="Standard"/>
    <s v="CUST-0016"/>
    <s v="Nikhil Jain"/>
    <s v="Consumer"/>
    <s v="Chennai"/>
    <s v="South"/>
    <x v="0"/>
    <s v="Calculator"/>
    <n v="2"/>
    <n v="0"/>
    <x v="714"/>
    <n v="423.51"/>
    <s v="Debit Card"/>
    <b v="0"/>
    <b v="0"/>
    <b v="0"/>
    <m/>
  </r>
  <r>
    <n v="716"/>
    <s v="ORD-2025-0716"/>
    <d v="2025-01-01T00:00:00"/>
    <d v="2025-01-03T00:00:00"/>
    <s v="Standard"/>
    <s v="CUST-0108"/>
    <s v="Vikram Rao"/>
    <s v="Small Business"/>
    <s v="Delhi"/>
    <s v="North"/>
    <x v="0"/>
    <s v="File Folder"/>
    <n v="1"/>
    <n v="0.1"/>
    <x v="715"/>
    <n v="11.26"/>
    <s v="Debit Card"/>
    <b v="0"/>
    <b v="0"/>
    <b v="0"/>
    <m/>
  </r>
  <r>
    <n v="717"/>
    <s v="ORD-2025-0717"/>
    <d v="2025-10-28T00:00:00"/>
    <d v="2025-10-31T00:00:00"/>
    <s v="Standard"/>
    <s v="CUST-0020"/>
    <s v="Sanjay Menon"/>
    <s v="Consumer"/>
    <s v="Jaipur"/>
    <s v="North"/>
    <x v="1"/>
    <s v="Electric Kettle"/>
    <n v="1"/>
    <n v="0"/>
    <x v="716"/>
    <n v="377.06"/>
    <s v="Credit Card"/>
    <b v="0"/>
    <b v="0"/>
    <b v="0"/>
    <m/>
  </r>
  <r>
    <n v="718"/>
    <s v="ORD-2025-0718"/>
    <d v="2025-04-14T00:00:00"/>
    <d v="2025-04-16T00:00:00"/>
    <s v="Standard"/>
    <s v="CUST-0216"/>
    <s v="Aarav Sharma"/>
    <s v="Corporate"/>
    <s v="Delhi"/>
    <s v="North"/>
    <x v="0"/>
    <s v="Calculator"/>
    <n v="5"/>
    <n v="0"/>
    <x v="717"/>
    <n v="957.41"/>
    <s v="UPI"/>
    <b v="0"/>
    <b v="0"/>
    <b v="0"/>
    <m/>
  </r>
  <r>
    <n v="719"/>
    <s v="ORD-2025-0719"/>
    <d v="2025-04-14T00:00:00"/>
    <d v="2025-04-19T00:00:00"/>
    <s v="Express"/>
    <s v="CUST-0222"/>
    <s v="Priya Nair"/>
    <s v="Consumer"/>
    <s v="Ahmedabad"/>
    <s v="West"/>
    <x v="2"/>
    <s v="Study Table"/>
    <n v="1"/>
    <n v="0.05"/>
    <x v="718"/>
    <n v="1207.1199999999999"/>
    <s v="Debit Card"/>
    <b v="0"/>
    <b v="0"/>
    <b v="0"/>
    <m/>
  </r>
  <r>
    <n v="720"/>
    <s v="ORD-2025-0720"/>
    <d v="2025-06-26T00:00:00"/>
    <d v="2025-07-01T00:00:00"/>
    <s v="Standard"/>
    <s v="CUST-0046"/>
    <s v="Kavya Iyer"/>
    <s v="Consumer"/>
    <s v="Jaipur"/>
    <s v="North"/>
    <x v="1"/>
    <s v="Coffee Mug"/>
    <n v="3"/>
    <n v="0"/>
    <x v="719"/>
    <n v="174.86"/>
    <s v="UPI"/>
    <b v="0"/>
    <b v="0"/>
    <b v="0"/>
    <m/>
  </r>
  <r>
    <n v="721"/>
    <s v="ORD-2025-0721"/>
    <d v="2025-02-15T00:00:00"/>
    <d v="2025-02-19T00:00:00"/>
    <s v="Standard"/>
    <s v="CUST-0003"/>
    <s v="Ishita Roy"/>
    <s v="Small Business"/>
    <s v="Ahmedabad"/>
    <s v="West"/>
    <x v="2"/>
    <s v="Office Chair"/>
    <n v="1"/>
    <n v="0.2"/>
    <x v="720"/>
    <n v="10.86"/>
    <s v="UPI"/>
    <b v="0"/>
    <b v="0"/>
    <b v="0"/>
    <m/>
  </r>
  <r>
    <n v="722"/>
    <s v="ORD-2025-0722"/>
    <d v="2025-11-11T00:00:00"/>
    <d v="2025-11-13T00:00:00"/>
    <s v="Express"/>
    <s v="CUST-0109"/>
    <s v="Neha Gupta"/>
    <s v="Small Business"/>
    <s v="Ahmedabad"/>
    <s v="West"/>
    <x v="2"/>
    <s v="Folding Chair"/>
    <n v="4"/>
    <n v="0"/>
    <x v="721"/>
    <n v="2789.02"/>
    <s v="Net Banking"/>
    <b v="0"/>
    <b v="0"/>
    <b v="0"/>
    <m/>
  </r>
  <r>
    <n v="723"/>
    <s v="ORD-2025-0723"/>
    <d v="2025-08-05T00:00:00"/>
    <d v="2025-08-09T00:00:00"/>
    <s v="Express"/>
    <s v="CUST-0095"/>
    <s v="Pooja Das"/>
    <s v="Consumer"/>
    <s v="Lucknow"/>
    <s v="North"/>
    <x v="0"/>
    <s v="File Folder"/>
    <n v="1"/>
    <n v="0"/>
    <x v="722"/>
    <n v="25.7"/>
    <s v="UPI"/>
    <b v="0"/>
    <b v="0"/>
    <b v="0"/>
    <m/>
  </r>
  <r>
    <n v="724"/>
    <s v="ORD-2025-0724"/>
    <d v="2025-05-21T00:00:00"/>
    <d v="2025-05-24T00:00:00"/>
    <s v="Standard"/>
    <s v="CUST-0078"/>
    <s v="Kavya Iyer"/>
    <s v="Consumer"/>
    <s v="Ahmedabad"/>
    <s v="West"/>
    <x v="0"/>
    <s v="Notebook"/>
    <n v="2"/>
    <n v="0.05"/>
    <x v="723"/>
    <n v="76.22"/>
    <s v="UPI"/>
    <b v="0"/>
    <b v="0"/>
    <b v="0"/>
    <m/>
  </r>
  <r>
    <n v="725"/>
    <s v="ORD-2025-0725"/>
    <d v="2025-03-02T00:00:00"/>
    <d v="2025-03-06T00:00:00"/>
    <s v="Standard"/>
    <s v="CUST-0095"/>
    <s v="Arjun Patel"/>
    <s v="Corporate"/>
    <s v="Delhi"/>
    <s v="North"/>
    <x v="0"/>
    <s v="Pen Set"/>
    <n v="4"/>
    <n v="0"/>
    <x v="724"/>
    <n v="124.9"/>
    <s v="Credit Card"/>
    <b v="0"/>
    <b v="0"/>
    <b v="0"/>
    <m/>
  </r>
  <r>
    <n v="726"/>
    <s v="ORD-2025-0726"/>
    <d v="2025-05-06T00:00:00"/>
    <d v="2025-05-10T00:00:00"/>
    <s v="Express"/>
    <s v="CUST-0134"/>
    <s v="Ananya Singh"/>
    <s v="Corporate"/>
    <s v="Ahmedabad"/>
    <s v="West"/>
    <x v="2"/>
    <s v="Study Table"/>
    <n v="2"/>
    <n v="0.2"/>
    <x v="725"/>
    <n v="902.7"/>
    <s v="Debit Card"/>
    <b v="0"/>
    <b v="0"/>
    <b v="0"/>
    <m/>
  </r>
  <r>
    <n v="727"/>
    <s v="ORD-2025-0727"/>
    <d v="2025-08-16T00:00:00"/>
    <d v="2025-08-20T00:00:00"/>
    <s v="Express"/>
    <s v="CUST-0173"/>
    <s v="Manish Yadav"/>
    <s v="Corporate"/>
    <s v="Delhi"/>
    <s v="North"/>
    <x v="3"/>
    <s v="Power Bank"/>
    <n v="2"/>
    <n v="0.05"/>
    <x v="726"/>
    <n v="552.75"/>
    <s v="Net Banking"/>
    <b v="0"/>
    <b v="0"/>
    <b v="0"/>
    <m/>
  </r>
  <r>
    <n v="728"/>
    <s v="ORD-2025-0728"/>
    <d v="2025-10-07T00:00:00"/>
    <d v="2025-10-09T00:00:00"/>
    <s v="Standard"/>
    <s v="CUST-0170"/>
    <s v="Arjun Patel"/>
    <s v="Consumer"/>
    <s v="Bengaluru"/>
    <s v="South"/>
    <x v="3"/>
    <s v="USB-C Hub"/>
    <n v="1"/>
    <n v="0.2"/>
    <x v="727"/>
    <n v="175.9"/>
    <s v="UPI"/>
    <b v="0"/>
    <b v="0"/>
    <b v="0"/>
    <m/>
  </r>
  <r>
    <n v="729"/>
    <s v="ORD-2025-0729"/>
    <d v="2025-03-30T00:00:00"/>
    <d v="2025-04-04T00:00:00"/>
    <s v="Standard"/>
    <s v="CUST-0150"/>
    <s v="Aditya Kumar"/>
    <s v="Consumer"/>
    <s v="Jaipur"/>
    <s v="North"/>
    <x v="1"/>
    <s v="Lunch Box"/>
    <n v="3"/>
    <n v="0.25"/>
    <x v="728"/>
    <n v="97.41"/>
    <s v="Debit Card"/>
    <b v="0"/>
    <b v="0"/>
    <b v="0"/>
    <m/>
  </r>
  <r>
    <n v="730"/>
    <s v="ORD-2025-0730"/>
    <d v="2025-09-09T00:00:00"/>
    <d v="2025-09-14T00:00:00"/>
    <s v="Express"/>
    <s v="CUST-0217"/>
    <s v="Divya Rao"/>
    <s v="Consumer"/>
    <s v="Hyderabad"/>
    <s v="South"/>
    <x v="2"/>
    <s v="Folding Chair"/>
    <n v="1"/>
    <n v="0.15"/>
    <x v="729"/>
    <n v="316"/>
    <s v="Debit Card"/>
    <b v="0"/>
    <b v="0"/>
    <b v="0"/>
    <m/>
  </r>
  <r>
    <n v="731"/>
    <s v="ORD-2025-0731"/>
    <d v="2025-06-28T00:00:00"/>
    <d v="2025-07-03T00:00:00"/>
    <s v="Standard"/>
    <s v="CUST-0181"/>
    <s v="Kiran Joshi"/>
    <s v="Small Business"/>
    <s v="Bhubaneswar"/>
    <s v="East"/>
    <x v="0"/>
    <s v="Desk Organizer"/>
    <n v="3"/>
    <n v="0.1"/>
    <x v="730"/>
    <n v="216.41"/>
    <s v="UPI"/>
    <b v="0"/>
    <b v="0"/>
    <b v="0"/>
    <m/>
  </r>
  <r>
    <n v="732"/>
    <s v="ORD-2025-0732"/>
    <d v="2025-05-01T00:00:00"/>
    <d v="2025-05-03T00:00:00"/>
    <s v="Standard"/>
    <s v="CUST-0201"/>
    <s v="Arjun Patel"/>
    <s v="Corporate"/>
    <s v="Mysuru"/>
    <s v="South"/>
    <x v="1"/>
    <s v="Electric Kettle"/>
    <n v="2"/>
    <n v="0.15"/>
    <x v="731"/>
    <n v="462.72"/>
    <s v="UPI"/>
    <b v="0"/>
    <b v="0"/>
    <b v="0"/>
    <m/>
  </r>
  <r>
    <n v="733"/>
    <s v="ORD-2025-0733"/>
    <d v="2025-07-06T00:00:00"/>
    <d v="2025-07-07T00:00:00"/>
    <s v="Express"/>
    <s v="CUST-0147"/>
    <s v="Manish Yadav"/>
    <s v="Consumer"/>
    <s v="Chennai"/>
    <s v="South"/>
    <x v="0"/>
    <s v="Notebook"/>
    <n v="1"/>
    <n v="0.05"/>
    <x v="732"/>
    <n v="50.56"/>
    <s v="Credit Card"/>
    <b v="0"/>
    <b v="0"/>
    <b v="0"/>
    <m/>
  </r>
  <r>
    <n v="734"/>
    <s v="ORD-2025-0734"/>
    <d v="2025-03-03T00:00:00"/>
    <d v="2025-03-08T00:00:00"/>
    <s v="Standard"/>
    <s v="CUST-0019"/>
    <s v="Rohan Mehta"/>
    <s v="Consumer"/>
    <s v="Jaipur"/>
    <s v="North"/>
    <x v="3"/>
    <s v="Bluetooth Speaker"/>
    <n v="2"/>
    <n v="0.2"/>
    <x v="733"/>
    <n v="330.5"/>
    <s v="Credit Card"/>
    <b v="0"/>
    <b v="0"/>
    <b v="0"/>
    <m/>
  </r>
  <r>
    <n v="735"/>
    <s v="ORD-2025-0735"/>
    <d v="2025-08-12T00:00:00"/>
    <d v="2025-08-17T00:00:00"/>
    <s v="Standard"/>
    <s v="CUST-0195"/>
    <s v="Sneha Reddy"/>
    <s v="Small Business"/>
    <s v="Pune"/>
    <s v="West"/>
    <x v="0"/>
    <s v="Notebook"/>
    <n v="3"/>
    <n v="0"/>
    <x v="734"/>
    <n v="203.17"/>
    <s v="Net Banking"/>
    <b v="0"/>
    <b v="0"/>
    <b v="0"/>
    <m/>
  </r>
  <r>
    <n v="736"/>
    <s v="ORD-2025-0736"/>
    <d v="2025-05-23T00:00:00"/>
    <d v="2025-05-24T00:00:00"/>
    <s v="Express"/>
    <s v="CUST-0046"/>
    <s v="Rahul Verma"/>
    <s v="Small Business"/>
    <s v="Mysuru"/>
    <s v="South"/>
    <x v="0"/>
    <s v="Desk Organizer"/>
    <n v="4"/>
    <n v="0.25"/>
    <x v="735"/>
    <n v="-124.19"/>
    <s v="Cash"/>
    <b v="0"/>
    <b v="0"/>
    <b v="0"/>
    <m/>
  </r>
  <r>
    <n v="737"/>
    <s v="ORD-2025-0737"/>
    <d v="2025-05-21T00:00:00"/>
    <d v="2025-05-25T00:00:00"/>
    <s v="Express"/>
    <s v="CUST-0219"/>
    <s v="Arjun Patel"/>
    <s v="Consumer"/>
    <s v="Delhi"/>
    <s v="North"/>
    <x v="1"/>
    <s v="Storage Box"/>
    <n v="2"/>
    <n v="0.05"/>
    <x v="736"/>
    <n v="465.74"/>
    <s v="Debit Card"/>
    <b v="0"/>
    <b v="0"/>
    <b v="0"/>
    <m/>
  </r>
  <r>
    <n v="738"/>
    <s v="ORD-2025-0738"/>
    <d v="2025-05-21T00:00:00"/>
    <d v="2025-05-26T00:00:00"/>
    <s v="Standard"/>
    <s v="CUST-0133"/>
    <s v="Kiran Joshi"/>
    <s v="Small Business"/>
    <s v="Bhubaneswar"/>
    <s v="East"/>
    <x v="1"/>
    <s v="Coffee Mug"/>
    <n v="3"/>
    <n v="0.15"/>
    <x v="737"/>
    <n v="57.97"/>
    <s v="Cash"/>
    <b v="0"/>
    <b v="0"/>
    <b v="0"/>
    <m/>
  </r>
  <r>
    <n v="739"/>
    <s v="ORD-2025-0739"/>
    <d v="2025-12-26T00:00:00"/>
    <d v="2025-12-31T00:00:00"/>
    <s v="Standard"/>
    <s v="CUST-0151"/>
    <s v="Sneha Reddy"/>
    <s v="Corporate"/>
    <s v="Mysuru"/>
    <s v="South"/>
    <x v="3"/>
    <s v="USB-C Hub"/>
    <n v="1"/>
    <n v="0.1"/>
    <x v="738"/>
    <n v="383.3"/>
    <s v="Credit Card"/>
    <b v="0"/>
    <b v="0"/>
    <b v="0"/>
    <m/>
  </r>
  <r>
    <n v="740"/>
    <s v="ORD-2025-0740"/>
    <d v="2025-12-31T00:00:00"/>
    <d v="2026-01-01T00:00:00"/>
    <s v="Standard"/>
    <s v="CUST-0178"/>
    <s v="Pooja Das"/>
    <s v="Consumer"/>
    <s v="Ahmedabad"/>
    <s v="West"/>
    <x v="3"/>
    <s v="Keyboard"/>
    <n v="1"/>
    <n v="0.05"/>
    <x v="739"/>
    <n v="292.27999999999997"/>
    <s v="Credit Card"/>
    <b v="0"/>
    <b v="0"/>
    <b v="0"/>
    <m/>
  </r>
  <r>
    <n v="741"/>
    <s v="ORD-2025-0741"/>
    <d v="2025-10-30T00:00:00"/>
    <d v="2025-11-01T00:00:00"/>
    <s v="Express"/>
    <s v="CUST-0160"/>
    <s v="Aarav Sharma"/>
    <s v="Small Business"/>
    <s v="Chennai"/>
    <s v="South"/>
    <x v="0"/>
    <s v="File Folder"/>
    <n v="2"/>
    <n v="0.1"/>
    <x v="740"/>
    <n v="33.33"/>
    <s v="Debit Card"/>
    <b v="0"/>
    <b v="0"/>
    <b v="0"/>
    <m/>
  </r>
  <r>
    <n v="742"/>
    <s v="ORD-2025-0742"/>
    <d v="2025-03-09T00:00:00"/>
    <d v="2025-03-14T00:00:00"/>
    <s v="Standard"/>
    <s v="CUST-0156"/>
    <s v="Aarav Sharma"/>
    <s v="Corporate"/>
    <s v="Delhi"/>
    <s v="North"/>
    <x v="2"/>
    <s v="Study Table"/>
    <n v="4"/>
    <n v="0"/>
    <x v="741"/>
    <n v="7366.07"/>
    <s v="Credit Card"/>
    <b v="0"/>
    <b v="0"/>
    <b v="0"/>
    <m/>
  </r>
  <r>
    <n v="743"/>
    <s v="ORD-2025-0743"/>
    <d v="2025-12-28T00:00:00"/>
    <d v="2026-01-02T00:00:00"/>
    <s v="Express"/>
    <s v="CUST-0232"/>
    <s v="Rohan Mehta"/>
    <s v="Consumer"/>
    <s v="Mysuru"/>
    <s v="South"/>
    <x v="1"/>
    <s v="Lunch Box"/>
    <n v="4"/>
    <n v="0.1"/>
    <x v="742"/>
    <n v="569.74"/>
    <s v="Cash"/>
    <b v="0"/>
    <b v="0"/>
    <b v="0"/>
    <m/>
  </r>
  <r>
    <n v="744"/>
    <s v="ORD-2025-0744"/>
    <d v="2025-03-09T00:00:00"/>
    <d v="2025-03-14T00:00:00"/>
    <s v="Standard"/>
    <s v="CUST-0217"/>
    <s v="Nikhil Jain"/>
    <s v="Consumer"/>
    <s v="Bhubaneswar"/>
    <s v="East"/>
    <x v="1"/>
    <s v="Coffee Mug"/>
    <n v="2"/>
    <n v="0.2"/>
    <x v="743"/>
    <n v="20.100000000000001"/>
    <s v="Credit Card"/>
    <b v="0"/>
    <b v="0"/>
    <b v="0"/>
    <m/>
  </r>
  <r>
    <n v="745"/>
    <s v="ORD-2025-0745"/>
    <d v="2025-02-11T00:00:00"/>
    <d v="2025-02-12T00:00:00"/>
    <s v="Standard"/>
    <s v="CUST-0228"/>
    <s v="Vikram Rao"/>
    <s v="Consumer"/>
    <s v="Delhi"/>
    <s v="North"/>
    <x v="3"/>
    <s v="Bluetooth Speaker"/>
    <n v="1"/>
    <n v="0.1"/>
    <x v="744"/>
    <n v="405.33"/>
    <s v="UPI"/>
    <b v="0"/>
    <b v="0"/>
    <b v="0"/>
    <m/>
  </r>
  <r>
    <n v="746"/>
    <s v="ORD-2025-0746"/>
    <d v="2025-11-03T00:00:00"/>
    <d v="2025-11-08T00:00:00"/>
    <s v="Standard"/>
    <s v="CUST-0118"/>
    <s v="Nikhil Jain"/>
    <s v="Corporate"/>
    <s v="Mumbai"/>
    <s v="West"/>
    <x v="1"/>
    <s v="Water Bottle"/>
    <n v="2"/>
    <n v="0.1"/>
    <x v="745"/>
    <n v="149.36000000000001"/>
    <s v="Credit Card"/>
    <b v="0"/>
    <b v="0"/>
    <b v="0"/>
    <m/>
  </r>
  <r>
    <n v="747"/>
    <s v="ORD-2025-0747"/>
    <d v="2025-02-16T00:00:00"/>
    <d v="2025-02-20T00:00:00"/>
    <s v="Express"/>
    <s v="CUST-0126"/>
    <s v="Ananya Singh"/>
    <s v="Consumer"/>
    <s v="Mumbai"/>
    <s v="West"/>
    <x v="1"/>
    <s v="Electric Kettle"/>
    <n v="1"/>
    <n v="0.25"/>
    <x v="746"/>
    <n v="-167.48"/>
    <s v="Debit Card"/>
    <b v="0"/>
    <b v="0"/>
    <b v="0"/>
    <m/>
  </r>
  <r>
    <n v="748"/>
    <s v="ORD-2025-0748"/>
    <d v="2025-10-19T00:00:00"/>
    <d v="2025-10-22T00:00:00"/>
    <s v="Express"/>
    <s v="CUST-0086"/>
    <s v="Manish Yadav"/>
    <s v="Consumer"/>
    <s v="Bengaluru"/>
    <s v="South"/>
    <x v="1"/>
    <s v="Lunch Box"/>
    <n v="2"/>
    <n v="0.2"/>
    <x v="747"/>
    <n v="195.65"/>
    <s v="UPI"/>
    <b v="0"/>
    <b v="0"/>
    <b v="0"/>
    <m/>
  </r>
  <r>
    <n v="749"/>
    <s v="ORD-2025-0749"/>
    <d v="2025-01-24T00:00:00"/>
    <d v="2025-01-27T00:00:00"/>
    <s v="Standard"/>
    <s v="CUST-0190"/>
    <s v="Neha Gupta"/>
    <s v="Corporate"/>
    <s v="Chennai"/>
    <s v="South"/>
    <x v="2"/>
    <s v="Office Chair"/>
    <n v="2"/>
    <n v="0.1"/>
    <x v="748"/>
    <n v="1623.97"/>
    <s v="Credit Card"/>
    <b v="0"/>
    <b v="0"/>
    <b v="0"/>
    <m/>
  </r>
  <r>
    <n v="750"/>
    <s v="ORD-2025-0750"/>
    <d v="2025-09-13T00:00:00"/>
    <d v="2025-09-17T00:00:00"/>
    <s v="Standard"/>
    <s v="CUST-0084"/>
    <s v="Divya Rao"/>
    <s v="Consumer"/>
    <s v="Chennai"/>
    <s v="South"/>
    <x v="3"/>
    <s v="Bluetooth Speaker"/>
    <n v="2"/>
    <n v="0.1"/>
    <x v="749"/>
    <n v="888.66"/>
    <s v="Debit Card"/>
    <b v="0"/>
    <b v="0"/>
    <b v="0"/>
    <m/>
  </r>
  <r>
    <n v="751"/>
    <s v="ORD-2025-0751"/>
    <d v="2025-08-24T00:00:00"/>
    <d v="2025-08-26T00:00:00"/>
    <s v="Express"/>
    <s v="CUST-0149"/>
    <s v="Meera Shah"/>
    <s v="Small Business"/>
    <s v="Kolkata"/>
    <s v="East"/>
    <x v="3"/>
    <s v="USB-C Hub"/>
    <n v="1"/>
    <n v="0"/>
    <x v="750"/>
    <n v="389.47"/>
    <s v="Credit Card"/>
    <b v="0"/>
    <b v="0"/>
    <b v="0"/>
    <m/>
  </r>
  <r>
    <n v="752"/>
    <s v="ORD-2025-0752"/>
    <d v="2025-10-06T00:00:00"/>
    <d v="2025-10-10T00:00:00"/>
    <s v="Express"/>
    <s v="CUST-0038"/>
    <s v="Manish Yadav"/>
    <s v="Small Business"/>
    <s v="Jaipur"/>
    <s v="North"/>
    <x v="0"/>
    <s v="Calculator"/>
    <n v="4"/>
    <n v="0.1"/>
    <x v="751"/>
    <n v="241.87"/>
    <s v="UPI"/>
    <b v="0"/>
    <b v="0"/>
    <b v="0"/>
    <m/>
  </r>
  <r>
    <n v="753"/>
    <s v="ORD-2025-0753"/>
    <d v="2025-05-08T00:00:00"/>
    <d v="2025-05-11T00:00:00"/>
    <s v="Standard"/>
    <s v="CUST-0014"/>
    <s v="Ishita Roy"/>
    <s v="Consumer"/>
    <s v="Kolkata"/>
    <s v="East"/>
    <x v="3"/>
    <s v="Power Bank"/>
    <n v="3"/>
    <n v="0.1"/>
    <x v="752"/>
    <n v="739.73"/>
    <s v="Credit Card"/>
    <b v="0"/>
    <b v="0"/>
    <b v="0"/>
    <m/>
  </r>
  <r>
    <n v="754"/>
    <s v="ORD-2025-0754"/>
    <d v="2025-09-05T00:00:00"/>
    <d v="2025-09-06T00:00:00"/>
    <s v="Standard"/>
    <s v="CUST-0038"/>
    <s v="Arjun Patel"/>
    <s v="Corporate"/>
    <s v="Delhi"/>
    <s v="North"/>
    <x v="2"/>
    <s v="Folding Chair"/>
    <n v="1"/>
    <n v="0.05"/>
    <x v="753"/>
    <n v="483.56"/>
    <s v="UPI"/>
    <b v="0"/>
    <b v="0"/>
    <b v="0"/>
    <m/>
  </r>
  <r>
    <n v="755"/>
    <s v="ORD-2025-0755"/>
    <d v="2025-08-16T00:00:00"/>
    <d v="2025-08-18T00:00:00"/>
    <s v="Standard"/>
    <s v="CUST-0021"/>
    <s v="Divya Rao"/>
    <s v="Small Business"/>
    <s v="Hyderabad"/>
    <s v="South"/>
    <x v="1"/>
    <s v="Storage Box"/>
    <n v="3"/>
    <n v="0.1"/>
    <x v="754"/>
    <n v="462.03"/>
    <s v="Net Banking"/>
    <b v="0"/>
    <b v="0"/>
    <b v="0"/>
    <m/>
  </r>
  <r>
    <n v="756"/>
    <s v="ORD-2025-0756"/>
    <d v="2025-06-08T00:00:00"/>
    <d v="2025-06-13T00:00:00"/>
    <s v="Express"/>
    <s v="CUST-0096"/>
    <s v="Priya Nair"/>
    <s v="Corporate"/>
    <s v="Bhubaneswar"/>
    <s v="East"/>
    <x v="1"/>
    <s v="Lunch Box"/>
    <n v="1"/>
    <n v="0.05"/>
    <x v="755"/>
    <n v="183.06"/>
    <s v="UPI"/>
    <b v="0"/>
    <b v="0"/>
    <b v="0"/>
    <m/>
  </r>
  <r>
    <n v="757"/>
    <s v="ORD-2025-0757"/>
    <d v="2025-10-25T00:00:00"/>
    <d v="2025-10-29T00:00:00"/>
    <s v="Express"/>
    <s v="CUST-0008"/>
    <s v="Kiran Joshi"/>
    <s v="Corporate"/>
    <s v="Pune"/>
    <s v="West"/>
    <x v="0"/>
    <s v="Calculator"/>
    <n v="3"/>
    <n v="0.1"/>
    <x v="756"/>
    <n v="371.65"/>
    <s v="UPI"/>
    <b v="0"/>
    <b v="0"/>
    <b v="0"/>
    <m/>
  </r>
  <r>
    <n v="758"/>
    <s v="ORD-2025-0758"/>
    <d v="2025-03-22T00:00:00"/>
    <d v="2025-03-25T00:00:00"/>
    <s v="Express"/>
    <s v="CUST-0111"/>
    <s v="Sanjay Menon"/>
    <s v="Corporate"/>
    <s v="Mumbai"/>
    <s v="West"/>
    <x v="1"/>
    <s v="Coffee Mug"/>
    <n v="2"/>
    <n v="0"/>
    <x v="757"/>
    <n v="169.39"/>
    <s v="Credit Card"/>
    <b v="0"/>
    <b v="0"/>
    <b v="0"/>
    <m/>
  </r>
  <r>
    <n v="759"/>
    <s v="ORD-2025-0759"/>
    <d v="2025-04-27T00:00:00"/>
    <d v="2025-04-29T00:00:00"/>
    <s v="Express"/>
    <s v="CUST-0187"/>
    <s v="Rohan Mehta"/>
    <s v="Corporate"/>
    <s v="Mumbai"/>
    <s v="West"/>
    <x v="2"/>
    <s v="Office Chair"/>
    <n v="1"/>
    <n v="0.1"/>
    <x v="758"/>
    <n v="1258.19"/>
    <s v="UPI"/>
    <b v="0"/>
    <b v="0"/>
    <b v="0"/>
    <m/>
  </r>
  <r>
    <n v="760"/>
    <s v="ORD-2025-0760"/>
    <d v="2025-02-20T00:00:00"/>
    <d v="2025-02-23T00:00:00"/>
    <s v="Standard"/>
    <s v="CUST-0156"/>
    <s v="Rohan Mehta"/>
    <s v="Small Business"/>
    <s v="Bengaluru"/>
    <s v="South"/>
    <x v="1"/>
    <s v="Storage Box"/>
    <n v="1"/>
    <n v="0.05"/>
    <x v="759"/>
    <n v="126.09"/>
    <s v="UPI"/>
    <b v="0"/>
    <b v="0"/>
    <b v="0"/>
    <m/>
  </r>
  <r>
    <n v="761"/>
    <s v="ORD-2025-0761"/>
    <d v="2025-10-21T00:00:00"/>
    <d v="2025-10-26T00:00:00"/>
    <s v="Standard"/>
    <s v="CUST-0111"/>
    <s v="Priya Nair"/>
    <s v="Small Business"/>
    <s v="Lucknow"/>
    <s v="North"/>
    <x v="1"/>
    <s v="Water Bottle"/>
    <n v="2"/>
    <n v="0.2"/>
    <x v="760"/>
    <n v="98.35"/>
    <s v="Debit Card"/>
    <b v="0"/>
    <b v="0"/>
    <b v="0"/>
    <m/>
  </r>
  <r>
    <n v="762"/>
    <s v="ORD-2025-0762"/>
    <d v="2025-10-09T00:00:00"/>
    <d v="2025-10-13T00:00:00"/>
    <s v="Express"/>
    <s v="CUST-0100"/>
    <s v="Nikhil Jain"/>
    <s v="Consumer"/>
    <s v="Delhi"/>
    <s v="North"/>
    <x v="2"/>
    <s v="Study Table"/>
    <n v="4"/>
    <n v="0"/>
    <x v="761"/>
    <n v="8892.7099999999991"/>
    <s v="Net Banking"/>
    <b v="0"/>
    <b v="0"/>
    <b v="0"/>
    <m/>
  </r>
  <r>
    <n v="763"/>
    <s v="ORD-2025-0763"/>
    <d v="2025-03-08T00:00:00"/>
    <d v="2025-03-13T00:00:00"/>
    <s v="Same Day"/>
    <s v="CUST-0101"/>
    <s v="Vikram Rao"/>
    <s v="Consumer"/>
    <s v="Ahmedabad"/>
    <s v="West"/>
    <x v="2"/>
    <s v="Study Table"/>
    <n v="4"/>
    <n v="0.2"/>
    <x v="762"/>
    <n v="1879.72"/>
    <s v="UPI"/>
    <b v="0"/>
    <b v="0"/>
    <b v="0"/>
    <m/>
  </r>
  <r>
    <n v="764"/>
    <s v="ORD-2025-0764"/>
    <d v="2025-07-10T00:00:00"/>
    <d v="2025-07-11T00:00:00"/>
    <s v="Standard"/>
    <s v="CUST-0113"/>
    <s v="Sneha Reddy"/>
    <s v="Consumer"/>
    <s v="Lucknow"/>
    <s v="North"/>
    <x v="0"/>
    <s v="Desk Organizer"/>
    <n v="1"/>
    <n v="0.2"/>
    <x v="763"/>
    <n v="73.11"/>
    <s v="Credit Card"/>
    <b v="0"/>
    <b v="0"/>
    <b v="0"/>
    <m/>
  </r>
  <r>
    <n v="765"/>
    <s v="ORD-2025-0765"/>
    <d v="2025-01-29T00:00:00"/>
    <d v="2025-02-03T00:00:00"/>
    <s v="Standard"/>
    <s v="CUST-0134"/>
    <s v="Kiran Joshi"/>
    <s v="Consumer"/>
    <s v="Hyderabad"/>
    <s v="South"/>
    <x v="3"/>
    <s v="Wireless Mouse"/>
    <n v="3"/>
    <n v="0"/>
    <x v="764"/>
    <n v="575.54999999999995"/>
    <s v="UPI"/>
    <b v="0"/>
    <b v="0"/>
    <b v="0"/>
    <m/>
  </r>
  <r>
    <n v="766"/>
    <s v="ORD-2025-0766"/>
    <d v="2025-06-05T00:00:00"/>
    <d v="2025-06-07T00:00:00"/>
    <s v="Same Day"/>
    <s v="CUST-0171"/>
    <s v="Aditya Kumar"/>
    <s v="Small Business"/>
    <s v="Jaipur"/>
    <s v="North"/>
    <x v="2"/>
    <s v="Office Chair"/>
    <n v="3"/>
    <n v="0.05"/>
    <x v="765"/>
    <n v="3851.85"/>
    <s v="UPI"/>
    <b v="0"/>
    <b v="0"/>
    <b v="0"/>
    <m/>
  </r>
  <r>
    <n v="767"/>
    <s v="ORD-2025-0767"/>
    <d v="2025-01-06T00:00:00"/>
    <d v="2025-01-08T00:00:00"/>
    <s v="Same Day"/>
    <s v="CUST-0013"/>
    <s v="Sanjay Menon"/>
    <s v="Corporate"/>
    <s v="Bhubaneswar"/>
    <s v="East"/>
    <x v="2"/>
    <s v="Desk Lamp"/>
    <n v="1"/>
    <n v="0.15"/>
    <x v="766"/>
    <n v="304.36"/>
    <s v="Credit Card"/>
    <b v="0"/>
    <b v="0"/>
    <b v="0"/>
    <m/>
  </r>
  <r>
    <n v="768"/>
    <s v="ORD-2025-0768"/>
    <d v="2025-05-30T00:00:00"/>
    <d v="2025-06-02T00:00:00"/>
    <s v="Express"/>
    <s v="CUST-0031"/>
    <s v="Nikhil Jain"/>
    <s v="Small Business"/>
    <s v="Jaipur"/>
    <s v="North"/>
    <x v="3"/>
    <s v="USB-C Hub"/>
    <n v="2"/>
    <n v="0.1"/>
    <x v="767"/>
    <n v="756.81"/>
    <s v="UPI"/>
    <b v="0"/>
    <b v="0"/>
    <b v="0"/>
    <m/>
  </r>
  <r>
    <n v="769"/>
    <s v="ORD-2025-0769"/>
    <d v="2025-01-09T00:00:00"/>
    <d v="2025-01-12T00:00:00"/>
    <s v="Express"/>
    <s v="CUST-0016"/>
    <s v="Arjun Patel"/>
    <s v="Corporate"/>
    <s v="Bengaluru"/>
    <s v="South"/>
    <x v="2"/>
    <s v="Desk Lamp"/>
    <n v="2"/>
    <n v="0.1"/>
    <x v="768"/>
    <n v="632.52"/>
    <s v="Net Banking"/>
    <b v="0"/>
    <b v="0"/>
    <b v="0"/>
    <m/>
  </r>
  <r>
    <n v="770"/>
    <s v="ORD-2025-0770"/>
    <d v="2025-09-22T00:00:00"/>
    <d v="2025-09-24T00:00:00"/>
    <s v="Standard"/>
    <s v="CUST-0010"/>
    <s v="Rohan Mehta"/>
    <s v="Small Business"/>
    <s v="Mumbai"/>
    <s v="West"/>
    <x v="3"/>
    <s v="Bluetooth Speaker"/>
    <n v="5"/>
    <n v="0.2"/>
    <x v="769"/>
    <n v="1196.6300000000001"/>
    <s v="Net Banking"/>
    <b v="0"/>
    <b v="0"/>
    <b v="0"/>
    <m/>
  </r>
  <r>
    <n v="771"/>
    <s v="ORD-2025-0771"/>
    <d v="2025-12-22T00:00:00"/>
    <d v="2025-12-26T00:00:00"/>
    <s v="Standard"/>
    <s v="CUST-0197"/>
    <s v="Nikhil Jain"/>
    <s v="Consumer"/>
    <s v="Ahmedabad"/>
    <s v="West"/>
    <x v="2"/>
    <s v="Office Chair"/>
    <n v="2"/>
    <n v="0.1"/>
    <x v="770"/>
    <n v="1860.98"/>
    <s v="Credit Card"/>
    <b v="0"/>
    <b v="0"/>
    <b v="0"/>
    <m/>
  </r>
  <r>
    <n v="772"/>
    <s v="ORD-2025-0772"/>
    <d v="2025-08-28T00:00:00"/>
    <d v="2025-09-01T00:00:00"/>
    <s v="Standard"/>
    <s v="CUST-0078"/>
    <s v="Ishita Roy"/>
    <s v="Consumer"/>
    <s v="Delhi"/>
    <s v="North"/>
    <x v="1"/>
    <s v="Electric Kettle"/>
    <n v="2"/>
    <n v="0.15"/>
    <x v="771"/>
    <n v="157.77000000000001"/>
    <s v="Credit Card"/>
    <b v="0"/>
    <b v="0"/>
    <b v="0"/>
    <m/>
  </r>
  <r>
    <n v="773"/>
    <s v="ORD-2025-0773"/>
    <d v="2025-03-25T00:00:00"/>
    <d v="2025-03-27T00:00:00"/>
    <s v="Standard"/>
    <s v="CUST-0116"/>
    <s v="Neha Gupta"/>
    <s v="Consumer"/>
    <s v="Mysuru"/>
    <s v="South"/>
    <x v="3"/>
    <s v="Bluetooth Speaker"/>
    <n v="3"/>
    <n v="0.1"/>
    <x v="772"/>
    <n v="1353.56"/>
    <s v="Net Banking"/>
    <b v="0"/>
    <b v="0"/>
    <b v="0"/>
    <m/>
  </r>
  <r>
    <n v="774"/>
    <s v="ORD-2025-0774"/>
    <d v="2025-06-05T00:00:00"/>
    <d v="2025-06-07T00:00:00"/>
    <s v="Standard"/>
    <s v="CUST-0180"/>
    <s v="Kiran Joshi"/>
    <s v="Consumer"/>
    <s v="Lucknow"/>
    <s v="North"/>
    <x v="1"/>
    <s v="Electric Kettle"/>
    <n v="2"/>
    <n v="0.2"/>
    <x v="773"/>
    <n v="105.41"/>
    <s v="UPI"/>
    <b v="0"/>
    <b v="0"/>
    <b v="0"/>
    <m/>
  </r>
  <r>
    <n v="775"/>
    <s v="ORD-2025-0775"/>
    <d v="2025-10-31T00:00:00"/>
    <d v="2025-11-03T00:00:00"/>
    <s v="Standard"/>
    <s v="CUST-0220"/>
    <s v="Pooja Das"/>
    <s v="Consumer"/>
    <s v="Jaipur"/>
    <s v="North"/>
    <x v="3"/>
    <s v="Bluetooth Speaker"/>
    <n v="3"/>
    <n v="0.1"/>
    <x v="774"/>
    <n v="1134.58"/>
    <s v="UPI"/>
    <b v="0"/>
    <b v="0"/>
    <b v="0"/>
    <m/>
  </r>
  <r>
    <n v="776"/>
    <s v="ORD-2025-0776"/>
    <d v="2025-03-06T00:00:00"/>
    <d v="2025-03-09T00:00:00"/>
    <s v="Same Day"/>
    <s v="CUST-0005"/>
    <s v="Aarav Sharma"/>
    <s v="Consumer"/>
    <s v="Lucknow"/>
    <s v="North"/>
    <x v="0"/>
    <s v="Pen Set"/>
    <n v="3"/>
    <n v="0"/>
    <x v="775"/>
    <n v="108.65"/>
    <s v="Credit Card"/>
    <b v="0"/>
    <b v="0"/>
    <b v="0"/>
    <m/>
  </r>
  <r>
    <n v="777"/>
    <s v="ORD-2025-0777"/>
    <d v="2025-06-08T00:00:00"/>
    <d v="2025-06-12T00:00:00"/>
    <s v="Standard"/>
    <s v="CUST-0033"/>
    <s v="Sneha Reddy"/>
    <s v="Consumer"/>
    <s v="Lucknow"/>
    <s v="North"/>
    <x v="2"/>
    <s v="Folding Chair"/>
    <n v="4"/>
    <n v="0"/>
    <x v="776"/>
    <n v="2213.2800000000002"/>
    <s v="Cash"/>
    <b v="0"/>
    <b v="0"/>
    <b v="0"/>
    <m/>
  </r>
  <r>
    <n v="778"/>
    <s v="ORD-2025-0778"/>
    <d v="2025-09-29T00:00:00"/>
    <d v="2025-10-01T00:00:00"/>
    <s v="Standard"/>
    <s v="CUST-0186"/>
    <s v="Divya Rao"/>
    <s v="Consumer"/>
    <s v="Ahmedabad"/>
    <s v="West"/>
    <x v="0"/>
    <s v="Desk Organizer"/>
    <n v="1"/>
    <n v="0"/>
    <x v="777"/>
    <n v="113.96"/>
    <s v="UPI"/>
    <b v="0"/>
    <b v="0"/>
    <b v="0"/>
    <m/>
  </r>
  <r>
    <n v="779"/>
    <s v="ORD-2025-0779"/>
    <d v="2025-03-09T00:00:00"/>
    <d v="2025-03-14T00:00:00"/>
    <s v="Express"/>
    <s v="CUST-0081"/>
    <s v="Ananya Singh"/>
    <s v="Consumer"/>
    <s v="Lucknow"/>
    <s v="North"/>
    <x v="3"/>
    <s v="Keyboard"/>
    <n v="3"/>
    <n v="0"/>
    <x v="778"/>
    <n v="1385.19"/>
    <s v="UPI"/>
    <b v="0"/>
    <b v="0"/>
    <b v="0"/>
    <m/>
  </r>
  <r>
    <n v="780"/>
    <s v="ORD-2025-0780"/>
    <d v="2025-07-15T00:00:00"/>
    <d v="2025-07-20T00:00:00"/>
    <s v="Standard"/>
    <s v="CUST-0079"/>
    <s v="Ishita Roy"/>
    <s v="Consumer"/>
    <s v="Delhi"/>
    <s v="North"/>
    <x v="0"/>
    <s v="Pen Set"/>
    <n v="1"/>
    <n v="0.2"/>
    <x v="779"/>
    <n v="7.22"/>
    <s v="UPI"/>
    <b v="0"/>
    <b v="0"/>
    <b v="0"/>
    <m/>
  </r>
  <r>
    <n v="781"/>
    <s v="ORD-2025-0781"/>
    <d v="2025-01-27T00:00:00"/>
    <d v="2025-01-28T00:00:00"/>
    <s v="Standard"/>
    <s v="CUST-0026"/>
    <s v="Vikram Rao"/>
    <s v="Consumer"/>
    <s v="Delhi"/>
    <s v="North"/>
    <x v="3"/>
    <s v="Wireless Mouse"/>
    <n v="2"/>
    <n v="0.1"/>
    <x v="780"/>
    <n v="272.06"/>
    <s v="UPI"/>
    <b v="0"/>
    <b v="0"/>
    <b v="0"/>
    <m/>
  </r>
  <r>
    <n v="782"/>
    <s v="ORD-2025-0782"/>
    <d v="2025-06-25T00:00:00"/>
    <d v="2025-06-26T00:00:00"/>
    <s v="Standard"/>
    <s v="CUST-0101"/>
    <s v="Priya Nair"/>
    <s v="Consumer"/>
    <s v="Mumbai"/>
    <s v="West"/>
    <x v="0"/>
    <s v="Notebook"/>
    <n v="2"/>
    <n v="0.05"/>
    <x v="781"/>
    <n v="75.58"/>
    <s v="Debit Card"/>
    <b v="0"/>
    <b v="0"/>
    <b v="0"/>
    <m/>
  </r>
  <r>
    <n v="783"/>
    <s v="ORD-2025-0783"/>
    <d v="2025-06-27T00:00:00"/>
    <d v="2025-06-30T00:00:00"/>
    <s v="Standard"/>
    <s v="CUST-0172"/>
    <s v="Ananya Singh"/>
    <s v="Consumer"/>
    <s v="Mumbai"/>
    <s v="West"/>
    <x v="3"/>
    <s v="Bluetooth Speaker"/>
    <n v="4"/>
    <n v="0"/>
    <x v="782"/>
    <n v="2112.83"/>
    <s v="Credit Card"/>
    <b v="0"/>
    <b v="0"/>
    <b v="0"/>
    <m/>
  </r>
  <r>
    <n v="784"/>
    <s v="ORD-2025-0784"/>
    <d v="2025-12-19T00:00:00"/>
    <d v="2025-12-23T00:00:00"/>
    <s v="Standard"/>
    <s v="CUST-0218"/>
    <s v="Sanjay Menon"/>
    <s v="Small Business"/>
    <s v="Ahmedabad"/>
    <s v="West"/>
    <x v="1"/>
    <s v="Electric Kettle"/>
    <n v="1"/>
    <n v="0.1"/>
    <x v="783"/>
    <n v="382.22"/>
    <s v="UPI"/>
    <b v="0"/>
    <b v="0"/>
    <b v="0"/>
    <m/>
  </r>
  <r>
    <n v="785"/>
    <s v="ORD-2025-0785"/>
    <d v="2025-08-21T00:00:00"/>
    <d v="2025-08-22T00:00:00"/>
    <s v="Standard"/>
    <s v="CUST-0060"/>
    <s v="Manish Yadav"/>
    <s v="Consumer"/>
    <s v="Pune"/>
    <s v="West"/>
    <x v="2"/>
    <s v="Study Table"/>
    <n v="2"/>
    <n v="0.05"/>
    <x v="784"/>
    <n v="4811.59"/>
    <s v="Debit Card"/>
    <b v="0"/>
    <b v="0"/>
    <b v="0"/>
    <m/>
  </r>
  <r>
    <n v="786"/>
    <s v="ORD-2025-0786"/>
    <d v="2025-06-24T00:00:00"/>
    <d v="2025-06-28T00:00:00"/>
    <s v="Standard"/>
    <s v="CUST-0023"/>
    <s v="Kiran Joshi"/>
    <s v="Consumer"/>
    <s v="Pune"/>
    <s v="West"/>
    <x v="0"/>
    <s v="Pen Set"/>
    <n v="2"/>
    <n v="0.1"/>
    <x v="785"/>
    <n v="33.54"/>
    <s v="UPI"/>
    <b v="0"/>
    <b v="0"/>
    <b v="0"/>
    <m/>
  </r>
  <r>
    <n v="787"/>
    <s v="ORD-2025-0787"/>
    <d v="2025-06-24T00:00:00"/>
    <d v="2025-06-27T00:00:00"/>
    <s v="Standard"/>
    <s v="CUST-0195"/>
    <s v="Kiran Joshi"/>
    <s v="Consumer"/>
    <s v="Chennai"/>
    <s v="South"/>
    <x v="1"/>
    <s v="Electric Kettle"/>
    <n v="2"/>
    <n v="0.05"/>
    <x v="786"/>
    <n v="822.14"/>
    <s v="Debit Card"/>
    <b v="0"/>
    <b v="0"/>
    <b v="0"/>
    <m/>
  </r>
  <r>
    <n v="788"/>
    <s v="ORD-2025-0788"/>
    <d v="2025-09-14T00:00:00"/>
    <d v="2025-09-15T00:00:00"/>
    <s v="Express"/>
    <s v="CUST-0155"/>
    <s v="Meera Shah"/>
    <s v="Consumer"/>
    <s v="Delhi"/>
    <s v="North"/>
    <x v="3"/>
    <s v="Bluetooth Speaker"/>
    <n v="2"/>
    <n v="0"/>
    <x v="787"/>
    <n v="944.54"/>
    <s v="UPI"/>
    <b v="0"/>
    <b v="0"/>
    <b v="0"/>
    <m/>
  </r>
  <r>
    <n v="789"/>
    <s v="ORD-2025-0789"/>
    <d v="2025-05-17T00:00:00"/>
    <d v="2025-05-18T00:00:00"/>
    <s v="Standard"/>
    <s v="CUST-0101"/>
    <s v="Ananya Singh"/>
    <s v="Consumer"/>
    <s v="Delhi"/>
    <s v="North"/>
    <x v="0"/>
    <s v="Pen Set"/>
    <n v="2"/>
    <n v="0"/>
    <x v="788"/>
    <n v="74.52"/>
    <s v="UPI"/>
    <b v="0"/>
    <b v="0"/>
    <b v="0"/>
    <m/>
  </r>
  <r>
    <n v="790"/>
    <s v="ORD-2025-0790"/>
    <d v="2025-02-19T00:00:00"/>
    <d v="2025-02-24T00:00:00"/>
    <s v="Standard"/>
    <s v="CUST-0232"/>
    <s v="Ananya Singh"/>
    <s v="Consumer"/>
    <s v="Bhubaneswar"/>
    <s v="East"/>
    <x v="3"/>
    <s v="Bluetooth Speaker"/>
    <n v="3"/>
    <n v="0.1"/>
    <x v="789"/>
    <n v="1286.8"/>
    <s v="Credit Card"/>
    <b v="0"/>
    <b v="0"/>
    <b v="0"/>
    <m/>
  </r>
  <r>
    <n v="791"/>
    <s v="ORD-2025-0791"/>
    <d v="2025-08-03T00:00:00"/>
    <d v="2025-08-06T00:00:00"/>
    <s v="Express"/>
    <s v="CUST-0072"/>
    <s v="Ananya Singh"/>
    <s v="Consumer"/>
    <s v="Mumbai"/>
    <s v="West"/>
    <x v="3"/>
    <s v="USB-C Hub"/>
    <n v="3"/>
    <n v="0.1"/>
    <x v="790"/>
    <n v="783.81"/>
    <s v="Cash"/>
    <b v="0"/>
    <b v="0"/>
    <b v="0"/>
    <m/>
  </r>
  <r>
    <n v="792"/>
    <s v="ORD-2025-0792"/>
    <d v="2025-12-27T00:00:00"/>
    <d v="2025-12-31T00:00:00"/>
    <s v="Standard"/>
    <s v="CUST-0044"/>
    <s v="Rahul Verma"/>
    <s v="Consumer"/>
    <s v="Pune"/>
    <s v="West"/>
    <x v="2"/>
    <s v="Study Table"/>
    <n v="3"/>
    <n v="0.1"/>
    <x v="791"/>
    <n v="5139.43"/>
    <s v="UPI"/>
    <b v="0"/>
    <b v="0"/>
    <b v="0"/>
    <m/>
  </r>
  <r>
    <n v="793"/>
    <s v="ORD-2025-0793"/>
    <d v="2025-07-20T00:00:00"/>
    <d v="2025-07-23T00:00:00"/>
    <s v="Same Day"/>
    <s v="CUST-0066"/>
    <s v="Aditya Kumar"/>
    <s v="Consumer"/>
    <s v="Bengaluru"/>
    <s v="South"/>
    <x v="3"/>
    <s v="Wireless Mouse"/>
    <n v="1"/>
    <n v="0.1"/>
    <x v="792"/>
    <n v="43.19"/>
    <s v="Debit Card"/>
    <b v="0"/>
    <b v="0"/>
    <b v="0"/>
    <m/>
  </r>
  <r>
    <n v="794"/>
    <s v="ORD-2025-0794"/>
    <d v="2025-04-17T00:00:00"/>
    <d v="2025-04-19T00:00:00"/>
    <s v="Express"/>
    <s v="CUST-0159"/>
    <s v="Ishita Roy"/>
    <s v="Consumer"/>
    <s v="Ahmedabad"/>
    <s v="West"/>
    <x v="1"/>
    <s v="Storage Box"/>
    <n v="1"/>
    <n v="0.15"/>
    <x v="793"/>
    <n v="106.22"/>
    <s v="Net Banking"/>
    <b v="0"/>
    <b v="0"/>
    <b v="0"/>
    <m/>
  </r>
  <r>
    <n v="795"/>
    <s v="ORD-2025-0795"/>
    <d v="2025-11-10T00:00:00"/>
    <d v="2025-11-14T00:00:00"/>
    <s v="Express"/>
    <s v="CUST-0164"/>
    <s v="Kavya Iyer"/>
    <s v="Consumer"/>
    <s v="Hyderabad"/>
    <s v="South"/>
    <x v="0"/>
    <s v="Desk Organizer"/>
    <n v="2"/>
    <n v="0.05"/>
    <x v="794"/>
    <n v="236.82"/>
    <s v="UPI"/>
    <b v="0"/>
    <b v="0"/>
    <b v="0"/>
    <m/>
  </r>
  <r>
    <n v="796"/>
    <s v="ORD-2025-0796"/>
    <d v="2025-03-25T00:00:00"/>
    <d v="2025-03-29T00:00:00"/>
    <s v="Standard"/>
    <s v="CUST-0164"/>
    <s v="Aarav Sharma"/>
    <s v="Corporate"/>
    <s v="Mysuru"/>
    <s v="South"/>
    <x v="3"/>
    <s v="Power Bank"/>
    <n v="1"/>
    <n v="0.1"/>
    <x v="795"/>
    <n v="226.91"/>
    <s v="UPI"/>
    <b v="0"/>
    <b v="0"/>
    <b v="0"/>
    <m/>
  </r>
  <r>
    <n v="797"/>
    <s v="ORD-2025-0797"/>
    <d v="2025-05-15T00:00:00"/>
    <d v="2025-05-17T00:00:00"/>
    <s v="Standard"/>
    <s v="CUST-0248"/>
    <s v="Meera Shah"/>
    <s v="Consumer"/>
    <s v="Hyderabad"/>
    <s v="South"/>
    <x v="3"/>
    <s v="Wireless Mouse"/>
    <n v="2"/>
    <n v="0.05"/>
    <x v="796"/>
    <n v="536.54"/>
    <s v="UPI"/>
    <b v="0"/>
    <b v="0"/>
    <b v="0"/>
    <m/>
  </r>
  <r>
    <n v="798"/>
    <s v="ORD-2025-0798"/>
    <d v="2025-03-31T00:00:00"/>
    <d v="2025-04-04T00:00:00"/>
    <s v="Express"/>
    <s v="CUST-0213"/>
    <s v="Divya Rao"/>
    <s v="Small Business"/>
    <s v="Ahmedabad"/>
    <s v="West"/>
    <x v="3"/>
    <s v="Power Bank"/>
    <n v="3"/>
    <n v="0"/>
    <x v="797"/>
    <n v="819.18"/>
    <s v="Net Banking"/>
    <b v="0"/>
    <b v="0"/>
    <b v="0"/>
    <m/>
  </r>
  <r>
    <n v="799"/>
    <s v="ORD-2025-0799"/>
    <d v="2025-02-25T00:00:00"/>
    <d v="2025-03-01T00:00:00"/>
    <s v="Standard"/>
    <s v="CUST-0238"/>
    <s v="Kiran Joshi"/>
    <s v="Small Business"/>
    <s v="Bhubaneswar"/>
    <s v="East"/>
    <x v="1"/>
    <s v="Coffee Mug"/>
    <n v="2"/>
    <n v="0.05"/>
    <x v="798"/>
    <n v="59.11"/>
    <s v="UPI"/>
    <b v="0"/>
    <b v="0"/>
    <b v="0"/>
    <m/>
  </r>
  <r>
    <n v="800"/>
    <s v="ORD-2025-0800"/>
    <d v="2025-03-04T00:00:00"/>
    <d v="2025-03-08T00:00:00"/>
    <s v="Standard"/>
    <s v="CUST-0183"/>
    <s v="Manish Yadav"/>
    <s v="Consumer"/>
    <s v="Lucknow"/>
    <s v="North"/>
    <x v="2"/>
    <s v="Bookshelf"/>
    <n v="2"/>
    <n v="0.2"/>
    <x v="799"/>
    <n v="369.37"/>
    <s v="UPI"/>
    <b v="0"/>
    <b v="0"/>
    <b v="0"/>
    <m/>
  </r>
  <r>
    <n v="801"/>
    <s v="ORD-2025-0801"/>
    <d v="2025-03-20T00:00:00"/>
    <d v="2025-03-25T00:00:00"/>
    <s v="Standard"/>
    <s v="CUST-0198"/>
    <s v="Arjun Patel"/>
    <s v="Small Business"/>
    <s v="Mumbai"/>
    <s v="West"/>
    <x v="1"/>
    <s v="Coffee Mug"/>
    <n v="3"/>
    <n v="0.2"/>
    <x v="800"/>
    <n v="30.66"/>
    <s v="Credit Card"/>
    <b v="0"/>
    <b v="0"/>
    <b v="0"/>
    <m/>
  </r>
  <r>
    <n v="802"/>
    <s v="ORD-2025-0802"/>
    <d v="2025-05-22T00:00:00"/>
    <d v="2025-05-27T00:00:00"/>
    <s v="Standard"/>
    <s v="CUST-0092"/>
    <s v="Ishita Roy"/>
    <s v="Corporate"/>
    <s v="Lucknow"/>
    <s v="North"/>
    <x v="1"/>
    <s v="Storage Box"/>
    <n v="3"/>
    <n v="0"/>
    <x v="801"/>
    <n v="451.99"/>
    <s v="Credit Card"/>
    <b v="0"/>
    <b v="0"/>
    <b v="0"/>
    <m/>
  </r>
  <r>
    <n v="803"/>
    <s v="ORD-2025-0803"/>
    <d v="2025-10-16T00:00:00"/>
    <d v="2025-10-18T00:00:00"/>
    <s v="Standard"/>
    <s v="CUST-0214"/>
    <s v="Arjun Patel"/>
    <s v="Consumer"/>
    <s v="Ahmedabad"/>
    <s v="West"/>
    <x v="3"/>
    <s v="USB-C Hub"/>
    <n v="1"/>
    <n v="0.05"/>
    <x v="802"/>
    <n v="258.77"/>
    <s v="Debit Card"/>
    <b v="0"/>
    <b v="0"/>
    <b v="0"/>
    <m/>
  </r>
  <r>
    <n v="804"/>
    <s v="ORD-2025-0804"/>
    <d v="2025-03-02T00:00:00"/>
    <d v="2025-03-06T00:00:00"/>
    <s v="Express"/>
    <s v="CUST-0080"/>
    <s v="Shreya Kapoor"/>
    <s v="Consumer"/>
    <s v="Ahmedabad"/>
    <s v="West"/>
    <x v="0"/>
    <s v="File Folder"/>
    <n v="1"/>
    <n v="0.05"/>
    <x v="803"/>
    <n v="11.54"/>
    <s v="Debit Card"/>
    <b v="0"/>
    <b v="0"/>
    <b v="0"/>
    <m/>
  </r>
  <r>
    <n v="805"/>
    <s v="ORD-2025-0805"/>
    <d v="2025-06-24T00:00:00"/>
    <d v="2025-06-27T00:00:00"/>
    <s v="Standard"/>
    <s v="CUST-0195"/>
    <s v="Shreya Kapoor"/>
    <s v="Consumer"/>
    <s v="Jaipur"/>
    <s v="North"/>
    <x v="2"/>
    <s v="Desk Lamp"/>
    <n v="1"/>
    <n v="0"/>
    <x v="804"/>
    <n v="240.49"/>
    <s v="UPI"/>
    <b v="0"/>
    <b v="0"/>
    <b v="0"/>
    <m/>
  </r>
  <r>
    <n v="806"/>
    <s v="ORD-2025-0806"/>
    <d v="2025-07-05T00:00:00"/>
    <d v="2025-07-07T00:00:00"/>
    <s v="Standard"/>
    <s v="CUST-0015"/>
    <s v="Ishita Roy"/>
    <s v="Consumer"/>
    <s v="Pune"/>
    <s v="West"/>
    <x v="0"/>
    <s v="Notebook"/>
    <n v="3"/>
    <n v="0.1"/>
    <x v="805"/>
    <n v="37.36"/>
    <s v="Credit Card"/>
    <b v="0"/>
    <b v="0"/>
    <b v="0"/>
    <m/>
  </r>
  <r>
    <n v="807"/>
    <s v="ORD-2025-0807"/>
    <d v="2025-06-05T00:00:00"/>
    <d v="2025-06-07T00:00:00"/>
    <s v="Express"/>
    <s v="CUST-0108"/>
    <s v="Aarav Sharma"/>
    <s v="Consumer"/>
    <s v="Jaipur"/>
    <s v="North"/>
    <x v="3"/>
    <s v="Wireless Mouse"/>
    <n v="2"/>
    <n v="0"/>
    <x v="806"/>
    <n v="420.12"/>
    <s v="UPI"/>
    <b v="0"/>
    <b v="0"/>
    <b v="0"/>
    <m/>
  </r>
  <r>
    <n v="808"/>
    <s v="ORD-2025-0808"/>
    <d v="2025-02-14T00:00:00"/>
    <d v="2025-02-15T00:00:00"/>
    <s v="Express"/>
    <s v="CUST-0013"/>
    <s v="Shreya Kapoor"/>
    <s v="Consumer"/>
    <s v="Jaipur"/>
    <s v="North"/>
    <x v="3"/>
    <s v="Keyboard"/>
    <n v="3"/>
    <n v="0.2"/>
    <x v="807"/>
    <n v="545.44000000000005"/>
    <s v="UPI"/>
    <b v="0"/>
    <b v="0"/>
    <b v="0"/>
    <m/>
  </r>
  <r>
    <n v="809"/>
    <s v="ORD-2025-0809"/>
    <d v="2025-06-28T00:00:00"/>
    <d v="2025-06-30T00:00:00"/>
    <s v="Standard"/>
    <s v="CUST-0122"/>
    <s v="Neha Gupta"/>
    <s v="Corporate"/>
    <s v="Mysuru"/>
    <s v="South"/>
    <x v="3"/>
    <s v="USB-C Hub"/>
    <n v="2"/>
    <n v="0.1"/>
    <x v="808"/>
    <n v="672.69"/>
    <s v="Debit Card"/>
    <b v="0"/>
    <b v="0"/>
    <b v="0"/>
    <m/>
  </r>
  <r>
    <n v="810"/>
    <s v="ORD-2025-0810"/>
    <d v="2025-03-07T00:00:00"/>
    <d v="2025-03-11T00:00:00"/>
    <s v="Standard"/>
    <s v="CUST-0061"/>
    <s v="Meera Shah"/>
    <s v="Consumer"/>
    <s v="Mysuru"/>
    <s v="South"/>
    <x v="3"/>
    <s v="Power Bank"/>
    <n v="2"/>
    <n v="0.1"/>
    <x v="809"/>
    <n v="342.41"/>
    <s v="UPI"/>
    <b v="0"/>
    <b v="0"/>
    <b v="0"/>
    <m/>
  </r>
  <r>
    <n v="811"/>
    <s v="ORD-2025-0811"/>
    <d v="2025-12-20T00:00:00"/>
    <d v="2025-12-23T00:00:00"/>
    <s v="Express"/>
    <s v="CUST-0019"/>
    <s v="Sneha Reddy"/>
    <s v="Corporate"/>
    <s v="Ahmedabad"/>
    <s v="West"/>
    <x v="1"/>
    <s v="Coffee Mug"/>
    <n v="3"/>
    <n v="0.2"/>
    <x v="810"/>
    <n v="83.1"/>
    <s v="Debit Card"/>
    <b v="0"/>
    <b v="0"/>
    <b v="0"/>
    <m/>
  </r>
  <r>
    <n v="812"/>
    <s v="ORD-2025-0812"/>
    <d v="2025-06-24T00:00:00"/>
    <d v="2025-06-25T00:00:00"/>
    <s v="Standard"/>
    <s v="CUST-0198"/>
    <s v="Nikhil Jain"/>
    <s v="Small Business"/>
    <s v="Chennai"/>
    <s v="South"/>
    <x v="0"/>
    <s v="Notebook"/>
    <n v="2"/>
    <n v="0"/>
    <x v="811"/>
    <n v="71.55"/>
    <s v="Net Banking"/>
    <b v="0"/>
    <b v="0"/>
    <b v="0"/>
    <m/>
  </r>
  <r>
    <n v="813"/>
    <s v="ORD-2025-0813"/>
    <d v="2025-02-06T00:00:00"/>
    <d v="2025-02-09T00:00:00"/>
    <s v="Standard"/>
    <s v="CUST-0081"/>
    <s v="Manish Yadav"/>
    <s v="Corporate"/>
    <s v="Delhi"/>
    <s v="North"/>
    <x v="1"/>
    <s v="Electric Kettle"/>
    <n v="3"/>
    <n v="0.15"/>
    <x v="812"/>
    <n v="296.14999999999998"/>
    <s v="Debit Card"/>
    <b v="0"/>
    <b v="0"/>
    <b v="0"/>
    <m/>
  </r>
  <r>
    <n v="814"/>
    <s v="ORD-2025-0814"/>
    <d v="2025-09-24T00:00:00"/>
    <d v="2025-09-27T00:00:00"/>
    <s v="Standard"/>
    <s v="CUST-0110"/>
    <s v="Neha Gupta"/>
    <s v="Consumer"/>
    <s v="Bengaluru"/>
    <s v="South"/>
    <x v="1"/>
    <s v="Storage Box"/>
    <n v="4"/>
    <n v="0.05"/>
    <x v="813"/>
    <n v="755.37"/>
    <s v="UPI"/>
    <b v="0"/>
    <b v="0"/>
    <b v="0"/>
    <m/>
  </r>
  <r>
    <n v="815"/>
    <s v="ORD-2025-0815"/>
    <d v="2025-03-28T00:00:00"/>
    <d v="2025-04-01T00:00:00"/>
    <s v="Standard"/>
    <s v="CUST-0241"/>
    <s v="Priya Nair"/>
    <s v="Small Business"/>
    <s v="Kolkata"/>
    <s v="East"/>
    <x v="1"/>
    <s v="Coffee Mug"/>
    <n v="1"/>
    <n v="0.2"/>
    <x v="814"/>
    <n v="17.3"/>
    <s v="Debit Card"/>
    <b v="0"/>
    <b v="0"/>
    <b v="0"/>
    <m/>
  </r>
  <r>
    <n v="816"/>
    <s v="ORD-2025-0816"/>
    <d v="2025-01-08T00:00:00"/>
    <d v="2025-01-13T00:00:00"/>
    <s v="Standard"/>
    <s v="CUST-0095"/>
    <s v="Kavya Iyer"/>
    <s v="Consumer"/>
    <s v="Mumbai"/>
    <s v="West"/>
    <x v="0"/>
    <s v="Desk Organizer"/>
    <n v="1"/>
    <n v="0.1"/>
    <x v="815"/>
    <n v="144.94"/>
    <s v="UPI"/>
    <b v="0"/>
    <b v="0"/>
    <b v="0"/>
    <m/>
  </r>
  <r>
    <n v="817"/>
    <s v="ORD-2025-0817"/>
    <d v="2025-06-28T00:00:00"/>
    <d v="2025-07-03T00:00:00"/>
    <s v="Standard"/>
    <s v="CUST-0122"/>
    <s v="Kiran Joshi"/>
    <s v="Consumer"/>
    <s v="Chennai"/>
    <s v="South"/>
    <x v="0"/>
    <s v="File Folder"/>
    <n v="5"/>
    <n v="0.2"/>
    <x v="816"/>
    <n v="33.69"/>
    <s v="Cash"/>
    <b v="0"/>
    <b v="0"/>
    <b v="0"/>
    <m/>
  </r>
  <r>
    <n v="818"/>
    <s v="ORD-2025-0818"/>
    <d v="2025-11-02T00:00:00"/>
    <d v="2025-11-05T00:00:00"/>
    <s v="Express"/>
    <s v="CUST-0013"/>
    <s v="Shreya Kapoor"/>
    <s v="Consumer"/>
    <s v="Jaipur"/>
    <s v="North"/>
    <x v="1"/>
    <s v="Electric Kettle"/>
    <n v="3"/>
    <n v="0"/>
    <x v="817"/>
    <n v="1155.22"/>
    <s v="Net Banking"/>
    <b v="0"/>
    <b v="0"/>
    <b v="0"/>
    <m/>
  </r>
  <r>
    <n v="819"/>
    <s v="ORD-2025-0819"/>
    <d v="2025-12-08T00:00:00"/>
    <d v="2025-12-11T00:00:00"/>
    <s v="Standard"/>
    <s v="CUST-0131"/>
    <s v="Sanjay Menon"/>
    <s v="Small Business"/>
    <s v="Lucknow"/>
    <s v="North"/>
    <x v="1"/>
    <s v="Electric Kettle"/>
    <n v="2"/>
    <n v="0.05"/>
    <x v="818"/>
    <n v="964.31"/>
    <s v="Credit Card"/>
    <b v="0"/>
    <b v="0"/>
    <b v="0"/>
    <m/>
  </r>
  <r>
    <n v="820"/>
    <s v="ORD-2025-0820"/>
    <d v="2025-07-27T00:00:00"/>
    <d v="2025-07-31T00:00:00"/>
    <s v="Same Day"/>
    <s v="CUST-0180"/>
    <s v="Aarav Sharma"/>
    <s v="Consumer"/>
    <s v="Mysuru"/>
    <s v="South"/>
    <x v="2"/>
    <s v="Office Chair"/>
    <n v="1"/>
    <n v="0"/>
    <x v="819"/>
    <n v="1470.66"/>
    <s v="UPI"/>
    <b v="0"/>
    <b v="0"/>
    <b v="0"/>
    <m/>
  </r>
  <r>
    <n v="821"/>
    <s v="ORD-2025-0821"/>
    <d v="2025-11-24T00:00:00"/>
    <d v="2025-11-29T00:00:00"/>
    <s v="Standard"/>
    <s v="CUST-0239"/>
    <s v="Shreya Kapoor"/>
    <s v="Consumer"/>
    <s v="Bengaluru"/>
    <s v="South"/>
    <x v="0"/>
    <s v="File Folder"/>
    <n v="2"/>
    <n v="0.1"/>
    <x v="820"/>
    <n v="41.3"/>
    <s v="Debit Card"/>
    <b v="0"/>
    <b v="0"/>
    <b v="0"/>
    <m/>
  </r>
  <r>
    <n v="822"/>
    <s v="ORD-2025-0822"/>
    <d v="2025-05-01T00:00:00"/>
    <d v="2025-05-03T00:00:00"/>
    <s v="Express"/>
    <s v="CUST-0160"/>
    <s v="Kavya Iyer"/>
    <s v="Consumer"/>
    <s v="Chennai"/>
    <s v="South"/>
    <x v="2"/>
    <s v="Office Chair"/>
    <n v="1"/>
    <n v="0"/>
    <x v="821"/>
    <n v="1796.31"/>
    <s v="Net Banking"/>
    <b v="0"/>
    <b v="0"/>
    <b v="0"/>
    <m/>
  </r>
  <r>
    <n v="823"/>
    <s v="ORD-2025-0823"/>
    <d v="2025-01-28T00:00:00"/>
    <d v="2025-01-30T00:00:00"/>
    <s v="Standard"/>
    <s v="CUST-0228"/>
    <s v="Pooja Das"/>
    <s v="Consumer"/>
    <s v="Delhi"/>
    <s v="North"/>
    <x v="2"/>
    <s v="Bookshelf"/>
    <n v="4"/>
    <n v="0"/>
    <x v="822"/>
    <n v="4202.46"/>
    <s v="UPI"/>
    <b v="0"/>
    <b v="0"/>
    <b v="0"/>
    <m/>
  </r>
  <r>
    <n v="824"/>
    <s v="ORD-2025-0824"/>
    <d v="2025-12-15T00:00:00"/>
    <d v="2025-12-19T00:00:00"/>
    <s v="Standard"/>
    <s v="CUST-0025"/>
    <s v="Shreya Kapoor"/>
    <s v="Consumer"/>
    <s v="Pune"/>
    <s v="West"/>
    <x v="2"/>
    <s v="Study Table"/>
    <n v="4"/>
    <n v="0.2"/>
    <x v="823"/>
    <n v="1276.6300000000001"/>
    <s v="Net Banking"/>
    <b v="0"/>
    <b v="0"/>
    <b v="0"/>
    <m/>
  </r>
  <r>
    <n v="825"/>
    <s v="ORD-2025-0825"/>
    <d v="2025-09-09T00:00:00"/>
    <d v="2025-09-12T00:00:00"/>
    <s v="Standard"/>
    <s v="CUST-0231"/>
    <s v="Ishita Roy"/>
    <s v="Consumer"/>
    <s v="Delhi"/>
    <s v="North"/>
    <x v="3"/>
    <s v="USB-C Hub"/>
    <n v="3"/>
    <n v="0.1"/>
    <x v="824"/>
    <n v="671.6"/>
    <s v="UPI"/>
    <b v="0"/>
    <b v="0"/>
    <b v="0"/>
    <m/>
  </r>
  <r>
    <n v="826"/>
    <s v="ORD-2025-0826"/>
    <d v="2025-01-08T00:00:00"/>
    <d v="2025-01-09T00:00:00"/>
    <s v="Standard"/>
    <s v="CUST-0198"/>
    <s v="Sanjay Menon"/>
    <s v="Small Business"/>
    <s v="Hyderabad"/>
    <s v="South"/>
    <x v="1"/>
    <s v="Water Bottle"/>
    <n v="2"/>
    <n v="0.1"/>
    <x v="825"/>
    <n v="253.21"/>
    <s v="Credit Card"/>
    <b v="0"/>
    <b v="0"/>
    <b v="0"/>
    <m/>
  </r>
  <r>
    <n v="827"/>
    <s v="ORD-2025-0827"/>
    <d v="2025-02-08T00:00:00"/>
    <d v="2025-02-10T00:00:00"/>
    <s v="Express"/>
    <s v="CUST-0196"/>
    <s v="Rahul Verma"/>
    <s v="Small Business"/>
    <s v="Delhi"/>
    <s v="North"/>
    <x v="2"/>
    <s v="Bookshelf"/>
    <n v="2"/>
    <n v="0.1"/>
    <x v="826"/>
    <n v="1791.02"/>
    <s v="Cash"/>
    <b v="0"/>
    <b v="0"/>
    <b v="0"/>
    <m/>
  </r>
  <r>
    <n v="828"/>
    <s v="ORD-2025-0828"/>
    <d v="2025-08-30T00:00:00"/>
    <d v="2025-09-03T00:00:00"/>
    <s v="Express"/>
    <s v="CUST-0085"/>
    <s v="Manish Yadav"/>
    <s v="Consumer"/>
    <s v="Mysuru"/>
    <s v="South"/>
    <x v="3"/>
    <s v="Wireless Mouse"/>
    <n v="1"/>
    <n v="0.1"/>
    <x v="827"/>
    <n v="55.58"/>
    <s v="Debit Card"/>
    <b v="0"/>
    <b v="0"/>
    <b v="0"/>
    <m/>
  </r>
  <r>
    <n v="829"/>
    <s v="ORD-2025-0829"/>
    <d v="2025-06-18T00:00:00"/>
    <d v="2025-06-21T00:00:00"/>
    <s v="Standard"/>
    <s v="CUST-0180"/>
    <s v="Nikhil Jain"/>
    <s v="Consumer"/>
    <s v="Chennai"/>
    <s v="South"/>
    <x v="2"/>
    <s v="Desk Lamp"/>
    <n v="1"/>
    <n v="0"/>
    <x v="828"/>
    <n v="323.17"/>
    <s v="UPI"/>
    <b v="0"/>
    <b v="0"/>
    <b v="0"/>
    <m/>
  </r>
  <r>
    <n v="830"/>
    <s v="ORD-2025-0830"/>
    <d v="2025-12-06T00:00:00"/>
    <d v="2025-12-07T00:00:00"/>
    <s v="Standard"/>
    <s v="CUST-0101"/>
    <s v="Kiran Joshi"/>
    <s v="Small Business"/>
    <s v="Ahmedabad"/>
    <s v="West"/>
    <x v="2"/>
    <s v="Folding Chair"/>
    <n v="3"/>
    <n v="0.1"/>
    <x v="829"/>
    <n v="1296.19"/>
    <s v="Debit Card"/>
    <b v="0"/>
    <b v="0"/>
    <b v="0"/>
    <m/>
  </r>
  <r>
    <n v="831"/>
    <s v="ORD-2025-0831"/>
    <d v="2025-10-03T00:00:00"/>
    <d v="2025-10-07T00:00:00"/>
    <s v="Express"/>
    <s v="CUST-0227"/>
    <s v="Ananya Singh"/>
    <s v="Small Business"/>
    <s v="Kolkata"/>
    <s v="East"/>
    <x v="0"/>
    <s v="Notebook"/>
    <n v="2"/>
    <n v="0.1"/>
    <x v="830"/>
    <n v="54.58"/>
    <s v="UPI"/>
    <b v="0"/>
    <b v="0"/>
    <b v="0"/>
    <m/>
  </r>
  <r>
    <n v="832"/>
    <s v="ORD-2025-0832"/>
    <d v="2025-10-27T00:00:00"/>
    <d v="2025-10-30T00:00:00"/>
    <s v="Same Day"/>
    <s v="CUST-0212"/>
    <s v="Neha Gupta"/>
    <s v="Corporate"/>
    <s v="Jaipur"/>
    <s v="North"/>
    <x v="0"/>
    <s v="Notebook"/>
    <n v="1"/>
    <n v="0.1"/>
    <x v="831"/>
    <n v="37.85"/>
    <s v="Net Banking"/>
    <b v="0"/>
    <b v="0"/>
    <b v="0"/>
    <m/>
  </r>
  <r>
    <n v="833"/>
    <s v="ORD-2025-0833"/>
    <d v="2025-12-28T00:00:00"/>
    <d v="2025-12-30T00:00:00"/>
    <s v="Standard"/>
    <s v="CUST-0022"/>
    <s v="Meera Shah"/>
    <s v="Small Business"/>
    <s v="Mumbai"/>
    <s v="West"/>
    <x v="3"/>
    <s v="Keyboard"/>
    <n v="1"/>
    <n v="0"/>
    <x v="832"/>
    <n v="547.09"/>
    <s v="UPI"/>
    <b v="0"/>
    <b v="0"/>
    <b v="0"/>
    <m/>
  </r>
  <r>
    <n v="834"/>
    <s v="ORD-2025-0834"/>
    <d v="2025-08-24T00:00:00"/>
    <d v="2025-08-29T00:00:00"/>
    <s v="Standard"/>
    <s v="CUST-0220"/>
    <s v="Neha Gupta"/>
    <s v="Corporate"/>
    <s v="Bengaluru"/>
    <s v="South"/>
    <x v="2"/>
    <s v="Office Chair"/>
    <n v="4"/>
    <n v="0"/>
    <x v="833"/>
    <n v="6769.62"/>
    <s v="Debit Card"/>
    <b v="0"/>
    <b v="0"/>
    <b v="0"/>
    <m/>
  </r>
  <r>
    <n v="835"/>
    <s v="ORD-2025-0835"/>
    <d v="2025-01-01T00:00:00"/>
    <d v="2025-01-05T00:00:00"/>
    <s v="Standard"/>
    <s v="CUST-0026"/>
    <s v="Shreya Kapoor"/>
    <s v="Corporate"/>
    <s v="Lucknow"/>
    <s v="North"/>
    <x v="0"/>
    <s v="File Folder"/>
    <n v="2"/>
    <n v="0"/>
    <x v="834"/>
    <n v="34.04"/>
    <s v="Net Banking"/>
    <b v="0"/>
    <b v="0"/>
    <b v="0"/>
    <m/>
  </r>
  <r>
    <n v="836"/>
    <s v="ORD-2025-0836"/>
    <d v="2025-09-24T00:00:00"/>
    <d v="2025-09-29T00:00:00"/>
    <s v="Express"/>
    <s v="CUST-0247"/>
    <s v="Sneha Reddy"/>
    <s v="Consumer"/>
    <s v="Pune"/>
    <s v="West"/>
    <x v="2"/>
    <s v="Desk Lamp"/>
    <n v="1"/>
    <n v="0.15"/>
    <x v="835"/>
    <n v="215.31"/>
    <s v="UPI"/>
    <b v="0"/>
    <b v="0"/>
    <b v="0"/>
    <m/>
  </r>
  <r>
    <n v="837"/>
    <s v="ORD-2025-0837"/>
    <d v="2025-09-07T00:00:00"/>
    <d v="2025-09-09T00:00:00"/>
    <s v="Standard"/>
    <s v="CUST-0095"/>
    <s v="Kiran Joshi"/>
    <s v="Consumer"/>
    <s v="Delhi"/>
    <s v="North"/>
    <x v="3"/>
    <s v="Bluetooth Speaker"/>
    <n v="1"/>
    <n v="0.05"/>
    <x v="836"/>
    <n v="663.82"/>
    <s v="Net Banking"/>
    <b v="0"/>
    <b v="0"/>
    <b v="0"/>
    <m/>
  </r>
  <r>
    <n v="838"/>
    <s v="ORD-2025-0838"/>
    <d v="2025-10-07T00:00:00"/>
    <d v="2025-10-09T00:00:00"/>
    <s v="Express"/>
    <s v="CUST-0077"/>
    <s v="Nikhil Jain"/>
    <s v="Consumer"/>
    <s v="Bengaluru"/>
    <s v="South"/>
    <x v="3"/>
    <s v="Power Bank"/>
    <n v="2"/>
    <n v="0.2"/>
    <x v="837"/>
    <n v="403.6"/>
    <s v="Credit Card"/>
    <b v="0"/>
    <b v="0"/>
    <b v="0"/>
    <m/>
  </r>
  <r>
    <n v="839"/>
    <s v="ORD-2025-0839"/>
    <d v="2025-09-01T00:00:00"/>
    <d v="2025-09-06T00:00:00"/>
    <s v="Standard"/>
    <s v="CUST-0030"/>
    <s v="Priya Nair"/>
    <s v="Consumer"/>
    <s v="Ahmedabad"/>
    <s v="West"/>
    <x v="1"/>
    <s v="Storage Box"/>
    <n v="1"/>
    <n v="0.2"/>
    <x v="838"/>
    <n v="36.42"/>
    <s v="UPI"/>
    <b v="0"/>
    <b v="0"/>
    <b v="0"/>
    <m/>
  </r>
  <r>
    <n v="840"/>
    <s v="ORD-2025-0840"/>
    <d v="2025-11-10T00:00:00"/>
    <d v="2025-11-11T00:00:00"/>
    <s v="Same Day"/>
    <s v="CUST-0098"/>
    <s v="Divya Rao"/>
    <s v="Consumer"/>
    <s v="Hyderabad"/>
    <s v="South"/>
    <x v="1"/>
    <s v="Storage Box"/>
    <n v="1"/>
    <n v="0.1"/>
    <x v="839"/>
    <n v="96.04"/>
    <s v="Net Banking"/>
    <b v="0"/>
    <b v="0"/>
    <b v="0"/>
    <m/>
  </r>
  <r>
    <n v="841"/>
    <s v="ORD-2025-0841"/>
    <d v="2025-06-17T00:00:00"/>
    <d v="2025-06-18T00:00:00"/>
    <s v="Express"/>
    <s v="CUST-0026"/>
    <s v="Kavya Iyer"/>
    <s v="Consumer"/>
    <s v="Hyderabad"/>
    <s v="South"/>
    <x v="0"/>
    <s v="Pen Set"/>
    <n v="1"/>
    <n v="0.05"/>
    <x v="840"/>
    <n v="37.119999999999997"/>
    <s v="Debit Card"/>
    <b v="0"/>
    <b v="0"/>
    <b v="0"/>
    <m/>
  </r>
  <r>
    <n v="842"/>
    <s v="ORD-2025-0842"/>
    <d v="2025-03-19T00:00:00"/>
    <d v="2025-03-21T00:00:00"/>
    <s v="Express"/>
    <s v="CUST-0124"/>
    <s v="Aarav Sharma"/>
    <s v="Corporate"/>
    <s v="Ahmedabad"/>
    <s v="West"/>
    <x v="1"/>
    <s v="Lunch Box"/>
    <n v="3"/>
    <n v="0.05"/>
    <x v="841"/>
    <n v="601.86"/>
    <s v="UPI"/>
    <b v="0"/>
    <b v="0"/>
    <b v="0"/>
    <m/>
  </r>
  <r>
    <n v="843"/>
    <s v="ORD-2025-0843"/>
    <d v="2025-06-03T00:00:00"/>
    <d v="2025-06-06T00:00:00"/>
    <s v="Express"/>
    <s v="CUST-0112"/>
    <s v="Rohan Mehta"/>
    <s v="Consumer"/>
    <s v="Chennai"/>
    <s v="South"/>
    <x v="3"/>
    <s v="Bluetooth Speaker"/>
    <n v="1"/>
    <n v="0.1"/>
    <x v="842"/>
    <n v="279.54000000000002"/>
    <s v="UPI"/>
    <b v="0"/>
    <b v="0"/>
    <b v="0"/>
    <m/>
  </r>
  <r>
    <n v="844"/>
    <s v="ORD-2025-0844"/>
    <d v="2025-09-04T00:00:00"/>
    <d v="2025-09-09T00:00:00"/>
    <s v="Standard"/>
    <s v="CUST-0236"/>
    <s v="Shreya Kapoor"/>
    <s v="Small Business"/>
    <s v="Mumbai"/>
    <s v="West"/>
    <x v="1"/>
    <s v="Electric Kettle"/>
    <n v="1"/>
    <n v="0.1"/>
    <x v="843"/>
    <n v="212.06"/>
    <s v="UPI"/>
    <b v="0"/>
    <b v="0"/>
    <b v="0"/>
    <m/>
  </r>
  <r>
    <n v="845"/>
    <s v="ORD-2025-0845"/>
    <d v="2025-08-29T00:00:00"/>
    <d v="2025-08-31T00:00:00"/>
    <s v="Standard"/>
    <s v="CUST-0043"/>
    <s v="Ishita Roy"/>
    <s v="Consumer"/>
    <s v="Pune"/>
    <s v="West"/>
    <x v="0"/>
    <s v="Notebook"/>
    <n v="1"/>
    <n v="0"/>
    <x v="844"/>
    <n v="37.08"/>
    <s v="Cash"/>
    <b v="0"/>
    <b v="0"/>
    <b v="0"/>
    <m/>
  </r>
  <r>
    <n v="846"/>
    <s v="ORD-2025-0846"/>
    <d v="2025-02-05T00:00:00"/>
    <d v="2025-02-10T00:00:00"/>
    <s v="Standard"/>
    <s v="CUST-0091"/>
    <s v="Ananya Singh"/>
    <s v="Consumer"/>
    <s v="Bengaluru"/>
    <s v="South"/>
    <x v="2"/>
    <s v="Folding Chair"/>
    <n v="1"/>
    <n v="0.2"/>
    <x v="845"/>
    <n v="322.7"/>
    <s v="Credit Card"/>
    <b v="0"/>
    <b v="0"/>
    <b v="0"/>
    <m/>
  </r>
  <r>
    <n v="847"/>
    <s v="ORD-2025-0847"/>
    <d v="2025-07-06T00:00:00"/>
    <d v="2025-07-09T00:00:00"/>
    <s v="Standard"/>
    <s v="CUST-0123"/>
    <s v="Kiran Joshi"/>
    <s v="Small Business"/>
    <s v="Jaipur"/>
    <s v="North"/>
    <x v="2"/>
    <s v="Folding Chair"/>
    <n v="1"/>
    <n v="0.05"/>
    <x v="846"/>
    <n v="517.54"/>
    <s v="Debit Card"/>
    <b v="0"/>
    <b v="0"/>
    <b v="0"/>
    <m/>
  </r>
  <r>
    <n v="848"/>
    <s v="ORD-2025-0848"/>
    <d v="2025-07-08T00:00:00"/>
    <d v="2025-07-10T00:00:00"/>
    <s v="Same Day"/>
    <s v="CUST-0136"/>
    <s v="Vikram Rao"/>
    <s v="Consumer"/>
    <s v="Ahmedabad"/>
    <s v="West"/>
    <x v="1"/>
    <s v="Lunch Box"/>
    <n v="2"/>
    <n v="0"/>
    <x v="847"/>
    <n v="329.04"/>
    <s v="Debit Card"/>
    <b v="0"/>
    <b v="0"/>
    <b v="0"/>
    <m/>
  </r>
  <r>
    <n v="849"/>
    <s v="ORD-2025-0849"/>
    <d v="2025-04-19T00:00:00"/>
    <d v="2025-04-20T00:00:00"/>
    <s v="Standard"/>
    <s v="CUST-0054"/>
    <s v="Ananya Singh"/>
    <s v="Consumer"/>
    <s v="Pune"/>
    <s v="West"/>
    <x v="0"/>
    <s v="Notebook"/>
    <n v="3"/>
    <n v="0.25"/>
    <x v="848"/>
    <n v="31.91"/>
    <s v="Credit Card"/>
    <b v="0"/>
    <b v="0"/>
    <b v="0"/>
    <m/>
  </r>
  <r>
    <n v="850"/>
    <s v="ORD-2025-0850"/>
    <d v="2025-09-16T00:00:00"/>
    <d v="2025-09-17T00:00:00"/>
    <s v="Standard"/>
    <s v="CUST-0175"/>
    <s v="Meera Shah"/>
    <s v="Small Business"/>
    <s v="Jaipur"/>
    <s v="North"/>
    <x v="0"/>
    <s v="Calculator"/>
    <n v="1"/>
    <n v="0.1"/>
    <x v="849"/>
    <n v="152.02000000000001"/>
    <s v="UPI"/>
    <b v="0"/>
    <b v="0"/>
    <b v="0"/>
    <m/>
  </r>
  <r>
    <n v="851"/>
    <s v="ORD-2025-0851"/>
    <d v="2025-10-10T00:00:00"/>
    <d v="2025-10-14T00:00:00"/>
    <s v="Standard"/>
    <s v="CUST-0247"/>
    <s v="Aditya Kumar"/>
    <s v="Consumer"/>
    <s v="Lucknow"/>
    <s v="North"/>
    <x v="2"/>
    <s v="Bookshelf"/>
    <n v="1"/>
    <n v="0"/>
    <x v="850"/>
    <n v="1167.79"/>
    <s v="Debit Card"/>
    <b v="0"/>
    <b v="0"/>
    <b v="0"/>
    <m/>
  </r>
  <r>
    <n v="852"/>
    <s v="ORD-2025-0852"/>
    <d v="2025-10-25T00:00:00"/>
    <d v="2025-10-28T00:00:00"/>
    <s v="Standard"/>
    <s v="CUST-0219"/>
    <s v="Sanjay Menon"/>
    <s v="Consumer"/>
    <s v="Bhubaneswar"/>
    <s v="East"/>
    <x v="3"/>
    <s v="Keyboard"/>
    <n v="2"/>
    <n v="0.05"/>
    <x v="851"/>
    <n v="613.80999999999995"/>
    <s v="Debit Card"/>
    <b v="0"/>
    <b v="0"/>
    <b v="0"/>
    <m/>
  </r>
  <r>
    <n v="853"/>
    <s v="ORD-2025-0853"/>
    <d v="2025-03-01T00:00:00"/>
    <d v="2025-03-02T00:00:00"/>
    <s v="Standard"/>
    <s v="CUST-0208"/>
    <s v="Nikhil Jain"/>
    <s v="Consumer"/>
    <s v="Bengaluru"/>
    <s v="South"/>
    <x v="0"/>
    <s v="Desk Organizer"/>
    <n v="1"/>
    <n v="0"/>
    <x v="852"/>
    <n v="127.16"/>
    <s v="Credit Card"/>
    <b v="0"/>
    <b v="0"/>
    <b v="0"/>
    <m/>
  </r>
  <r>
    <n v="854"/>
    <s v="ORD-2025-0854"/>
    <d v="2025-06-22T00:00:00"/>
    <d v="2025-06-24T00:00:00"/>
    <s v="Same Day"/>
    <s v="CUST-0196"/>
    <s v="Aditya Kumar"/>
    <s v="Consumer"/>
    <s v="Mumbai"/>
    <s v="West"/>
    <x v="2"/>
    <s v="Office Chair"/>
    <n v="2"/>
    <n v="0.1"/>
    <x v="853"/>
    <n v="2198.39"/>
    <s v="Cash"/>
    <b v="0"/>
    <b v="0"/>
    <b v="0"/>
    <m/>
  </r>
  <r>
    <n v="855"/>
    <s v="ORD-2025-0855"/>
    <d v="2025-12-07T00:00:00"/>
    <d v="2025-12-11T00:00:00"/>
    <s v="Standard"/>
    <s v="CUST-0112"/>
    <s v="Ananya Singh"/>
    <s v="Consumer"/>
    <s v="Kolkata"/>
    <s v="East"/>
    <x v="1"/>
    <s v="Storage Box"/>
    <n v="4"/>
    <n v="0"/>
    <x v="854"/>
    <n v="774.06"/>
    <s v="UPI"/>
    <b v="0"/>
    <b v="0"/>
    <b v="0"/>
    <m/>
  </r>
  <r>
    <n v="856"/>
    <s v="ORD-2025-0856"/>
    <d v="2025-07-22T00:00:00"/>
    <d v="2025-07-26T00:00:00"/>
    <s v="Standard"/>
    <s v="CUST-0191"/>
    <s v="Rohan Mehta"/>
    <s v="Consumer"/>
    <s v="Ahmedabad"/>
    <s v="West"/>
    <x v="3"/>
    <s v="Wireless Mouse"/>
    <n v="2"/>
    <n v="0"/>
    <x v="855"/>
    <n v="455.21"/>
    <s v="UPI"/>
    <b v="0"/>
    <b v="0"/>
    <b v="0"/>
    <m/>
  </r>
  <r>
    <n v="857"/>
    <s v="ORD-2025-0857"/>
    <d v="2025-12-22T00:00:00"/>
    <d v="2025-12-26T00:00:00"/>
    <s v="Standard"/>
    <s v="CUST-0223"/>
    <s v="Ishita Roy"/>
    <s v="Consumer"/>
    <s v="Chennai"/>
    <s v="South"/>
    <x v="0"/>
    <s v="File Folder"/>
    <n v="2"/>
    <n v="0.1"/>
    <x v="856"/>
    <n v="22.87"/>
    <s v="Net Banking"/>
    <b v="0"/>
    <b v="0"/>
    <b v="0"/>
    <m/>
  </r>
  <r>
    <n v="858"/>
    <s v="ORD-2025-0858"/>
    <d v="2025-03-20T00:00:00"/>
    <d v="2025-03-25T00:00:00"/>
    <s v="Express"/>
    <s v="CUST-0142"/>
    <s v="Ananya Singh"/>
    <s v="Consumer"/>
    <s v="Jaipur"/>
    <s v="North"/>
    <x v="3"/>
    <s v="Power Bank"/>
    <n v="3"/>
    <n v="0.2"/>
    <x v="857"/>
    <n v="346.11"/>
    <s v="UPI"/>
    <b v="0"/>
    <b v="0"/>
    <b v="0"/>
    <m/>
  </r>
  <r>
    <n v="859"/>
    <s v="ORD-2025-0859"/>
    <d v="2025-07-17T00:00:00"/>
    <d v="2025-07-21T00:00:00"/>
    <s v="Express"/>
    <s v="CUST-0130"/>
    <s v="Nikhil Jain"/>
    <s v="Corporate"/>
    <s v="Delhi"/>
    <s v="North"/>
    <x v="3"/>
    <s v="Bluetooth Speaker"/>
    <n v="3"/>
    <n v="0.2"/>
    <x v="858"/>
    <n v="449.66"/>
    <s v="Credit Card"/>
    <b v="0"/>
    <b v="0"/>
    <b v="0"/>
    <m/>
  </r>
  <r>
    <n v="860"/>
    <s v="ORD-2025-0860"/>
    <d v="2025-09-19T00:00:00"/>
    <d v="2025-09-23T00:00:00"/>
    <s v="Standard"/>
    <s v="CUST-0134"/>
    <s v="Kiran Joshi"/>
    <s v="Corporate"/>
    <s v="Pune"/>
    <s v="West"/>
    <x v="3"/>
    <s v="Power Bank"/>
    <n v="1"/>
    <n v="0.2"/>
    <x v="859"/>
    <n v="129.78"/>
    <s v="Credit Card"/>
    <b v="0"/>
    <b v="0"/>
    <b v="0"/>
    <m/>
  </r>
  <r>
    <n v="861"/>
    <s v="ORD-2025-0861"/>
    <d v="2025-07-12T00:00:00"/>
    <d v="2025-07-17T00:00:00"/>
    <s v="Standard"/>
    <s v="CUST-0095"/>
    <s v="Meera Shah"/>
    <s v="Consumer"/>
    <s v="Lucknow"/>
    <s v="North"/>
    <x v="2"/>
    <s v="Study Table"/>
    <n v="2"/>
    <n v="0"/>
    <x v="860"/>
    <n v="2489.4699999999998"/>
    <s v="UPI"/>
    <b v="0"/>
    <b v="0"/>
    <b v="0"/>
    <m/>
  </r>
  <r>
    <n v="862"/>
    <s v="ORD-2025-0862"/>
    <d v="2025-04-02T00:00:00"/>
    <d v="2025-04-06T00:00:00"/>
    <s v="Same Day"/>
    <s v="CUST-0018"/>
    <s v="Rahul Verma"/>
    <s v="Consumer"/>
    <s v="Kolkata"/>
    <s v="East"/>
    <x v="2"/>
    <s v="Bookshelf"/>
    <n v="4"/>
    <n v="0.1"/>
    <x v="861"/>
    <n v="4200.04"/>
    <s v="UPI"/>
    <b v="0"/>
    <b v="0"/>
    <b v="0"/>
    <m/>
  </r>
  <r>
    <n v="863"/>
    <s v="ORD-2025-0863"/>
    <d v="2025-08-02T00:00:00"/>
    <d v="2025-08-06T00:00:00"/>
    <s v="Express"/>
    <s v="CUST-0101"/>
    <s v="Divya Rao"/>
    <s v="Consumer"/>
    <s v="Ahmedabad"/>
    <s v="West"/>
    <x v="2"/>
    <s v="Desk Lamp"/>
    <n v="3"/>
    <n v="0.2"/>
    <x v="862"/>
    <n v="276.52999999999997"/>
    <s v="UPI"/>
    <b v="0"/>
    <b v="0"/>
    <b v="0"/>
    <m/>
  </r>
  <r>
    <n v="864"/>
    <s v="ORD-2025-0864"/>
    <d v="2025-02-16T00:00:00"/>
    <d v="2025-02-19T00:00:00"/>
    <s v="Standard"/>
    <s v="CUST-0144"/>
    <s v="Ishita Roy"/>
    <s v="Corporate"/>
    <s v="Pune"/>
    <s v="West"/>
    <x v="1"/>
    <s v="Water Bottle"/>
    <n v="3"/>
    <n v="0.15"/>
    <x v="863"/>
    <n v="85.71"/>
    <s v="Credit Card"/>
    <b v="0"/>
    <b v="0"/>
    <b v="0"/>
    <m/>
  </r>
  <r>
    <n v="865"/>
    <s v="ORD-2025-0865"/>
    <d v="2025-03-15T00:00:00"/>
    <d v="2025-03-16T00:00:00"/>
    <s v="Same Day"/>
    <s v="CUST-0052"/>
    <s v="Sanjay Menon"/>
    <s v="Consumer"/>
    <s v="Mumbai"/>
    <s v="West"/>
    <x v="0"/>
    <s v="Desk Organizer"/>
    <n v="2"/>
    <n v="0.05"/>
    <x v="864"/>
    <n v="234.08"/>
    <s v="Credit Card"/>
    <b v="0"/>
    <b v="0"/>
    <b v="0"/>
    <m/>
  </r>
  <r>
    <n v="866"/>
    <s v="ORD-2025-0866"/>
    <d v="2025-09-15T00:00:00"/>
    <d v="2025-09-20T00:00:00"/>
    <s v="Standard"/>
    <s v="CUST-0118"/>
    <s v="Rohan Mehta"/>
    <s v="Consumer"/>
    <s v="Lucknow"/>
    <s v="North"/>
    <x v="2"/>
    <s v="Study Table"/>
    <n v="1"/>
    <n v="0.2"/>
    <x v="865"/>
    <n v="304.58"/>
    <s v="Credit Card"/>
    <b v="0"/>
    <b v="0"/>
    <b v="0"/>
    <m/>
  </r>
  <r>
    <n v="867"/>
    <s v="ORD-2025-0867"/>
    <d v="2025-09-20T00:00:00"/>
    <d v="2025-09-24T00:00:00"/>
    <s v="Standard"/>
    <s v="CUST-0135"/>
    <s v="Ananya Singh"/>
    <s v="Consumer"/>
    <s v="Bengaluru"/>
    <s v="South"/>
    <x v="3"/>
    <s v="Power Bank"/>
    <n v="1"/>
    <n v="0"/>
    <x v="866"/>
    <n v="353.31"/>
    <s v="Net Banking"/>
    <b v="0"/>
    <b v="0"/>
    <b v="0"/>
    <m/>
  </r>
  <r>
    <n v="868"/>
    <s v="ORD-2025-0868"/>
    <d v="2025-09-21T00:00:00"/>
    <d v="2025-09-22T00:00:00"/>
    <s v="Same Day"/>
    <s v="CUST-0060"/>
    <s v="Neha Gupta"/>
    <s v="Consumer"/>
    <s v="Bengaluru"/>
    <s v="South"/>
    <x v="3"/>
    <s v="Wireless Mouse"/>
    <n v="1"/>
    <n v="0.05"/>
    <x v="867"/>
    <n v="240.68"/>
    <s v="UPI"/>
    <b v="0"/>
    <b v="0"/>
    <b v="0"/>
    <m/>
  </r>
  <r>
    <n v="869"/>
    <s v="ORD-2025-0869"/>
    <d v="2025-11-07T00:00:00"/>
    <d v="2025-11-11T00:00:00"/>
    <s v="Standard"/>
    <s v="CUST-0131"/>
    <s v="Aarav Sharma"/>
    <s v="Consumer"/>
    <s v="Mumbai"/>
    <s v="West"/>
    <x v="1"/>
    <s v="Electric Kettle"/>
    <n v="1"/>
    <n v="0"/>
    <x v="868"/>
    <n v="569.80999999999995"/>
    <s v="UPI"/>
    <b v="0"/>
    <b v="0"/>
    <b v="0"/>
    <m/>
  </r>
  <r>
    <n v="870"/>
    <s v="ORD-2025-0870"/>
    <d v="2025-12-13T00:00:00"/>
    <d v="2025-12-14T00:00:00"/>
    <s v="Same Day"/>
    <s v="CUST-0078"/>
    <s v="Meera Shah"/>
    <s v="Consumer"/>
    <s v="Ahmedabad"/>
    <s v="West"/>
    <x v="0"/>
    <s v="Desk Organizer"/>
    <n v="1"/>
    <n v="0.15"/>
    <x v="869"/>
    <n v="51.75"/>
    <s v="UPI"/>
    <b v="0"/>
    <b v="0"/>
    <b v="0"/>
    <m/>
  </r>
  <r>
    <n v="871"/>
    <s v="ORD-2025-0871"/>
    <d v="2025-03-15T00:00:00"/>
    <d v="2025-03-17T00:00:00"/>
    <s v="Standard"/>
    <s v="CUST-0040"/>
    <s v="Aarav Sharma"/>
    <s v="Consumer"/>
    <s v="Lucknow"/>
    <s v="North"/>
    <x v="3"/>
    <s v="Keyboard"/>
    <n v="1"/>
    <n v="0.1"/>
    <x v="870"/>
    <n v="283.85000000000002"/>
    <s v="Debit Card"/>
    <b v="0"/>
    <b v="0"/>
    <b v="0"/>
    <m/>
  </r>
  <r>
    <n v="872"/>
    <s v="ORD-2025-0872"/>
    <d v="2025-12-11T00:00:00"/>
    <d v="2025-12-12T00:00:00"/>
    <s v="Standard"/>
    <s v="CUST-0243"/>
    <s v="Nikhil Jain"/>
    <s v="Consumer"/>
    <s v="Mysuru"/>
    <s v="South"/>
    <x v="0"/>
    <s v="Calculator"/>
    <n v="3"/>
    <n v="0.1"/>
    <x v="871"/>
    <n v="192.39"/>
    <s v="UPI"/>
    <b v="0"/>
    <b v="0"/>
    <b v="0"/>
    <m/>
  </r>
  <r>
    <n v="873"/>
    <s v="ORD-2025-0873"/>
    <d v="2025-07-17T00:00:00"/>
    <d v="2025-07-21T00:00:00"/>
    <s v="Standard"/>
    <s v="CUST-0214"/>
    <s v="Neha Gupta"/>
    <s v="Corporate"/>
    <s v="Delhi"/>
    <s v="North"/>
    <x v="1"/>
    <s v="Coffee Mug"/>
    <n v="1"/>
    <n v="0.15"/>
    <x v="872"/>
    <n v="66.75"/>
    <s v="Credit Card"/>
    <b v="0"/>
    <b v="0"/>
    <b v="0"/>
    <m/>
  </r>
  <r>
    <n v="874"/>
    <s v="ORD-2025-0874"/>
    <d v="2025-08-26T00:00:00"/>
    <d v="2025-08-29T00:00:00"/>
    <s v="Standard"/>
    <s v="CUST-0181"/>
    <s v="Rohan Mehta"/>
    <s v="Corporate"/>
    <s v="Bengaluru"/>
    <s v="South"/>
    <x v="2"/>
    <s v="Office Chair"/>
    <n v="2"/>
    <n v="0"/>
    <x v="873"/>
    <n v="2440.7800000000002"/>
    <s v="UPI"/>
    <b v="0"/>
    <b v="0"/>
    <b v="0"/>
    <m/>
  </r>
  <r>
    <n v="875"/>
    <s v="ORD-2025-0875"/>
    <d v="2025-05-10T00:00:00"/>
    <d v="2025-05-13T00:00:00"/>
    <s v="Express"/>
    <s v="CUST-0031"/>
    <s v="Pooja Das"/>
    <s v="Small Business"/>
    <s v="Bengaluru"/>
    <s v="South"/>
    <x v="1"/>
    <s v="Water Bottle"/>
    <n v="1"/>
    <n v="0.2"/>
    <x v="874"/>
    <n v="60.3"/>
    <s v="UPI"/>
    <b v="0"/>
    <b v="0"/>
    <b v="0"/>
    <m/>
  </r>
  <r>
    <n v="876"/>
    <s v="ORD-2025-0876"/>
    <d v="2025-04-05T00:00:00"/>
    <d v="2025-04-07T00:00:00"/>
    <s v="Express"/>
    <s v="CUST-0153"/>
    <s v="Neha Gupta"/>
    <s v="Corporate"/>
    <s v="Hyderabad"/>
    <s v="South"/>
    <x v="2"/>
    <s v="Folding Chair"/>
    <n v="3"/>
    <n v="0"/>
    <x v="875"/>
    <n v="1062.3699999999999"/>
    <s v="UPI"/>
    <b v="0"/>
    <b v="0"/>
    <b v="0"/>
    <m/>
  </r>
  <r>
    <n v="877"/>
    <s v="ORD-2025-0877"/>
    <d v="2025-03-05T00:00:00"/>
    <d v="2025-03-10T00:00:00"/>
    <s v="Standard"/>
    <s v="CUST-0122"/>
    <s v="Vikram Rao"/>
    <s v="Consumer"/>
    <s v="Pune"/>
    <s v="West"/>
    <x v="1"/>
    <s v="Coffee Mug"/>
    <n v="2"/>
    <n v="0.1"/>
    <x v="876"/>
    <n v="98.27"/>
    <s v="Debit Card"/>
    <b v="0"/>
    <b v="0"/>
    <b v="0"/>
    <m/>
  </r>
  <r>
    <n v="878"/>
    <s v="ORD-2025-0878"/>
    <d v="2025-06-16T00:00:00"/>
    <d v="2025-06-18T00:00:00"/>
    <s v="Standard"/>
    <s v="CUST-0067"/>
    <s v="Priya Nair"/>
    <s v="Corporate"/>
    <s v="Pune"/>
    <s v="West"/>
    <x v="2"/>
    <s v="Folding Chair"/>
    <n v="2"/>
    <n v="0.2"/>
    <x v="877"/>
    <n v="402.67"/>
    <s v="UPI"/>
    <b v="0"/>
    <b v="0"/>
    <b v="0"/>
    <m/>
  </r>
  <r>
    <n v="879"/>
    <s v="ORD-2025-0879"/>
    <d v="2025-04-06T00:00:00"/>
    <d v="2025-04-09T00:00:00"/>
    <s v="Express"/>
    <s v="CUST-0106"/>
    <s v="Priya Nair"/>
    <s v="Consumer"/>
    <s v="Pune"/>
    <s v="West"/>
    <x v="0"/>
    <s v="Desk Organizer"/>
    <n v="1"/>
    <n v="0.2"/>
    <x v="878"/>
    <n v="3.61"/>
    <s v="Credit Card"/>
    <b v="0"/>
    <b v="0"/>
    <b v="0"/>
    <m/>
  </r>
  <r>
    <n v="880"/>
    <s v="ORD-2025-0880"/>
    <d v="2025-02-28T00:00:00"/>
    <d v="2025-03-05T00:00:00"/>
    <s v="Standard"/>
    <s v="CUST-0149"/>
    <s v="Sanjay Menon"/>
    <s v="Consumer"/>
    <s v="Lucknow"/>
    <s v="North"/>
    <x v="3"/>
    <s v="Wireless Mouse"/>
    <n v="2"/>
    <n v="0"/>
    <x v="879"/>
    <n v="495.91"/>
    <s v="UPI"/>
    <b v="0"/>
    <b v="0"/>
    <b v="0"/>
    <m/>
  </r>
  <r>
    <n v="881"/>
    <s v="ORD-2025-0881"/>
    <d v="2025-11-24T00:00:00"/>
    <d v="2025-11-26T00:00:00"/>
    <s v="Standard"/>
    <s v="CUST-0197"/>
    <s v="Shreya Kapoor"/>
    <s v="Consumer"/>
    <s v="Ahmedabad"/>
    <s v="West"/>
    <x v="0"/>
    <s v="Notebook"/>
    <n v="4"/>
    <n v="0.15"/>
    <x v="880"/>
    <n v="44.51"/>
    <s v="Debit Card"/>
    <b v="0"/>
    <b v="0"/>
    <b v="0"/>
    <m/>
  </r>
  <r>
    <n v="882"/>
    <s v="ORD-2025-0882"/>
    <d v="2025-09-18T00:00:00"/>
    <d v="2025-09-23T00:00:00"/>
    <s v="Standard"/>
    <s v="CUST-0079"/>
    <s v="Manish Yadav"/>
    <s v="Corporate"/>
    <s v="Jaipur"/>
    <s v="North"/>
    <x v="2"/>
    <s v="Study Table"/>
    <n v="4"/>
    <n v="0"/>
    <x v="881"/>
    <n v="6829.18"/>
    <s v="Net Banking"/>
    <b v="0"/>
    <b v="0"/>
    <b v="0"/>
    <m/>
  </r>
  <r>
    <n v="883"/>
    <s v="ORD-2025-0883"/>
    <d v="2025-07-29T00:00:00"/>
    <d v="2025-08-01T00:00:00"/>
    <s v="Express"/>
    <s v="CUST-0050"/>
    <s v="Ishita Roy"/>
    <s v="Corporate"/>
    <s v="Delhi"/>
    <s v="North"/>
    <x v="0"/>
    <s v="Notebook"/>
    <n v="2"/>
    <n v="0"/>
    <x v="882"/>
    <n v="79.69"/>
    <s v="Credit Card"/>
    <b v="0"/>
    <b v="0"/>
    <b v="0"/>
    <m/>
  </r>
  <r>
    <n v="884"/>
    <s v="ORD-2025-0884"/>
    <d v="2025-02-13T00:00:00"/>
    <d v="2025-02-16T00:00:00"/>
    <s v="Standard"/>
    <s v="CUST-0093"/>
    <s v="Rahul Verma"/>
    <s v="Consumer"/>
    <s v="Mumbai"/>
    <s v="West"/>
    <x v="3"/>
    <s v="Keyboard"/>
    <n v="1"/>
    <n v="0.1"/>
    <x v="883"/>
    <n v="74.8"/>
    <s v="Debit Card"/>
    <b v="0"/>
    <b v="0"/>
    <b v="0"/>
    <m/>
  </r>
  <r>
    <n v="885"/>
    <s v="ORD-2025-0885"/>
    <d v="2025-03-07T00:00:00"/>
    <d v="2025-03-12T00:00:00"/>
    <s v="Standard"/>
    <s v="CUST-0158"/>
    <s v="Manish Yadav"/>
    <s v="Consumer"/>
    <s v="Chennai"/>
    <s v="South"/>
    <x v="0"/>
    <s v="File Folder"/>
    <n v="1"/>
    <n v="0.05"/>
    <x v="884"/>
    <n v="10.71"/>
    <s v="Debit Card"/>
    <b v="0"/>
    <b v="0"/>
    <b v="0"/>
    <m/>
  </r>
  <r>
    <n v="886"/>
    <s v="ORD-2025-0886"/>
    <d v="2025-11-09T00:00:00"/>
    <d v="2025-11-12T00:00:00"/>
    <s v="Express"/>
    <s v="CUST-0116"/>
    <s v="Sneha Reddy"/>
    <s v="Corporate"/>
    <s v="Lucknow"/>
    <s v="North"/>
    <x v="3"/>
    <s v="Wireless Mouse"/>
    <n v="1"/>
    <n v="0"/>
    <x v="885"/>
    <n v="210.69"/>
    <s v="Credit Card"/>
    <b v="0"/>
    <b v="0"/>
    <b v="0"/>
    <m/>
  </r>
  <r>
    <n v="887"/>
    <s v="ORD-2025-0887"/>
    <d v="2025-01-13T00:00:00"/>
    <d v="2025-01-17T00:00:00"/>
    <s v="Express"/>
    <s v="CUST-0172"/>
    <s v="Pooja Das"/>
    <s v="Consumer"/>
    <s v="Mumbai"/>
    <s v="West"/>
    <x v="0"/>
    <s v="Calculator"/>
    <n v="1"/>
    <n v="0"/>
    <x v="886"/>
    <n v="111.95"/>
    <s v="Credit Card"/>
    <b v="0"/>
    <b v="0"/>
    <b v="0"/>
    <m/>
  </r>
  <r>
    <n v="888"/>
    <s v="ORD-2025-0888"/>
    <d v="2025-05-28T00:00:00"/>
    <d v="2025-05-29T00:00:00"/>
    <s v="Express"/>
    <s v="CUST-0227"/>
    <s v="Manish Yadav"/>
    <s v="Consumer"/>
    <s v="Mysuru"/>
    <s v="South"/>
    <x v="2"/>
    <s v="Study Table"/>
    <n v="1"/>
    <n v="0.1"/>
    <x v="887"/>
    <n v="419.68"/>
    <s v="UPI"/>
    <b v="0"/>
    <b v="0"/>
    <b v="0"/>
    <m/>
  </r>
  <r>
    <n v="889"/>
    <s v="ORD-2025-0889"/>
    <d v="2025-08-28T00:00:00"/>
    <d v="2025-08-30T00:00:00"/>
    <s v="Standard"/>
    <s v="CUST-0009"/>
    <s v="Aditya Kumar"/>
    <s v="Small Business"/>
    <s v="Ahmedabad"/>
    <s v="West"/>
    <x v="3"/>
    <s v="Bluetooth Speaker"/>
    <n v="1"/>
    <n v="0.1"/>
    <x v="888"/>
    <n v="527.29999999999995"/>
    <s v="Net Banking"/>
    <b v="0"/>
    <b v="0"/>
    <b v="0"/>
    <m/>
  </r>
  <r>
    <n v="890"/>
    <s v="ORD-2025-0890"/>
    <d v="2025-08-23T00:00:00"/>
    <d v="2025-08-26T00:00:00"/>
    <s v="Standard"/>
    <s v="CUST-0212"/>
    <s v="Aditya Kumar"/>
    <s v="Small Business"/>
    <s v="Mysuru"/>
    <s v="South"/>
    <x v="1"/>
    <s v="Lunch Box"/>
    <n v="2"/>
    <n v="0.2"/>
    <x v="889"/>
    <n v="162.02000000000001"/>
    <s v="Net Banking"/>
    <b v="0"/>
    <b v="0"/>
    <b v="0"/>
    <m/>
  </r>
  <r>
    <n v="891"/>
    <s v="ORD-2025-0891"/>
    <d v="2025-08-31T00:00:00"/>
    <d v="2025-09-05T00:00:00"/>
    <s v="Express"/>
    <s v="CUST-0224"/>
    <s v="Ishita Roy"/>
    <s v="Corporate"/>
    <s v="Mysuru"/>
    <s v="South"/>
    <x v="3"/>
    <s v="Keyboard"/>
    <n v="4"/>
    <n v="0.05"/>
    <x v="890"/>
    <n v="1339.68"/>
    <s v="Debit Card"/>
    <b v="0"/>
    <b v="0"/>
    <b v="0"/>
    <m/>
  </r>
  <r>
    <n v="892"/>
    <s v="ORD-2025-0892"/>
    <d v="2025-04-06T00:00:00"/>
    <d v="2025-04-08T00:00:00"/>
    <s v="Express"/>
    <s v="CUST-0156"/>
    <s v="Meera Shah"/>
    <s v="Corporate"/>
    <s v="Pune"/>
    <s v="West"/>
    <x v="3"/>
    <s v="Wireless Mouse"/>
    <n v="2"/>
    <n v="0"/>
    <x v="891"/>
    <n v="299.32"/>
    <s v="Debit Card"/>
    <b v="0"/>
    <b v="0"/>
    <b v="0"/>
    <m/>
  </r>
  <r>
    <n v="893"/>
    <s v="ORD-2025-0893"/>
    <d v="2025-09-17T00:00:00"/>
    <d v="2025-09-20T00:00:00"/>
    <s v="Express"/>
    <s v="CUST-0115"/>
    <s v="Kavya Iyer"/>
    <s v="Small Business"/>
    <s v="Lucknow"/>
    <s v="North"/>
    <x v="2"/>
    <s v="Desk Lamp"/>
    <n v="1"/>
    <n v="0"/>
    <x v="892"/>
    <n v="436.97"/>
    <s v="Credit Card"/>
    <b v="0"/>
    <b v="0"/>
    <b v="0"/>
    <m/>
  </r>
  <r>
    <n v="894"/>
    <s v="ORD-2025-0894"/>
    <d v="2025-07-30T00:00:00"/>
    <d v="2025-07-31T00:00:00"/>
    <s v="Standard"/>
    <s v="CUST-0159"/>
    <s v="Aditya Kumar"/>
    <s v="Small Business"/>
    <s v="Mumbai"/>
    <s v="West"/>
    <x v="1"/>
    <s v="Lunch Box"/>
    <n v="1"/>
    <n v="0.1"/>
    <x v="893"/>
    <n v="90.28"/>
    <s v="Debit Card"/>
    <b v="0"/>
    <b v="0"/>
    <b v="0"/>
    <m/>
  </r>
  <r>
    <n v="895"/>
    <s v="ORD-2025-0895"/>
    <d v="2025-12-15T00:00:00"/>
    <d v="2025-12-17T00:00:00"/>
    <s v="Express"/>
    <s v="CUST-0244"/>
    <s v="Neha Gupta"/>
    <s v="Consumer"/>
    <s v="Mysuru"/>
    <s v="South"/>
    <x v="1"/>
    <s v="Lunch Box"/>
    <n v="2"/>
    <n v="0.1"/>
    <x v="894"/>
    <n v="247.88"/>
    <s v="Net Banking"/>
    <b v="0"/>
    <b v="0"/>
    <b v="0"/>
    <m/>
  </r>
  <r>
    <n v="896"/>
    <s v="ORD-2025-0896"/>
    <d v="2025-02-22T00:00:00"/>
    <d v="2025-02-24T00:00:00"/>
    <s v="Standard"/>
    <s v="CUST-0135"/>
    <s v="Manish Yadav"/>
    <s v="Consumer"/>
    <s v="Hyderabad"/>
    <s v="South"/>
    <x v="3"/>
    <s v="USB-C Hub"/>
    <n v="1"/>
    <n v="0.15"/>
    <x v="828"/>
    <n v="248.71"/>
    <s v="UPI"/>
    <b v="0"/>
    <b v="0"/>
    <b v="0"/>
    <m/>
  </r>
  <r>
    <n v="897"/>
    <s v="ORD-2025-0897"/>
    <d v="2025-12-08T00:00:00"/>
    <d v="2025-12-12T00:00:00"/>
    <s v="Standard"/>
    <s v="CUST-0052"/>
    <s v="Rohan Mehta"/>
    <s v="Consumer"/>
    <s v="Bhubaneswar"/>
    <s v="East"/>
    <x v="3"/>
    <s v="Keyboard"/>
    <n v="1"/>
    <n v="0"/>
    <x v="895"/>
    <n v="347.29"/>
    <s v="Debit Card"/>
    <b v="0"/>
    <b v="0"/>
    <b v="0"/>
    <m/>
  </r>
  <r>
    <n v="898"/>
    <s v="ORD-2025-0898"/>
    <d v="2025-01-18T00:00:00"/>
    <d v="2025-01-23T00:00:00"/>
    <s v="Express"/>
    <s v="CUST-0127"/>
    <s v="Neha Gupta"/>
    <s v="Consumer"/>
    <s v="Pune"/>
    <s v="West"/>
    <x v="3"/>
    <s v="Wireless Mouse"/>
    <n v="2"/>
    <n v="0"/>
    <x v="896"/>
    <n v="339.43"/>
    <s v="Credit Card"/>
    <b v="0"/>
    <b v="0"/>
    <b v="0"/>
    <m/>
  </r>
  <r>
    <n v="899"/>
    <s v="ORD-2025-0899"/>
    <d v="2025-12-14T00:00:00"/>
    <d v="2025-12-19T00:00:00"/>
    <s v="Standard"/>
    <s v="CUST-0153"/>
    <s v="Ananya Singh"/>
    <s v="Consumer"/>
    <s v="Delhi"/>
    <s v="North"/>
    <x v="3"/>
    <s v="Keyboard"/>
    <n v="1"/>
    <n v="0.05"/>
    <x v="897"/>
    <n v="458.63"/>
    <s v="Credit Card"/>
    <b v="0"/>
    <b v="0"/>
    <b v="0"/>
    <m/>
  </r>
  <r>
    <n v="900"/>
    <s v="ORD-2025-0900"/>
    <d v="2025-01-15T00:00:00"/>
    <d v="2025-01-19T00:00:00"/>
    <s v="Express"/>
    <s v="CUST-0077"/>
    <s v="Pooja Das"/>
    <s v="Consumer"/>
    <s v="Chennai"/>
    <s v="South"/>
    <x v="0"/>
    <s v="File Folder"/>
    <n v="5"/>
    <n v="0.1"/>
    <x v="898"/>
    <n v="56.99"/>
    <s v="Credit Card"/>
    <b v="0"/>
    <b v="0"/>
    <b v="0"/>
    <m/>
  </r>
  <r>
    <n v="901"/>
    <s v="ORD-2025-0901"/>
    <d v="2025-09-16T00:00:00"/>
    <d v="2025-09-18T00:00:00"/>
    <s v="Express"/>
    <s v="CUST-0135"/>
    <s v="Rohan Mehta"/>
    <s v="Corporate"/>
    <s v="Ahmedabad"/>
    <s v="West"/>
    <x v="0"/>
    <s v="Calculator"/>
    <n v="2"/>
    <n v="0.1"/>
    <x v="899"/>
    <n v="117.88"/>
    <s v="Credit Card"/>
    <b v="0"/>
    <b v="0"/>
    <b v="0"/>
    <m/>
  </r>
  <r>
    <n v="902"/>
    <s v="ORD-2025-0902"/>
    <d v="2025-07-09T00:00:00"/>
    <d v="2025-07-12T00:00:00"/>
    <s v="Express"/>
    <s v="CUST-0006"/>
    <s v="Ananya Singh"/>
    <s v="Consumer"/>
    <s v="Delhi"/>
    <s v="North"/>
    <x v="3"/>
    <s v="Bluetooth Speaker"/>
    <n v="3"/>
    <n v="0.2"/>
    <x v="900"/>
    <n v="937.94"/>
    <s v="Credit Card"/>
    <b v="0"/>
    <b v="0"/>
    <b v="0"/>
    <m/>
  </r>
  <r>
    <n v="903"/>
    <s v="ORD-2025-0903"/>
    <d v="2025-10-16T00:00:00"/>
    <d v="2025-10-20T00:00:00"/>
    <s v="Standard"/>
    <s v="CUST-0152"/>
    <s v="Pooja Das"/>
    <s v="Consumer"/>
    <s v="Lucknow"/>
    <s v="North"/>
    <x v="2"/>
    <s v="Desk Lamp"/>
    <n v="4"/>
    <n v="0.1"/>
    <x v="901"/>
    <n v="1226.74"/>
    <s v="Net Banking"/>
    <b v="0"/>
    <b v="0"/>
    <b v="0"/>
    <m/>
  </r>
  <r>
    <n v="904"/>
    <s v="ORD-2025-0904"/>
    <d v="2025-03-01T00:00:00"/>
    <d v="2025-03-04T00:00:00"/>
    <s v="Express"/>
    <s v="CUST-0193"/>
    <s v="Pooja Das"/>
    <s v="Consumer"/>
    <s v="Mumbai"/>
    <s v="West"/>
    <x v="1"/>
    <s v="Storage Box"/>
    <n v="1"/>
    <n v="0.05"/>
    <x v="902"/>
    <n v="125.62"/>
    <s v="Cash"/>
    <b v="0"/>
    <b v="0"/>
    <b v="0"/>
    <m/>
  </r>
  <r>
    <n v="905"/>
    <s v="ORD-2025-0905"/>
    <d v="2025-07-10T00:00:00"/>
    <d v="2025-07-14T00:00:00"/>
    <s v="Express"/>
    <s v="CUST-0096"/>
    <s v="Neha Gupta"/>
    <s v="Corporate"/>
    <s v="Chennai"/>
    <s v="South"/>
    <x v="1"/>
    <s v="Lunch Box"/>
    <n v="4"/>
    <n v="0.2"/>
    <x v="903"/>
    <n v="348.27"/>
    <s v="UPI"/>
    <b v="0"/>
    <b v="0"/>
    <b v="0"/>
    <m/>
  </r>
  <r>
    <n v="906"/>
    <s v="ORD-2025-0906"/>
    <d v="2025-06-21T00:00:00"/>
    <d v="2025-06-24T00:00:00"/>
    <s v="Standard"/>
    <s v="CUST-0020"/>
    <s v="Aditya Kumar"/>
    <s v="Consumer"/>
    <s v="Ahmedabad"/>
    <s v="West"/>
    <x v="3"/>
    <s v="Power Bank"/>
    <n v="3"/>
    <n v="0.1"/>
    <x v="904"/>
    <n v="509.92"/>
    <s v="Credit Card"/>
    <b v="0"/>
    <b v="0"/>
    <b v="0"/>
    <m/>
  </r>
  <r>
    <n v="907"/>
    <s v="ORD-2025-0907"/>
    <d v="2025-07-15T00:00:00"/>
    <d v="2025-07-16T00:00:00"/>
    <s v="Same Day"/>
    <s v="CUST-0195"/>
    <s v="Neha Gupta"/>
    <s v="Consumer"/>
    <s v="Kolkata"/>
    <s v="East"/>
    <x v="1"/>
    <s v="Electric Kettle"/>
    <n v="3"/>
    <n v="0"/>
    <x v="905"/>
    <n v="1194.3399999999999"/>
    <s v="Credit Card"/>
    <b v="0"/>
    <b v="0"/>
    <b v="0"/>
    <m/>
  </r>
  <r>
    <n v="908"/>
    <s v="ORD-2025-0908"/>
    <d v="2025-09-28T00:00:00"/>
    <d v="2025-09-29T00:00:00"/>
    <s v="Express"/>
    <s v="CUST-0234"/>
    <s v="Neha Gupta"/>
    <s v="Corporate"/>
    <s v="Chennai"/>
    <s v="South"/>
    <x v="3"/>
    <s v="Power Bank"/>
    <n v="2"/>
    <n v="0"/>
    <x v="906"/>
    <n v="510.95"/>
    <s v="Debit Card"/>
    <b v="0"/>
    <b v="0"/>
    <b v="0"/>
    <m/>
  </r>
  <r>
    <n v="909"/>
    <s v="ORD-2025-0909"/>
    <d v="2025-09-03T00:00:00"/>
    <d v="2025-09-05T00:00:00"/>
    <s v="Standard"/>
    <s v="CUST-0158"/>
    <s v="Rohan Mehta"/>
    <s v="Corporate"/>
    <s v="Jaipur"/>
    <s v="North"/>
    <x v="1"/>
    <s v="Electric Kettle"/>
    <n v="1"/>
    <n v="0.15"/>
    <x v="907"/>
    <n v="83.69"/>
    <s v="Cash"/>
    <b v="0"/>
    <b v="0"/>
    <b v="0"/>
    <m/>
  </r>
  <r>
    <n v="910"/>
    <s v="ORD-2025-0910"/>
    <d v="2025-02-16T00:00:00"/>
    <d v="2025-02-20T00:00:00"/>
    <s v="Standard"/>
    <s v="CUST-0018"/>
    <s v="Shreya Kapoor"/>
    <s v="Corporate"/>
    <s v="Mumbai"/>
    <s v="West"/>
    <x v="0"/>
    <s v="File Folder"/>
    <n v="2"/>
    <n v="0"/>
    <x v="908"/>
    <n v="44.5"/>
    <s v="Cash"/>
    <b v="0"/>
    <b v="0"/>
    <b v="0"/>
    <m/>
  </r>
  <r>
    <n v="911"/>
    <s v="ORD-2025-0911"/>
    <d v="2025-12-15T00:00:00"/>
    <d v="2025-12-19T00:00:00"/>
    <s v="Express"/>
    <s v="CUST-0162"/>
    <s v="Kiran Joshi"/>
    <s v="Consumer"/>
    <s v="Mumbai"/>
    <s v="West"/>
    <x v="1"/>
    <s v="Coffee Mug"/>
    <n v="4"/>
    <n v="0.15"/>
    <x v="909"/>
    <n v="229.4"/>
    <s v="Credit Card"/>
    <b v="0"/>
    <b v="0"/>
    <b v="0"/>
    <m/>
  </r>
  <r>
    <n v="912"/>
    <s v="ORD-2025-0912"/>
    <d v="2025-12-09T00:00:00"/>
    <d v="2025-12-13T00:00:00"/>
    <s v="Express"/>
    <s v="CUST-0147"/>
    <s v="Ananya Singh"/>
    <s v="Consumer"/>
    <s v="Bengaluru"/>
    <s v="South"/>
    <x v="2"/>
    <s v="Bookshelf"/>
    <n v="2"/>
    <n v="0"/>
    <x v="910"/>
    <n v="2636.44"/>
    <s v="Credit Card"/>
    <b v="0"/>
    <b v="0"/>
    <b v="0"/>
    <m/>
  </r>
  <r>
    <n v="913"/>
    <s v="ORD-2025-0913"/>
    <d v="2025-07-14T00:00:00"/>
    <d v="2025-07-17T00:00:00"/>
    <s v="Express"/>
    <s v="CUST-0082"/>
    <s v="Rahul Verma"/>
    <s v="Consumer"/>
    <s v="Bengaluru"/>
    <s v="South"/>
    <x v="1"/>
    <s v="Water Bottle"/>
    <n v="1"/>
    <n v="0.1"/>
    <x v="911"/>
    <n v="87.38"/>
    <s v="Credit Card"/>
    <b v="0"/>
    <b v="0"/>
    <b v="0"/>
    <m/>
  </r>
  <r>
    <n v="914"/>
    <s v="ORD-2025-0914"/>
    <d v="2025-02-12T00:00:00"/>
    <d v="2025-02-17T00:00:00"/>
    <s v="Express"/>
    <s v="CUST-0049"/>
    <s v="Aditya Kumar"/>
    <s v="Corporate"/>
    <s v="Bhubaneswar"/>
    <s v="East"/>
    <x v="2"/>
    <s v="Bookshelf"/>
    <n v="1"/>
    <n v="0.15"/>
    <x v="912"/>
    <n v="667.44"/>
    <s v="Net Banking"/>
    <b v="0"/>
    <b v="0"/>
    <b v="0"/>
    <m/>
  </r>
  <r>
    <n v="915"/>
    <s v="ORD-2025-0915"/>
    <d v="2025-03-10T00:00:00"/>
    <d v="2025-03-13T00:00:00"/>
    <s v="Standard"/>
    <s v="CUST-0158"/>
    <s v="Sanjay Menon"/>
    <s v="Corporate"/>
    <s v="Bengaluru"/>
    <s v="South"/>
    <x v="1"/>
    <s v="Electric Kettle"/>
    <n v="2"/>
    <n v="0.2"/>
    <x v="913"/>
    <n v="347.26"/>
    <s v="UPI"/>
    <b v="0"/>
    <b v="0"/>
    <b v="0"/>
    <m/>
  </r>
  <r>
    <n v="916"/>
    <s v="ORD-2025-0916"/>
    <d v="2025-01-13T00:00:00"/>
    <d v="2025-01-15T00:00:00"/>
    <s v="Standard"/>
    <s v="CUST-0155"/>
    <s v="Kiran Joshi"/>
    <s v="Consumer"/>
    <s v="Pune"/>
    <s v="West"/>
    <x v="0"/>
    <s v="Calculator"/>
    <n v="4"/>
    <n v="0.1"/>
    <x v="914"/>
    <n v="444.1"/>
    <s v="UPI"/>
    <b v="0"/>
    <b v="0"/>
    <b v="0"/>
    <m/>
  </r>
  <r>
    <n v="917"/>
    <s v="ORD-2025-0917"/>
    <d v="2025-10-21T00:00:00"/>
    <d v="2025-10-26T00:00:00"/>
    <s v="Same Day"/>
    <s v="CUST-0082"/>
    <s v="Ishita Roy"/>
    <s v="Consumer"/>
    <s v="Mysuru"/>
    <s v="South"/>
    <x v="3"/>
    <s v="Keyboard"/>
    <n v="1"/>
    <n v="0.25"/>
    <x v="915"/>
    <n v="153.97"/>
    <s v="Debit Card"/>
    <b v="0"/>
    <b v="0"/>
    <b v="0"/>
    <m/>
  </r>
  <r>
    <n v="918"/>
    <s v="ORD-2025-0918"/>
    <d v="2025-05-31T00:00:00"/>
    <d v="2025-06-05T00:00:00"/>
    <s v="Standard"/>
    <s v="CUST-0169"/>
    <s v="Aarav Sharma"/>
    <s v="Consumer"/>
    <s v="Mysuru"/>
    <s v="South"/>
    <x v="2"/>
    <s v="Folding Chair"/>
    <n v="2"/>
    <n v="0.15"/>
    <x v="916"/>
    <n v="348.43"/>
    <s v="UPI"/>
    <b v="0"/>
    <b v="0"/>
    <b v="0"/>
    <m/>
  </r>
  <r>
    <n v="919"/>
    <s v="ORD-2025-0919"/>
    <d v="2025-02-18T00:00:00"/>
    <d v="2025-02-22T00:00:00"/>
    <s v="Standard"/>
    <s v="CUST-0223"/>
    <s v="Arjun Patel"/>
    <s v="Consumer"/>
    <s v="Chennai"/>
    <s v="South"/>
    <x v="3"/>
    <s v="Keyboard"/>
    <n v="1"/>
    <n v="0"/>
    <x v="917"/>
    <n v="503.05"/>
    <s v="Net Banking"/>
    <b v="0"/>
    <b v="0"/>
    <b v="0"/>
    <m/>
  </r>
  <r>
    <n v="920"/>
    <s v="ORD-2025-0920"/>
    <d v="2025-02-22T00:00:00"/>
    <d v="2025-02-25T00:00:00"/>
    <s v="Standard"/>
    <s v="CUST-0061"/>
    <s v="Arjun Patel"/>
    <s v="Consumer"/>
    <s v="Chennai"/>
    <s v="South"/>
    <x v="1"/>
    <s v="Coffee Mug"/>
    <n v="2"/>
    <n v="0.1"/>
    <x v="918"/>
    <n v="119.39"/>
    <s v="Debit Card"/>
    <b v="0"/>
    <b v="0"/>
    <b v="0"/>
    <m/>
  </r>
  <r>
    <n v="921"/>
    <s v="ORD-2025-0921"/>
    <d v="2025-06-15T00:00:00"/>
    <d v="2025-06-18T00:00:00"/>
    <s v="Same Day"/>
    <s v="CUST-0097"/>
    <s v="Nikhil Jain"/>
    <s v="Consumer"/>
    <s v="Chennai"/>
    <s v="South"/>
    <x v="2"/>
    <s v="Bookshelf"/>
    <n v="3"/>
    <n v="0"/>
    <x v="919"/>
    <n v="3013.57"/>
    <s v="Credit Card"/>
    <b v="0"/>
    <b v="0"/>
    <b v="0"/>
    <m/>
  </r>
  <r>
    <n v="922"/>
    <s v="ORD-2025-0922"/>
    <d v="2025-12-26T00:00:00"/>
    <d v="2025-12-30T00:00:00"/>
    <s v="Standard"/>
    <s v="CUST-0129"/>
    <s v="Rahul Verma"/>
    <s v="Consumer"/>
    <s v="Kolkata"/>
    <s v="East"/>
    <x v="3"/>
    <s v="Keyboard"/>
    <n v="2"/>
    <n v="0.05"/>
    <x v="920"/>
    <n v="375.59"/>
    <s v="Cash"/>
    <b v="0"/>
    <b v="0"/>
    <b v="0"/>
    <m/>
  </r>
  <r>
    <n v="923"/>
    <s v="ORD-2025-0923"/>
    <d v="2025-03-20T00:00:00"/>
    <d v="2025-03-23T00:00:00"/>
    <s v="Standard"/>
    <s v="CUST-0219"/>
    <s v="Vikram Rao"/>
    <s v="Corporate"/>
    <s v="Bengaluru"/>
    <s v="South"/>
    <x v="2"/>
    <s v="Folding Chair"/>
    <n v="1"/>
    <n v="0.25"/>
    <x v="921"/>
    <n v="247.81"/>
    <s v="Credit Card"/>
    <b v="0"/>
    <b v="0"/>
    <b v="0"/>
    <m/>
  </r>
  <r>
    <n v="924"/>
    <s v="ORD-2025-0924"/>
    <d v="2025-12-01T00:00:00"/>
    <d v="2025-12-04T00:00:00"/>
    <s v="Same Day"/>
    <s v="CUST-0117"/>
    <s v="Nikhil Jain"/>
    <s v="Small Business"/>
    <s v="Hyderabad"/>
    <s v="South"/>
    <x v="1"/>
    <s v="Coffee Mug"/>
    <n v="3"/>
    <n v="0.05"/>
    <x v="922"/>
    <n v="240.24"/>
    <s v="Net Banking"/>
    <b v="0"/>
    <b v="0"/>
    <b v="0"/>
    <m/>
  </r>
  <r>
    <n v="925"/>
    <s v="ORD-2025-0925"/>
    <d v="2025-02-18T00:00:00"/>
    <d v="2025-02-21T00:00:00"/>
    <s v="Standard"/>
    <s v="CUST-0002"/>
    <s v="Nikhil Jain"/>
    <s v="Consumer"/>
    <s v="Mumbai"/>
    <s v="West"/>
    <x v="3"/>
    <s v="Keyboard"/>
    <n v="2"/>
    <n v="0.2"/>
    <x v="923"/>
    <n v="342.4"/>
    <s v="UPI"/>
    <b v="0"/>
    <b v="0"/>
    <b v="0"/>
    <m/>
  </r>
  <r>
    <n v="926"/>
    <s v="ORD-2025-0926"/>
    <d v="2025-09-11T00:00:00"/>
    <d v="2025-09-13T00:00:00"/>
    <s v="Express"/>
    <s v="CUST-0150"/>
    <s v="Shreya Kapoor"/>
    <s v="Consumer"/>
    <s v="Delhi"/>
    <s v="North"/>
    <x v="2"/>
    <s v="Office Chair"/>
    <n v="1"/>
    <n v="0.1"/>
    <x v="924"/>
    <n v="1110.95"/>
    <s v="Debit Card"/>
    <b v="0"/>
    <b v="0"/>
    <b v="0"/>
    <m/>
  </r>
  <r>
    <n v="927"/>
    <s v="ORD-2025-0927"/>
    <d v="2025-01-18T00:00:00"/>
    <d v="2025-01-19T00:00:00"/>
    <s v="Standard"/>
    <s v="CUST-0005"/>
    <s v="Vikram Rao"/>
    <s v="Corporate"/>
    <s v="Delhi"/>
    <s v="North"/>
    <x v="3"/>
    <s v="Power Bank"/>
    <n v="1"/>
    <n v="0.1"/>
    <x v="925"/>
    <n v="125.89"/>
    <s v="Credit Card"/>
    <b v="0"/>
    <b v="0"/>
    <b v="0"/>
    <m/>
  </r>
  <r>
    <n v="928"/>
    <s v="ORD-2025-0928"/>
    <d v="2025-07-12T00:00:00"/>
    <d v="2025-07-13T00:00:00"/>
    <s v="Standard"/>
    <s v="CUST-0099"/>
    <s v="Pooja Das"/>
    <s v="Consumer"/>
    <s v="Hyderabad"/>
    <s v="South"/>
    <x v="0"/>
    <s v="Pen Set"/>
    <n v="1"/>
    <n v="0.2"/>
    <x v="926"/>
    <n v="1.25"/>
    <s v="Debit Card"/>
    <b v="0"/>
    <b v="0"/>
    <b v="0"/>
    <m/>
  </r>
  <r>
    <n v="929"/>
    <s v="ORD-2025-0929"/>
    <d v="2025-06-17T00:00:00"/>
    <d v="2025-06-18T00:00:00"/>
    <s v="Standard"/>
    <s v="CUST-0190"/>
    <s v="Shreya Kapoor"/>
    <s v="Small Business"/>
    <s v="Hyderabad"/>
    <s v="South"/>
    <x v="3"/>
    <s v="Bluetooth Speaker"/>
    <n v="3"/>
    <n v="0"/>
    <x v="927"/>
    <n v="1436.17"/>
    <s v="UPI"/>
    <b v="0"/>
    <b v="0"/>
    <b v="0"/>
    <m/>
  </r>
  <r>
    <n v="930"/>
    <s v="ORD-2025-0930"/>
    <d v="2025-02-06T00:00:00"/>
    <d v="2025-02-09T00:00:00"/>
    <s v="Same Day"/>
    <s v="CUST-0209"/>
    <s v="Rahul Verma"/>
    <s v="Small Business"/>
    <s v="Pune"/>
    <s v="West"/>
    <x v="1"/>
    <s v="Water Bottle"/>
    <n v="4"/>
    <n v="0.1"/>
    <x v="928"/>
    <n v="370.6"/>
    <s v="Credit Card"/>
    <b v="0"/>
    <b v="0"/>
    <b v="0"/>
    <m/>
  </r>
  <r>
    <n v="931"/>
    <s v="ORD-2025-0931"/>
    <d v="2025-02-08T00:00:00"/>
    <d v="2025-02-09T00:00:00"/>
    <s v="Standard"/>
    <s v="CUST-0148"/>
    <s v="Meera Shah"/>
    <s v="Consumer"/>
    <s v="Mysuru"/>
    <s v="South"/>
    <x v="3"/>
    <s v="Power Bank"/>
    <n v="1"/>
    <n v="0.1"/>
    <x v="929"/>
    <n v="88.45"/>
    <s v="Credit Card"/>
    <b v="0"/>
    <b v="0"/>
    <b v="0"/>
    <m/>
  </r>
  <r>
    <n v="932"/>
    <s v="ORD-2025-0932"/>
    <d v="2025-04-05T00:00:00"/>
    <d v="2025-04-06T00:00:00"/>
    <s v="Express"/>
    <s v="CUST-0134"/>
    <s v="Divya Rao"/>
    <s v="Consumer"/>
    <s v="Jaipur"/>
    <s v="North"/>
    <x v="3"/>
    <s v="USB-C Hub"/>
    <n v="2"/>
    <n v="0.05"/>
    <x v="930"/>
    <n v="884.19"/>
    <s v="Cash"/>
    <b v="0"/>
    <b v="0"/>
    <b v="0"/>
    <m/>
  </r>
  <r>
    <n v="933"/>
    <s v="ORD-2025-0933"/>
    <d v="2025-12-31T00:00:00"/>
    <d v="2026-01-01T00:00:00"/>
    <s v="Express"/>
    <s v="CUST-0015"/>
    <s v="Sneha Reddy"/>
    <s v="Consumer"/>
    <s v="Bhubaneswar"/>
    <s v="East"/>
    <x v="3"/>
    <s v="Wireless Mouse"/>
    <n v="3"/>
    <n v="0"/>
    <x v="931"/>
    <n v="814.3"/>
    <s v="Credit Card"/>
    <b v="0"/>
    <b v="0"/>
    <b v="0"/>
    <m/>
  </r>
  <r>
    <n v="934"/>
    <s v="ORD-2025-0934"/>
    <d v="2025-08-10T00:00:00"/>
    <d v="2025-08-15T00:00:00"/>
    <s v="Express"/>
    <s v="CUST-0185"/>
    <s v="Ishita Roy"/>
    <s v="Corporate"/>
    <s v="Chennai"/>
    <s v="South"/>
    <x v="2"/>
    <s v="Desk Lamp"/>
    <n v="3"/>
    <n v="0"/>
    <x v="932"/>
    <n v="1090.1500000000001"/>
    <s v="UPI"/>
    <b v="0"/>
    <b v="0"/>
    <b v="0"/>
    <m/>
  </r>
  <r>
    <n v="935"/>
    <s v="ORD-2025-0935"/>
    <d v="2025-11-16T00:00:00"/>
    <d v="2025-11-21T00:00:00"/>
    <s v="Express"/>
    <s v="CUST-0036"/>
    <s v="Sanjay Menon"/>
    <s v="Consumer"/>
    <s v="Chennai"/>
    <s v="South"/>
    <x v="0"/>
    <s v="Calculator"/>
    <n v="2"/>
    <n v="0.05"/>
    <x v="933"/>
    <n v="175.36"/>
    <s v="Cash"/>
    <b v="0"/>
    <b v="0"/>
    <b v="0"/>
    <m/>
  </r>
  <r>
    <n v="936"/>
    <s v="ORD-2025-0936"/>
    <d v="2025-06-20T00:00:00"/>
    <d v="2025-06-22T00:00:00"/>
    <s v="Standard"/>
    <s v="CUST-0110"/>
    <s v="Rahul Verma"/>
    <s v="Consumer"/>
    <s v="Lucknow"/>
    <s v="North"/>
    <x v="1"/>
    <s v="Water Bottle"/>
    <n v="1"/>
    <n v="0.05"/>
    <x v="934"/>
    <n v="149.04"/>
    <s v="UPI"/>
    <b v="0"/>
    <b v="0"/>
    <b v="0"/>
    <m/>
  </r>
  <r>
    <n v="937"/>
    <s v="ORD-2025-0937"/>
    <d v="2025-01-31T00:00:00"/>
    <d v="2025-02-02T00:00:00"/>
    <s v="Standard"/>
    <s v="CUST-0171"/>
    <s v="Sanjay Menon"/>
    <s v="Small Business"/>
    <s v="Lucknow"/>
    <s v="North"/>
    <x v="2"/>
    <s v="Office Chair"/>
    <n v="3"/>
    <n v="0"/>
    <x v="935"/>
    <n v="5405.63"/>
    <s v="UPI"/>
    <b v="0"/>
    <b v="0"/>
    <b v="0"/>
    <m/>
  </r>
  <r>
    <n v="938"/>
    <s v="ORD-2025-0938"/>
    <d v="2025-09-17T00:00:00"/>
    <d v="2025-09-21T00:00:00"/>
    <s v="Express"/>
    <s v="CUST-0026"/>
    <s v="Sneha Reddy"/>
    <s v="Consumer"/>
    <s v="Mysuru"/>
    <s v="South"/>
    <x v="3"/>
    <s v="Power Bank"/>
    <n v="2"/>
    <n v="0"/>
    <x v="936"/>
    <n v="627.84"/>
    <s v="UPI"/>
    <b v="0"/>
    <b v="0"/>
    <b v="0"/>
    <m/>
  </r>
  <r>
    <n v="939"/>
    <s v="ORD-2025-0939"/>
    <d v="2025-07-15T00:00:00"/>
    <d v="2025-07-17T00:00:00"/>
    <s v="Express"/>
    <s v="CUST-0045"/>
    <s v="Shreya Kapoor"/>
    <s v="Corporate"/>
    <s v="Mysuru"/>
    <s v="South"/>
    <x v="0"/>
    <s v="File Folder"/>
    <n v="2"/>
    <n v="0"/>
    <x v="937"/>
    <n v="70.069999999999993"/>
    <s v="Debit Card"/>
    <b v="0"/>
    <b v="0"/>
    <b v="0"/>
    <m/>
  </r>
  <r>
    <n v="940"/>
    <s v="ORD-2025-0940"/>
    <d v="2025-05-29T00:00:00"/>
    <d v="2025-05-30T00:00:00"/>
    <s v="Standard"/>
    <s v="CUST-0006"/>
    <s v="Sneha Reddy"/>
    <s v="Consumer"/>
    <s v="Mumbai"/>
    <s v="West"/>
    <x v="2"/>
    <s v="Study Table"/>
    <n v="2"/>
    <n v="0.05"/>
    <x v="938"/>
    <n v="4059.2"/>
    <s v="UPI"/>
    <b v="0"/>
    <b v="0"/>
    <b v="0"/>
    <m/>
  </r>
  <r>
    <n v="941"/>
    <s v="ORD-2025-0941"/>
    <d v="2025-07-30T00:00:00"/>
    <d v="2025-08-03T00:00:00"/>
    <s v="Express"/>
    <s v="CUST-0178"/>
    <s v="Shreya Kapoor"/>
    <s v="Consumer"/>
    <s v="Lucknow"/>
    <s v="North"/>
    <x v="2"/>
    <s v="Folding Chair"/>
    <n v="2"/>
    <n v="0.15"/>
    <x v="939"/>
    <n v="804.55"/>
    <s v="Credit Card"/>
    <b v="0"/>
    <b v="0"/>
    <b v="0"/>
    <m/>
  </r>
  <r>
    <n v="942"/>
    <s v="ORD-2025-0942"/>
    <d v="2025-08-30T00:00:00"/>
    <d v="2025-09-03T00:00:00"/>
    <s v="Standard"/>
    <s v="CUST-0168"/>
    <s v="Kiran Joshi"/>
    <s v="Consumer"/>
    <s v="Ahmedabad"/>
    <s v="West"/>
    <x v="0"/>
    <s v="Pen Set"/>
    <n v="2"/>
    <n v="0.15"/>
    <x v="940"/>
    <n v="10.41"/>
    <s v="Credit Card"/>
    <b v="0"/>
    <b v="0"/>
    <b v="0"/>
    <m/>
  </r>
  <r>
    <n v="943"/>
    <s v="ORD-2025-0943"/>
    <d v="2025-05-23T00:00:00"/>
    <d v="2025-05-28T00:00:00"/>
    <s v="Same Day"/>
    <s v="CUST-0162"/>
    <s v="Kiran Joshi"/>
    <s v="Small Business"/>
    <s v="Kolkata"/>
    <s v="East"/>
    <x v="1"/>
    <s v="Storage Box"/>
    <n v="2"/>
    <n v="0"/>
    <x v="941"/>
    <n v="361.77"/>
    <s v="Debit Card"/>
    <b v="0"/>
    <b v="0"/>
    <b v="0"/>
    <m/>
  </r>
  <r>
    <n v="944"/>
    <s v="ORD-2025-0944"/>
    <d v="2025-07-09T00:00:00"/>
    <d v="2025-07-10T00:00:00"/>
    <s v="Same Day"/>
    <s v="CUST-0118"/>
    <s v="Ishita Roy"/>
    <s v="Corporate"/>
    <s v="Mumbai"/>
    <s v="West"/>
    <x v="1"/>
    <s v="Lunch Box"/>
    <n v="4"/>
    <n v="0.2"/>
    <x v="942"/>
    <n v="350.86"/>
    <s v="UPI"/>
    <b v="0"/>
    <b v="0"/>
    <b v="0"/>
    <m/>
  </r>
  <r>
    <n v="945"/>
    <s v="ORD-2025-0945"/>
    <d v="2025-02-15T00:00:00"/>
    <d v="2025-02-20T00:00:00"/>
    <s v="Standard"/>
    <s v="CUST-0156"/>
    <s v="Divya Rao"/>
    <s v="Corporate"/>
    <s v="Hyderabad"/>
    <s v="South"/>
    <x v="1"/>
    <s v="Water Bottle"/>
    <n v="3"/>
    <n v="0.1"/>
    <x v="943"/>
    <n v="330.6"/>
    <s v="UPI"/>
    <b v="0"/>
    <b v="0"/>
    <b v="0"/>
    <m/>
  </r>
  <r>
    <n v="946"/>
    <s v="ORD-2025-0946"/>
    <d v="2025-10-21T00:00:00"/>
    <d v="2025-10-25T00:00:00"/>
    <s v="Same Day"/>
    <s v="CUST-0118"/>
    <s v="Kavya Iyer"/>
    <s v="Consumer"/>
    <s v="Pune"/>
    <s v="West"/>
    <x v="3"/>
    <s v="Bluetooth Speaker"/>
    <n v="1"/>
    <n v="0.05"/>
    <x v="944"/>
    <n v="471.2"/>
    <s v="Debit Card"/>
    <b v="0"/>
    <b v="0"/>
    <b v="0"/>
    <m/>
  </r>
  <r>
    <n v="947"/>
    <s v="ORD-2025-0947"/>
    <d v="2025-11-09T00:00:00"/>
    <d v="2025-11-11T00:00:00"/>
    <s v="Same Day"/>
    <s v="CUST-0093"/>
    <s v="Sneha Reddy"/>
    <s v="Consumer"/>
    <s v="Hyderabad"/>
    <s v="South"/>
    <x v="3"/>
    <s v="Keyboard"/>
    <n v="3"/>
    <n v="0.05"/>
    <x v="945"/>
    <n v="851.62"/>
    <s v="UPI"/>
    <b v="0"/>
    <b v="0"/>
    <b v="0"/>
    <m/>
  </r>
  <r>
    <n v="948"/>
    <s v="ORD-2025-0948"/>
    <d v="2025-06-08T00:00:00"/>
    <d v="2025-06-13T00:00:00"/>
    <s v="Standard"/>
    <s v="CUST-0124"/>
    <s v="Ananya Singh"/>
    <s v="Corporate"/>
    <s v="Mumbai"/>
    <s v="West"/>
    <x v="3"/>
    <s v="Bluetooth Speaker"/>
    <n v="3"/>
    <n v="0.05"/>
    <x v="946"/>
    <n v="1050.8800000000001"/>
    <s v="Cash"/>
    <b v="0"/>
    <b v="0"/>
    <b v="0"/>
    <m/>
  </r>
  <r>
    <n v="949"/>
    <s v="ORD-2025-0949"/>
    <d v="2025-07-04T00:00:00"/>
    <d v="2025-07-05T00:00:00"/>
    <s v="Standard"/>
    <s v="CUST-0187"/>
    <s v="Nikhil Jain"/>
    <s v="Corporate"/>
    <s v="Bengaluru"/>
    <s v="South"/>
    <x v="2"/>
    <s v="Folding Chair"/>
    <n v="4"/>
    <n v="0.15"/>
    <x v="947"/>
    <n v="993.17"/>
    <s v="UPI"/>
    <b v="0"/>
    <b v="0"/>
    <b v="0"/>
    <m/>
  </r>
  <r>
    <n v="950"/>
    <s v="ORD-2025-0950"/>
    <d v="2025-01-21T00:00:00"/>
    <d v="2025-01-26T00:00:00"/>
    <s v="Express"/>
    <s v="CUST-0137"/>
    <s v="Vikram Rao"/>
    <s v="Consumer"/>
    <s v="Lucknow"/>
    <s v="North"/>
    <x v="3"/>
    <s v="Keyboard"/>
    <n v="1"/>
    <n v="0.15"/>
    <x v="948"/>
    <n v="302.56"/>
    <s v="Debit Card"/>
    <b v="0"/>
    <b v="0"/>
    <b v="0"/>
    <m/>
  </r>
  <r>
    <n v="951"/>
    <s v="ORD-2025-0951"/>
    <d v="2025-12-25T00:00:00"/>
    <d v="2025-12-30T00:00:00"/>
    <s v="Same Day"/>
    <s v="CUST-0094"/>
    <s v="Pooja Das"/>
    <s v="Consumer"/>
    <s v="Bhubaneswar"/>
    <s v="East"/>
    <x v="3"/>
    <s v="Power Bank"/>
    <n v="4"/>
    <n v="0.2"/>
    <x v="949"/>
    <n v="-39.78"/>
    <s v="Net Banking"/>
    <b v="0"/>
    <b v="0"/>
    <b v="0"/>
    <m/>
  </r>
  <r>
    <n v="952"/>
    <s v="ORD-2025-0952"/>
    <d v="2025-04-07T00:00:00"/>
    <d v="2025-04-09T00:00:00"/>
    <s v="Standard"/>
    <s v="CUST-0162"/>
    <s v="Divya Rao"/>
    <s v="Consumer"/>
    <s v="Bhubaneswar"/>
    <s v="East"/>
    <x v="2"/>
    <s v="Study Table"/>
    <n v="2"/>
    <n v="0"/>
    <x v="950"/>
    <n v="4850.34"/>
    <s v="UPI"/>
    <b v="0"/>
    <b v="0"/>
    <b v="0"/>
    <m/>
  </r>
  <r>
    <n v="953"/>
    <s v="ORD-2025-0953"/>
    <d v="2025-07-23T00:00:00"/>
    <d v="2025-07-25T00:00:00"/>
    <s v="Standard"/>
    <s v="CUST-0180"/>
    <s v="Ishita Roy"/>
    <s v="Small Business"/>
    <s v="Mysuru"/>
    <s v="South"/>
    <x v="2"/>
    <s v="Study Table"/>
    <n v="2"/>
    <n v="0.15"/>
    <x v="951"/>
    <n v="1390.96"/>
    <s v="UPI"/>
    <b v="0"/>
    <b v="0"/>
    <b v="0"/>
    <m/>
  </r>
  <r>
    <n v="954"/>
    <s v="ORD-2025-0954"/>
    <d v="2025-06-30T00:00:00"/>
    <d v="2025-07-05T00:00:00"/>
    <s v="Express"/>
    <s v="CUST-0210"/>
    <s v="Shreya Kapoor"/>
    <s v="Corporate"/>
    <s v="Lucknow"/>
    <s v="North"/>
    <x v="1"/>
    <s v="Lunch Box"/>
    <n v="1"/>
    <n v="0"/>
    <x v="952"/>
    <n v="201.07"/>
    <s v="Debit Card"/>
    <b v="0"/>
    <b v="0"/>
    <b v="0"/>
    <m/>
  </r>
  <r>
    <n v="955"/>
    <s v="ORD-2025-0955"/>
    <d v="2025-12-05T00:00:00"/>
    <d v="2025-12-09T00:00:00"/>
    <s v="Standard"/>
    <s v="CUST-0050"/>
    <s v="Vikram Rao"/>
    <s v="Consumer"/>
    <s v="Bhubaneswar"/>
    <s v="East"/>
    <x v="3"/>
    <s v="Bluetooth Speaker"/>
    <n v="2"/>
    <n v="0.05"/>
    <x v="953"/>
    <n v="1241.58"/>
    <s v="UPI"/>
    <b v="0"/>
    <b v="0"/>
    <b v="0"/>
    <m/>
  </r>
  <r>
    <n v="956"/>
    <s v="ORD-2025-0956"/>
    <d v="2025-07-20T00:00:00"/>
    <d v="2025-07-21T00:00:00"/>
    <s v="Standard"/>
    <s v="CUST-0066"/>
    <s v="Rohan Mehta"/>
    <s v="Consumer"/>
    <s v="Hyderabad"/>
    <s v="South"/>
    <x v="0"/>
    <s v="Calculator"/>
    <n v="3"/>
    <n v="0.1"/>
    <x v="954"/>
    <n v="480.79"/>
    <s v="UPI"/>
    <b v="0"/>
    <b v="0"/>
    <b v="0"/>
    <m/>
  </r>
  <r>
    <n v="957"/>
    <s v="ORD-2025-0957"/>
    <d v="2025-05-25T00:00:00"/>
    <d v="2025-05-27T00:00:00"/>
    <s v="Standard"/>
    <s v="CUST-0069"/>
    <s v="Divya Rao"/>
    <s v="Consumer"/>
    <s v="Chennai"/>
    <s v="South"/>
    <x v="1"/>
    <s v="Lunch Box"/>
    <n v="2"/>
    <n v="0.1"/>
    <x v="955"/>
    <n v="332.24"/>
    <s v="UPI"/>
    <b v="0"/>
    <b v="0"/>
    <b v="0"/>
    <m/>
  </r>
  <r>
    <n v="958"/>
    <s v="ORD-2025-0958"/>
    <d v="2025-08-02T00:00:00"/>
    <d v="2025-08-06T00:00:00"/>
    <s v="Same Day"/>
    <s v="CUST-0092"/>
    <s v="Pooja Das"/>
    <s v="Corporate"/>
    <s v="Mumbai"/>
    <s v="West"/>
    <x v="3"/>
    <s v="Keyboard"/>
    <n v="1"/>
    <n v="0"/>
    <x v="956"/>
    <n v="377.85"/>
    <s v="Cash"/>
    <b v="0"/>
    <b v="0"/>
    <b v="0"/>
    <m/>
  </r>
  <r>
    <n v="959"/>
    <s v="ORD-2025-0959"/>
    <d v="2025-12-22T00:00:00"/>
    <d v="2025-12-25T00:00:00"/>
    <s v="Express"/>
    <s v="CUST-0111"/>
    <s v="Aditya Kumar"/>
    <s v="Consumer"/>
    <s v="Bhubaneswar"/>
    <s v="East"/>
    <x v="1"/>
    <s v="Storage Box"/>
    <n v="2"/>
    <n v="0.2"/>
    <x v="957"/>
    <n v="108.93"/>
    <s v="UPI"/>
    <b v="0"/>
    <b v="0"/>
    <b v="0"/>
    <m/>
  </r>
  <r>
    <n v="960"/>
    <s v="ORD-2025-0960"/>
    <d v="2025-08-04T00:00:00"/>
    <d v="2025-08-09T00:00:00"/>
    <s v="Express"/>
    <s v="CUST-0029"/>
    <s v="Sneha Reddy"/>
    <s v="Corporate"/>
    <s v="Bhubaneswar"/>
    <s v="East"/>
    <x v="0"/>
    <s v="Notebook"/>
    <n v="2"/>
    <n v="0.05"/>
    <x v="958"/>
    <n v="127.46"/>
    <s v="Net Banking"/>
    <b v="0"/>
    <b v="0"/>
    <b v="0"/>
    <m/>
  </r>
  <r>
    <n v="961"/>
    <s v="ORD-2025-0961"/>
    <d v="2025-09-06T00:00:00"/>
    <d v="2025-09-11T00:00:00"/>
    <s v="Standard"/>
    <s v="CUST-0052"/>
    <s v="Ananya Singh"/>
    <s v="Corporate"/>
    <s v="Hyderabad"/>
    <s v="South"/>
    <x v="0"/>
    <s v="File Folder"/>
    <n v="1"/>
    <n v="0.1"/>
    <x v="959"/>
    <n v="17.14"/>
    <s v="Net Banking"/>
    <b v="0"/>
    <b v="0"/>
    <b v="0"/>
    <m/>
  </r>
  <r>
    <n v="962"/>
    <s v="ORD-2025-0962"/>
    <d v="2025-08-26T00:00:00"/>
    <d v="2025-08-28T00:00:00"/>
    <s v="Same Day"/>
    <s v="CUST-0074"/>
    <s v="Vikram Rao"/>
    <s v="Corporate"/>
    <s v="Mumbai"/>
    <s v="West"/>
    <x v="3"/>
    <s v="Power Bank"/>
    <n v="1"/>
    <n v="0"/>
    <x v="960"/>
    <n v="379.29"/>
    <s v="Cash"/>
    <b v="0"/>
    <b v="0"/>
    <b v="0"/>
    <m/>
  </r>
  <r>
    <n v="963"/>
    <s v="ORD-2025-0963"/>
    <d v="2025-05-25T00:00:00"/>
    <d v="2025-05-26T00:00:00"/>
    <s v="Same Day"/>
    <s v="CUST-0099"/>
    <s v="Ananya Singh"/>
    <s v="Consumer"/>
    <s v="Jaipur"/>
    <s v="North"/>
    <x v="2"/>
    <s v="Study Table"/>
    <n v="1"/>
    <n v="0.1"/>
    <x v="961"/>
    <n v="2175.13"/>
    <s v="Net Banking"/>
    <b v="0"/>
    <b v="0"/>
    <b v="0"/>
    <m/>
  </r>
  <r>
    <n v="964"/>
    <s v="ORD-2025-0964"/>
    <d v="2025-01-24T00:00:00"/>
    <d v="2025-01-28T00:00:00"/>
    <s v="Express"/>
    <s v="CUST-0001"/>
    <s v="Priya Nair"/>
    <s v="Small Business"/>
    <s v="Lucknow"/>
    <s v="North"/>
    <x v="3"/>
    <s v="Power Bank"/>
    <n v="4"/>
    <n v="0.15"/>
    <x v="962"/>
    <n v="960.62"/>
    <s v="Net Banking"/>
    <b v="0"/>
    <b v="0"/>
    <b v="0"/>
    <m/>
  </r>
  <r>
    <n v="965"/>
    <s v="ORD-2025-0965"/>
    <d v="2025-01-30T00:00:00"/>
    <d v="2025-02-01T00:00:00"/>
    <s v="Standard"/>
    <s v="CUST-0232"/>
    <s v="Pooja Das"/>
    <s v="Small Business"/>
    <s v="Hyderabad"/>
    <s v="South"/>
    <x v="1"/>
    <s v="Lunch Box"/>
    <n v="3"/>
    <n v="0.15"/>
    <x v="963"/>
    <n v="402.16"/>
    <s v="Net Banking"/>
    <b v="0"/>
    <b v="0"/>
    <b v="0"/>
    <m/>
  </r>
  <r>
    <n v="966"/>
    <s v="ORD-2025-0966"/>
    <d v="2025-06-21T00:00:00"/>
    <d v="2025-06-25T00:00:00"/>
    <s v="Express"/>
    <s v="CUST-0215"/>
    <s v="Aarav Sharma"/>
    <s v="Consumer"/>
    <s v="Mysuru"/>
    <s v="South"/>
    <x v="1"/>
    <s v="Water Bottle"/>
    <n v="4"/>
    <n v="0.1"/>
    <x v="964"/>
    <n v="499.49"/>
    <s v="UPI"/>
    <b v="0"/>
    <b v="0"/>
    <b v="0"/>
    <m/>
  </r>
  <r>
    <n v="967"/>
    <s v="ORD-2025-0967"/>
    <d v="2025-07-11T00:00:00"/>
    <d v="2025-07-12T00:00:00"/>
    <s v="Standard"/>
    <s v="CUST-0131"/>
    <s v="Sneha Reddy"/>
    <s v="Small Business"/>
    <s v="Kolkata"/>
    <s v="East"/>
    <x v="2"/>
    <s v="Study Table"/>
    <n v="3"/>
    <n v="0"/>
    <x v="965"/>
    <n v="6562.15"/>
    <s v="Debit Card"/>
    <b v="0"/>
    <b v="0"/>
    <b v="0"/>
    <m/>
  </r>
  <r>
    <n v="968"/>
    <s v="ORD-2025-0968"/>
    <d v="2025-08-22T00:00:00"/>
    <d v="2025-08-25T00:00:00"/>
    <s v="Standard"/>
    <s v="CUST-0229"/>
    <s v="Meera Shah"/>
    <s v="Small Business"/>
    <s v="Lucknow"/>
    <s v="North"/>
    <x v="3"/>
    <s v="Bluetooth Speaker"/>
    <n v="2"/>
    <n v="0"/>
    <x v="966"/>
    <n v="948.13"/>
    <s v="Debit Card"/>
    <b v="0"/>
    <b v="0"/>
    <b v="0"/>
    <m/>
  </r>
  <r>
    <n v="969"/>
    <s v="ORD-2025-0969"/>
    <d v="2025-02-17T00:00:00"/>
    <d v="2025-02-21T00:00:00"/>
    <s v="Express"/>
    <s v="CUST-0181"/>
    <s v="Sneha Reddy"/>
    <s v="Consumer"/>
    <s v="Mysuru"/>
    <s v="South"/>
    <x v="3"/>
    <s v="Keyboard"/>
    <n v="5"/>
    <n v="0.2"/>
    <x v="967"/>
    <n v="81.540000000000006"/>
    <s v="Debit Card"/>
    <b v="0"/>
    <b v="0"/>
    <b v="0"/>
    <m/>
  </r>
  <r>
    <n v="970"/>
    <s v="ORD-2025-0970"/>
    <d v="2025-01-07T00:00:00"/>
    <d v="2025-01-12T00:00:00"/>
    <s v="Express"/>
    <s v="CUST-0042"/>
    <s v="Kiran Joshi"/>
    <s v="Consumer"/>
    <s v="Chennai"/>
    <s v="South"/>
    <x v="0"/>
    <s v="Pen Set"/>
    <n v="3"/>
    <n v="0.2"/>
    <x v="968"/>
    <n v="48.22"/>
    <s v="Credit Card"/>
    <b v="0"/>
    <b v="0"/>
    <b v="0"/>
    <m/>
  </r>
  <r>
    <n v="971"/>
    <s v="ORD-2025-0971"/>
    <d v="2025-04-13T00:00:00"/>
    <d v="2025-04-14T00:00:00"/>
    <s v="Standard"/>
    <s v="CUST-0117"/>
    <s v="Ishita Roy"/>
    <s v="Corporate"/>
    <s v="Bengaluru"/>
    <s v="South"/>
    <x v="3"/>
    <s v="Bluetooth Speaker"/>
    <n v="1"/>
    <n v="0.15"/>
    <x v="969"/>
    <n v="306.51"/>
    <s v="UPI"/>
    <b v="0"/>
    <b v="0"/>
    <b v="0"/>
    <m/>
  </r>
  <r>
    <n v="972"/>
    <s v="ORD-2025-0972"/>
    <d v="2025-05-18T00:00:00"/>
    <d v="2025-05-22T00:00:00"/>
    <s v="Standard"/>
    <s v="CUST-0069"/>
    <s v="Arjun Patel"/>
    <s v="Consumer"/>
    <s v="Mysuru"/>
    <s v="South"/>
    <x v="3"/>
    <s v="Power Bank"/>
    <n v="4"/>
    <n v="0.05"/>
    <x v="970"/>
    <n v="1330.63"/>
    <s v="Credit Card"/>
    <b v="0"/>
    <b v="0"/>
    <b v="0"/>
    <m/>
  </r>
  <r>
    <n v="973"/>
    <s v="ORD-2025-0973"/>
    <d v="2025-08-04T00:00:00"/>
    <d v="2025-08-05T00:00:00"/>
    <s v="Express"/>
    <s v="CUST-0095"/>
    <s v="Sneha Reddy"/>
    <s v="Small Business"/>
    <s v="Delhi"/>
    <s v="North"/>
    <x v="1"/>
    <s v="Electric Kettle"/>
    <n v="2"/>
    <n v="0.1"/>
    <x v="971"/>
    <n v="812.16"/>
    <s v="Credit Card"/>
    <b v="0"/>
    <b v="0"/>
    <b v="0"/>
    <m/>
  </r>
  <r>
    <n v="974"/>
    <s v="ORD-2025-0974"/>
    <d v="2025-09-10T00:00:00"/>
    <d v="2025-09-14T00:00:00"/>
    <s v="Standard"/>
    <s v="CUST-0215"/>
    <s v="Ananya Singh"/>
    <s v="Corporate"/>
    <s v="Mumbai"/>
    <s v="West"/>
    <x v="0"/>
    <s v="Notebook"/>
    <n v="3"/>
    <n v="0.2"/>
    <x v="972"/>
    <n v="56.99"/>
    <s v="Credit Card"/>
    <b v="0"/>
    <b v="0"/>
    <b v="0"/>
    <m/>
  </r>
  <r>
    <n v="975"/>
    <s v="ORD-2025-0975"/>
    <d v="2025-01-13T00:00:00"/>
    <d v="2025-01-15T00:00:00"/>
    <s v="Express"/>
    <s v="CUST-0167"/>
    <s v="Rahul Verma"/>
    <s v="Consumer"/>
    <s v="Kolkata"/>
    <s v="East"/>
    <x v="3"/>
    <s v="Power Bank"/>
    <n v="1"/>
    <n v="0.25"/>
    <x v="973"/>
    <n v="119.31"/>
    <s v="Debit Card"/>
    <b v="0"/>
    <b v="0"/>
    <b v="0"/>
    <m/>
  </r>
  <r>
    <n v="976"/>
    <s v="ORD-2025-0976"/>
    <d v="2025-03-10T00:00:00"/>
    <d v="2025-03-13T00:00:00"/>
    <s v="Express"/>
    <s v="CUST-0154"/>
    <s v="Ishita Roy"/>
    <s v="Small Business"/>
    <s v="Jaipur"/>
    <s v="North"/>
    <x v="0"/>
    <s v="Notebook"/>
    <n v="2"/>
    <n v="0.2"/>
    <x v="974"/>
    <n v="-13.07"/>
    <s v="UPI"/>
    <b v="0"/>
    <b v="0"/>
    <b v="0"/>
    <m/>
  </r>
  <r>
    <n v="977"/>
    <s v="ORD-2025-0977"/>
    <d v="2025-12-04T00:00:00"/>
    <d v="2025-12-09T00:00:00"/>
    <s v="Standard"/>
    <s v="CUST-0066"/>
    <s v="Aditya Kumar"/>
    <s v="Corporate"/>
    <s v="Lucknow"/>
    <s v="North"/>
    <x v="3"/>
    <s v="Bluetooth Speaker"/>
    <n v="4"/>
    <n v="0.05"/>
    <x v="975"/>
    <n v="2181.2199999999998"/>
    <s v="UPI"/>
    <b v="0"/>
    <b v="0"/>
    <b v="0"/>
    <m/>
  </r>
  <r>
    <n v="978"/>
    <s v="ORD-2025-0978"/>
    <d v="2025-01-27T00:00:00"/>
    <d v="2025-01-31T00:00:00"/>
    <s v="Standard"/>
    <s v="CUST-0135"/>
    <s v="Priya Nair"/>
    <s v="Corporate"/>
    <s v="Bhubaneswar"/>
    <s v="East"/>
    <x v="1"/>
    <s v="Water Bottle"/>
    <n v="2"/>
    <n v="0.2"/>
    <x v="976"/>
    <n v="52.31"/>
    <s v="Credit Card"/>
    <b v="0"/>
    <b v="0"/>
    <b v="0"/>
    <m/>
  </r>
  <r>
    <n v="979"/>
    <s v="ORD-2025-0979"/>
    <d v="2025-09-06T00:00:00"/>
    <d v="2025-09-08T00:00:00"/>
    <s v="Standard"/>
    <s v="CUST-0103"/>
    <s v="Neha Gupta"/>
    <s v="Corporate"/>
    <s v="Kolkata"/>
    <s v="East"/>
    <x v="1"/>
    <s v="Lunch Box"/>
    <n v="2"/>
    <n v="0.25"/>
    <x v="977"/>
    <n v="68.42"/>
    <s v="Credit Card"/>
    <b v="0"/>
    <b v="0"/>
    <b v="0"/>
    <m/>
  </r>
  <r>
    <n v="980"/>
    <s v="ORD-2025-0980"/>
    <d v="2025-10-05T00:00:00"/>
    <d v="2025-10-07T00:00:00"/>
    <s v="Standard"/>
    <s v="CUST-0115"/>
    <s v="Manish Yadav"/>
    <s v="Consumer"/>
    <s v="Bengaluru"/>
    <s v="South"/>
    <x v="0"/>
    <s v="File Folder"/>
    <n v="1"/>
    <n v="0"/>
    <x v="978"/>
    <n v="27.86"/>
    <s v="Debit Card"/>
    <b v="0"/>
    <b v="0"/>
    <b v="0"/>
    <m/>
  </r>
  <r>
    <n v="981"/>
    <s v="ORD-2025-0981"/>
    <d v="2025-04-25T00:00:00"/>
    <d v="2025-04-28T00:00:00"/>
    <s v="Express"/>
    <s v="CUST-0062"/>
    <s v="Ishita Roy"/>
    <s v="Consumer"/>
    <s v="Pune"/>
    <s v="West"/>
    <x v="0"/>
    <s v="Notebook"/>
    <n v="2"/>
    <n v="0.1"/>
    <x v="979"/>
    <n v="33.78"/>
    <s v="Debit Card"/>
    <b v="0"/>
    <b v="0"/>
    <b v="0"/>
    <m/>
  </r>
  <r>
    <n v="982"/>
    <s v="ORD-2025-0982"/>
    <d v="2025-01-24T00:00:00"/>
    <d v="2025-01-26T00:00:00"/>
    <s v="Standard"/>
    <s v="CUST-0117"/>
    <s v="Neha Gupta"/>
    <s v="Consumer"/>
    <s v="Ahmedabad"/>
    <s v="West"/>
    <x v="3"/>
    <s v="Wireless Mouse"/>
    <n v="2"/>
    <n v="0.05"/>
    <x v="980"/>
    <n v="556.82000000000005"/>
    <s v="Debit Card"/>
    <b v="0"/>
    <b v="0"/>
    <b v="0"/>
    <m/>
  </r>
  <r>
    <n v="983"/>
    <s v="ORD-2025-0983"/>
    <d v="2025-07-16T00:00:00"/>
    <d v="2025-07-17T00:00:00"/>
    <s v="Standard"/>
    <s v="CUST-0096"/>
    <s v="Ishita Roy"/>
    <s v="Consumer"/>
    <s v="Mumbai"/>
    <s v="West"/>
    <x v="2"/>
    <s v="Bookshelf"/>
    <n v="1"/>
    <n v="0.15"/>
    <x v="981"/>
    <n v="167.4"/>
    <s v="Net Banking"/>
    <b v="0"/>
    <b v="0"/>
    <b v="0"/>
    <m/>
  </r>
  <r>
    <n v="984"/>
    <s v="ORD-2025-0984"/>
    <d v="2025-12-07T00:00:00"/>
    <d v="2025-12-09T00:00:00"/>
    <s v="Express"/>
    <s v="CUST-0039"/>
    <s v="Vikram Rao"/>
    <s v="Small Business"/>
    <s v="Bhubaneswar"/>
    <s v="East"/>
    <x v="1"/>
    <s v="Lunch Box"/>
    <n v="1"/>
    <n v="0.2"/>
    <x v="982"/>
    <n v="92.73"/>
    <s v="UPI"/>
    <b v="0"/>
    <b v="0"/>
    <b v="0"/>
    <m/>
  </r>
  <r>
    <n v="985"/>
    <s v="ORD-2025-0985"/>
    <d v="2025-03-16T00:00:00"/>
    <d v="2025-03-21T00:00:00"/>
    <s v="Standard"/>
    <s v="CUST-0099"/>
    <s v="Shreya Kapoor"/>
    <s v="Consumer"/>
    <s v="Lucknow"/>
    <s v="North"/>
    <x v="0"/>
    <s v="Desk Organizer"/>
    <n v="3"/>
    <n v="0.15"/>
    <x v="983"/>
    <n v="58.44"/>
    <s v="Net Banking"/>
    <b v="0"/>
    <b v="0"/>
    <b v="0"/>
    <m/>
  </r>
  <r>
    <n v="986"/>
    <s v="ORD-2025-0986"/>
    <d v="2025-09-21T00:00:00"/>
    <d v="2025-09-22T00:00:00"/>
    <s v="Express"/>
    <s v="CUST-0138"/>
    <s v="Kiran Joshi"/>
    <s v="Consumer"/>
    <s v="Pune"/>
    <s v="West"/>
    <x v="2"/>
    <s v="Study Table"/>
    <n v="1"/>
    <n v="0.05"/>
    <x v="984"/>
    <n v="1566.38"/>
    <s v="Cash"/>
    <b v="0"/>
    <b v="0"/>
    <b v="0"/>
    <m/>
  </r>
  <r>
    <n v="987"/>
    <s v="ORD-2025-0987"/>
    <d v="2025-05-11T00:00:00"/>
    <d v="2025-05-16T00:00:00"/>
    <s v="Express"/>
    <s v="CUST-0073"/>
    <s v="Ananya Singh"/>
    <s v="Consumer"/>
    <s v="Bhubaneswar"/>
    <s v="East"/>
    <x v="2"/>
    <s v="Study Table"/>
    <n v="3"/>
    <n v="0"/>
    <x v="985"/>
    <n v="3236.04"/>
    <s v="Credit Card"/>
    <b v="0"/>
    <b v="0"/>
    <b v="0"/>
    <m/>
  </r>
  <r>
    <n v="988"/>
    <s v="ORD-2025-0988"/>
    <d v="2025-02-16T00:00:00"/>
    <d v="2025-02-18T00:00:00"/>
    <s v="Standard"/>
    <s v="CUST-0135"/>
    <s v="Rahul Verma"/>
    <s v="Consumer"/>
    <s v="Delhi"/>
    <s v="North"/>
    <x v="3"/>
    <s v="Bluetooth Speaker"/>
    <n v="1"/>
    <n v="0"/>
    <x v="986"/>
    <n v="564.21"/>
    <s v="Cash"/>
    <b v="0"/>
    <b v="0"/>
    <b v="0"/>
    <m/>
  </r>
  <r>
    <n v="989"/>
    <s v="ORD-2025-0989"/>
    <d v="2025-02-07T00:00:00"/>
    <d v="2025-02-08T00:00:00"/>
    <s v="Standard"/>
    <s v="CUST-0127"/>
    <s v="Aarav Sharma"/>
    <s v="Consumer"/>
    <s v="Hyderabad"/>
    <s v="South"/>
    <x v="2"/>
    <s v="Folding Chair"/>
    <n v="2"/>
    <n v="0.05"/>
    <x v="987"/>
    <n v="753.38"/>
    <s v="UPI"/>
    <b v="0"/>
    <b v="0"/>
    <b v="0"/>
    <m/>
  </r>
  <r>
    <n v="990"/>
    <s v="ORD-2025-0990"/>
    <d v="2025-10-02T00:00:00"/>
    <d v="2025-10-03T00:00:00"/>
    <s v="Standard"/>
    <s v="CUST-0151"/>
    <s v="Arjun Patel"/>
    <s v="Corporate"/>
    <s v="Mumbai"/>
    <s v="West"/>
    <x v="1"/>
    <s v="Lunch Box"/>
    <n v="2"/>
    <n v="0"/>
    <x v="988"/>
    <n v="387.91"/>
    <s v="UPI"/>
    <b v="0"/>
    <b v="0"/>
    <b v="0"/>
    <m/>
  </r>
  <r>
    <n v="991"/>
    <s v="ORD-2025-0991"/>
    <d v="2025-06-14T00:00:00"/>
    <d v="2025-06-19T00:00:00"/>
    <s v="Standard"/>
    <s v="CUST-0225"/>
    <s v="Kiran Joshi"/>
    <s v="Consumer"/>
    <s v="Bhubaneswar"/>
    <s v="East"/>
    <x v="1"/>
    <s v="Water Bottle"/>
    <n v="4"/>
    <n v="0.2"/>
    <x v="989"/>
    <n v="54.94"/>
    <s v="Debit Card"/>
    <b v="0"/>
    <b v="0"/>
    <b v="0"/>
    <m/>
  </r>
  <r>
    <n v="992"/>
    <s v="ORD-2025-0992"/>
    <d v="2025-04-26T00:00:00"/>
    <d v="2025-04-27T00:00:00"/>
    <s v="Same Day"/>
    <s v="CUST-0243"/>
    <s v="Rohan Mehta"/>
    <s v="Consumer"/>
    <s v="Jaipur"/>
    <s v="North"/>
    <x v="3"/>
    <s v="Power Bank"/>
    <n v="2"/>
    <n v="0.05"/>
    <x v="990"/>
    <n v="573.85"/>
    <s v="UPI"/>
    <b v="0"/>
    <b v="0"/>
    <b v="0"/>
    <m/>
  </r>
  <r>
    <n v="993"/>
    <s v="ORD-2025-0993"/>
    <d v="2025-03-20T00:00:00"/>
    <d v="2025-03-21T00:00:00"/>
    <s v="Standard"/>
    <s v="CUST-0017"/>
    <s v="Divya Rao"/>
    <s v="Consumer"/>
    <s v="Bengaluru"/>
    <s v="South"/>
    <x v="3"/>
    <s v="Keyboard"/>
    <n v="2"/>
    <n v="0.05"/>
    <x v="991"/>
    <n v="797.02"/>
    <s v="UPI"/>
    <b v="0"/>
    <b v="0"/>
    <b v="0"/>
    <m/>
  </r>
  <r>
    <n v="994"/>
    <s v="ORD-2025-0994"/>
    <d v="2025-12-11T00:00:00"/>
    <d v="2025-12-16T00:00:00"/>
    <s v="Express"/>
    <s v="CUST-0189"/>
    <s v="Nikhil Jain"/>
    <s v="Corporate"/>
    <s v="Bhubaneswar"/>
    <s v="East"/>
    <x v="2"/>
    <s v="Office Chair"/>
    <n v="1"/>
    <n v="0"/>
    <x v="992"/>
    <n v="1167.23"/>
    <s v="UPI"/>
    <b v="0"/>
    <b v="0"/>
    <b v="0"/>
    <m/>
  </r>
  <r>
    <n v="995"/>
    <s v="ORD-2025-0995"/>
    <d v="2025-01-06T00:00:00"/>
    <d v="2025-01-07T00:00:00"/>
    <s v="Same Day"/>
    <s v="CUST-0057"/>
    <s v="Rahul Verma"/>
    <s v="Corporate"/>
    <s v="Jaipur"/>
    <s v="North"/>
    <x v="1"/>
    <s v="Water Bottle"/>
    <n v="1"/>
    <n v="0"/>
    <x v="993"/>
    <n v="148.97999999999999"/>
    <s v="Debit Card"/>
    <b v="0"/>
    <b v="0"/>
    <b v="0"/>
    <m/>
  </r>
  <r>
    <n v="996"/>
    <s v="ORD-2025-0996"/>
    <d v="2025-08-03T00:00:00"/>
    <d v="2025-08-07T00:00:00"/>
    <s v="Standard"/>
    <s v="CUST-0227"/>
    <s v="Shreya Kapoor"/>
    <s v="Corporate"/>
    <s v="Pune"/>
    <s v="West"/>
    <x v="0"/>
    <s v="Notebook"/>
    <n v="1"/>
    <n v="0.1"/>
    <x v="994"/>
    <n v="35.56"/>
    <s v="UPI"/>
    <b v="0"/>
    <b v="0"/>
    <b v="0"/>
    <m/>
  </r>
  <r>
    <n v="997"/>
    <s v="ORD-2025-0997"/>
    <d v="2025-01-26T00:00:00"/>
    <d v="2025-01-28T00:00:00"/>
    <s v="Standard"/>
    <s v="CUST-0134"/>
    <s v="Meera Shah"/>
    <s v="Corporate"/>
    <s v="Mysuru"/>
    <s v="South"/>
    <x v="3"/>
    <s v="Keyboard"/>
    <n v="2"/>
    <n v="0.1"/>
    <x v="995"/>
    <n v="307.20999999999998"/>
    <s v="Debit Card"/>
    <b v="0"/>
    <b v="0"/>
    <b v="0"/>
    <m/>
  </r>
  <r>
    <n v="998"/>
    <s v="ORD-2025-0998"/>
    <d v="2025-06-16T00:00:00"/>
    <d v="2025-06-20T00:00:00"/>
    <s v="Standard"/>
    <s v="CUST-0246"/>
    <s v="Meera Shah"/>
    <s v="Consumer"/>
    <s v="Mysuru"/>
    <s v="South"/>
    <x v="2"/>
    <s v="Bookshelf"/>
    <n v="5"/>
    <n v="0"/>
    <x v="996"/>
    <n v="5834.03"/>
    <s v="Credit Card"/>
    <b v="0"/>
    <b v="0"/>
    <b v="0"/>
    <m/>
  </r>
  <r>
    <n v="999"/>
    <s v="ORD-2025-0999"/>
    <d v="2025-01-15T00:00:00"/>
    <d v="2025-01-16T00:00:00"/>
    <s v="Same Day"/>
    <s v="CUST-0197"/>
    <s v="Divya Rao"/>
    <s v="Consumer"/>
    <s v="Lucknow"/>
    <s v="North"/>
    <x v="0"/>
    <s v="Calculator"/>
    <n v="1"/>
    <n v="0.25"/>
    <x v="997"/>
    <n v="28.29"/>
    <s v="UPI"/>
    <b v="0"/>
    <b v="0"/>
    <b v="0"/>
    <m/>
  </r>
  <r>
    <n v="1000"/>
    <s v="ORD-2025-1000"/>
    <d v="2025-12-18T00:00:00"/>
    <d v="2025-12-22T00:00:00"/>
    <s v="Express"/>
    <s v="CUST-0007"/>
    <s v="Meera Shah"/>
    <s v="Consumer"/>
    <s v="Mysuru"/>
    <s v="South"/>
    <x v="0"/>
    <s v="File Folder"/>
    <n v="4"/>
    <n v="0.05"/>
    <x v="998"/>
    <n v="123.37"/>
    <s v="Debit Card"/>
    <b v="0"/>
    <b v="0"/>
    <b v="0"/>
    <m/>
  </r>
  <r>
    <n v="0"/>
    <n v="0"/>
    <n v="0"/>
    <n v="0"/>
    <n v="0"/>
    <n v="0"/>
    <n v="0"/>
    <n v="0"/>
    <n v="0"/>
    <n v="0"/>
    <x v="4"/>
    <n v="0"/>
    <n v="0"/>
    <n v="0"/>
    <x v="999"/>
    <n v="0"/>
    <n v="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s v="ORD-2025-0001"/>
    <d v="2025-05-02T00:00:00"/>
    <x v="0"/>
    <d v="2025-05-05T00:00:00"/>
    <s v="Standard"/>
    <s v="CUST-0104"/>
    <s v="Rahul Verma"/>
    <x v="0"/>
    <x v="0"/>
    <s v="East"/>
    <s v="Office Supplies"/>
    <s v="Calculator"/>
    <n v="3"/>
    <n v="0.1"/>
    <n v="1684.8"/>
    <n v="296.69"/>
    <x v="0"/>
    <b v="0"/>
    <b v="0"/>
    <b v="0"/>
    <m/>
  </r>
  <r>
    <n v="2"/>
    <s v="ORD-2025-0002"/>
    <d v="2025-01-22T00:00:00"/>
    <x v="1"/>
    <d v="2025-01-27T00:00:00"/>
    <s v="Express"/>
    <s v="CUST-0170"/>
    <s v="Divya Rao"/>
    <x v="0"/>
    <x v="1"/>
    <s v="East"/>
    <s v="Home &amp; Kitchen"/>
    <s v="Coffee Mug"/>
    <n v="1"/>
    <n v="0.05"/>
    <n v="282.12"/>
    <n v="79.319999999999993"/>
    <x v="1"/>
    <b v="0"/>
    <b v="0"/>
    <b v="0"/>
    <m/>
  </r>
  <r>
    <n v="3"/>
    <s v="ORD-2025-0003"/>
    <d v="2025-11-03T00:00:00"/>
    <x v="2"/>
    <d v="2025-11-08T00:00:00"/>
    <s v="Same Day"/>
    <s v="CUST-0014"/>
    <s v="Ishita Roy"/>
    <x v="0"/>
    <x v="2"/>
    <s v="West"/>
    <s v="Furniture"/>
    <s v="Desk Lamp"/>
    <n v="5"/>
    <n v="0.1"/>
    <n v="5816.56"/>
    <n v="1772.43"/>
    <x v="1"/>
    <b v="0"/>
    <b v="0"/>
    <b v="0"/>
    <m/>
  </r>
  <r>
    <n v="4"/>
    <s v="ORD-2025-0004"/>
    <d v="2025-02-04T00:00:00"/>
    <x v="3"/>
    <d v="2025-02-05T00:00:00"/>
    <s v="Standard"/>
    <s v="CUST-0134"/>
    <s v="Neha Gupta"/>
    <x v="1"/>
    <x v="1"/>
    <s v="East"/>
    <s v="Electronics"/>
    <s v="USB-C Hub"/>
    <n v="1"/>
    <n v="0.1"/>
    <n v="1316.56"/>
    <n v="188.56"/>
    <x v="1"/>
    <b v="0"/>
    <b v="0"/>
    <b v="0"/>
    <m/>
  </r>
  <r>
    <n v="5"/>
    <s v="ORD-2025-0005"/>
    <d v="2025-12-17T00:00:00"/>
    <x v="4"/>
    <d v="2025-12-21T00:00:00"/>
    <s v="Standard"/>
    <s v="CUST-0082"/>
    <s v="Sanjay Menon"/>
    <x v="2"/>
    <x v="3"/>
    <s v="South"/>
    <s v="Home &amp; Kitchen"/>
    <s v="Storage Box"/>
    <n v="2"/>
    <n v="0.2"/>
    <n v="1372.99"/>
    <n v="141.24"/>
    <x v="1"/>
    <b v="0"/>
    <b v="0"/>
    <b v="0"/>
    <m/>
  </r>
  <r>
    <n v="6"/>
    <s v="ORD-2025-0006"/>
    <d v="2025-12-11T00:00:00"/>
    <x v="4"/>
    <d v="2025-12-12T00:00:00"/>
    <s v="Standard"/>
    <s v="CUST-0139"/>
    <s v="Manish Yadav"/>
    <x v="1"/>
    <x v="4"/>
    <s v="North"/>
    <s v="Electronics"/>
    <s v="USB-C Hub"/>
    <n v="1"/>
    <n v="0"/>
    <n v="1539.81"/>
    <n v="550.86"/>
    <x v="2"/>
    <b v="0"/>
    <b v="0"/>
    <b v="0"/>
    <m/>
  </r>
  <r>
    <n v="7"/>
    <s v="ORD-2025-0007"/>
    <d v="2025-05-15T00:00:00"/>
    <x v="0"/>
    <d v="2025-05-16T00:00:00"/>
    <s v="Standard"/>
    <s v="CUST-0151"/>
    <s v="Arjun Patel"/>
    <x v="1"/>
    <x v="5"/>
    <s v="North"/>
    <s v="Home &amp; Kitchen"/>
    <s v="Electric Kettle"/>
    <n v="2"/>
    <n v="0"/>
    <n v="3642.36"/>
    <n v="1173.49"/>
    <x v="2"/>
    <b v="0"/>
    <b v="0"/>
    <b v="0"/>
    <m/>
  </r>
  <r>
    <n v="8"/>
    <s v="ORD-2025-0008"/>
    <d v="2025-09-14T00:00:00"/>
    <x v="5"/>
    <d v="2025-09-19T00:00:00"/>
    <s v="Standard"/>
    <s v="CUST-0137"/>
    <s v="Sanjay Menon"/>
    <x v="0"/>
    <x v="6"/>
    <s v="South"/>
    <s v="Home &amp; Kitchen"/>
    <s v="Water Bottle"/>
    <n v="1"/>
    <n v="0.15"/>
    <n v="426.75"/>
    <n v="40.43"/>
    <x v="1"/>
    <b v="0"/>
    <b v="0"/>
    <b v="0"/>
    <m/>
  </r>
  <r>
    <n v="9"/>
    <s v="ORD-2025-0009"/>
    <d v="2025-08-19T00:00:00"/>
    <x v="6"/>
    <d v="2025-08-24T00:00:00"/>
    <s v="Same Day"/>
    <s v="CUST-0071"/>
    <s v="Manish Yadav"/>
    <x v="0"/>
    <x v="7"/>
    <s v="South"/>
    <s v="Electronics"/>
    <s v="Wireless Mouse"/>
    <n v="2"/>
    <n v="0.15"/>
    <n v="1363.71"/>
    <n v="308.05"/>
    <x v="0"/>
    <b v="0"/>
    <b v="0"/>
    <b v="0"/>
    <m/>
  </r>
  <r>
    <n v="10"/>
    <s v="ORD-2025-0010"/>
    <d v="2025-02-13T00:00:00"/>
    <x v="3"/>
    <d v="2025-02-17T00:00:00"/>
    <s v="Express"/>
    <s v="CUST-0092"/>
    <s v="Vikram Rao"/>
    <x v="2"/>
    <x v="8"/>
    <s v="West"/>
    <s v="Home &amp; Kitchen"/>
    <s v="Water Bottle"/>
    <n v="4"/>
    <n v="0.2"/>
    <n v="1659.48"/>
    <n v="206.65"/>
    <x v="1"/>
    <b v="0"/>
    <b v="0"/>
    <b v="0"/>
    <m/>
  </r>
  <r>
    <n v="11"/>
    <s v="ORD-2025-0011"/>
    <d v="2025-07-17T00:00:00"/>
    <x v="7"/>
    <d v="2025-07-20T00:00:00"/>
    <s v="Standard"/>
    <s v="CUST-0172"/>
    <s v="Sanjay Menon"/>
    <x v="0"/>
    <x v="7"/>
    <s v="South"/>
    <s v="Furniture"/>
    <s v="Office Chair"/>
    <n v="2"/>
    <n v="0.05"/>
    <n v="10361.81"/>
    <n v="3054.5"/>
    <x v="1"/>
    <b v="0"/>
    <b v="0"/>
    <b v="0"/>
    <m/>
  </r>
  <r>
    <n v="12"/>
    <s v="ORD-2025-0012"/>
    <d v="2025-09-25T00:00:00"/>
    <x v="5"/>
    <d v="2025-09-27T00:00:00"/>
    <s v="Same Day"/>
    <s v="CUST-0187"/>
    <s v="Nikhil Jain"/>
    <x v="2"/>
    <x v="9"/>
    <s v="South"/>
    <s v="Furniture"/>
    <s v="Desk Lamp"/>
    <n v="1"/>
    <n v="0.05"/>
    <n v="1260.25"/>
    <n v="416.4"/>
    <x v="3"/>
    <b v="0"/>
    <b v="0"/>
    <b v="0"/>
    <m/>
  </r>
  <r>
    <n v="13"/>
    <s v="ORD-2025-0013"/>
    <d v="2025-06-21T00:00:00"/>
    <x v="8"/>
    <d v="2025-06-23T00:00:00"/>
    <s v="Express"/>
    <s v="CUST-0203"/>
    <s v="Nikhil Jain"/>
    <x v="1"/>
    <x v="9"/>
    <s v="South"/>
    <s v="Electronics"/>
    <s v="Wireless Mouse"/>
    <n v="1"/>
    <n v="0"/>
    <n v="837.8"/>
    <n v="303.74"/>
    <x v="1"/>
    <b v="0"/>
    <b v="0"/>
    <b v="0"/>
    <m/>
  </r>
  <r>
    <n v="14"/>
    <s v="ORD-2025-0014"/>
    <d v="2025-12-15T00:00:00"/>
    <x v="4"/>
    <d v="2025-12-18T00:00:00"/>
    <s v="Standard"/>
    <s v="CUST-0195"/>
    <s v="Manish Yadav"/>
    <x v="0"/>
    <x v="9"/>
    <s v="South"/>
    <s v="Furniture"/>
    <s v="Bookshelf"/>
    <n v="1"/>
    <n v="0.1"/>
    <n v="4176.72"/>
    <n v="702.12"/>
    <x v="1"/>
    <b v="0"/>
    <b v="0"/>
    <b v="0"/>
    <m/>
  </r>
  <r>
    <n v="15"/>
    <s v="ORD-2025-0015"/>
    <d v="2025-05-31T00:00:00"/>
    <x v="0"/>
    <d v="2025-06-02T00:00:00"/>
    <s v="Express"/>
    <s v="CUST-0249"/>
    <s v="Shreya Kapoor"/>
    <x v="0"/>
    <x v="10"/>
    <s v="North"/>
    <s v="Home &amp; Kitchen"/>
    <s v="Coffee Mug"/>
    <n v="1"/>
    <n v="0.05"/>
    <n v="277.17"/>
    <n v="52.32"/>
    <x v="1"/>
    <b v="0"/>
    <b v="0"/>
    <b v="0"/>
    <m/>
  </r>
  <r>
    <n v="16"/>
    <s v="ORD-2025-0016"/>
    <d v="2025-01-09T00:00:00"/>
    <x v="1"/>
    <d v="2025-01-10T00:00:00"/>
    <s v="Express"/>
    <s v="CUST-0152"/>
    <s v="Aarav Sharma"/>
    <x v="1"/>
    <x v="8"/>
    <s v="West"/>
    <s v="Electronics"/>
    <s v="USB-C Hub"/>
    <n v="4"/>
    <n v="0.1"/>
    <n v="5315.03"/>
    <n v="726.94"/>
    <x v="1"/>
    <b v="0"/>
    <b v="0"/>
    <b v="0"/>
    <m/>
  </r>
  <r>
    <n v="17"/>
    <s v="ORD-2025-0017"/>
    <d v="2025-06-02T00:00:00"/>
    <x v="8"/>
    <d v="2025-06-07T00:00:00"/>
    <s v="Standard"/>
    <s v="CUST-0163"/>
    <s v="Divya Rao"/>
    <x v="2"/>
    <x v="6"/>
    <s v="South"/>
    <s v="Electronics"/>
    <s v="USB-C Hub"/>
    <n v="2"/>
    <n v="0.2"/>
    <n v="2346.58"/>
    <n v="304.72000000000003"/>
    <x v="1"/>
    <b v="0"/>
    <b v="0"/>
    <b v="0"/>
    <m/>
  </r>
  <r>
    <n v="18"/>
    <s v="ORD-2025-0018"/>
    <d v="2025-07-14T00:00:00"/>
    <x v="7"/>
    <d v="2025-07-15T00:00:00"/>
    <s v="Standard"/>
    <s v="CUST-0214"/>
    <s v="NULL"/>
    <x v="1"/>
    <x v="7"/>
    <s v="South"/>
    <s v="Electronics"/>
    <s v="Power Bank"/>
    <n v="2"/>
    <n v="0.15"/>
    <n v="1999.18"/>
    <n v="252.22"/>
    <x v="0"/>
    <b v="0"/>
    <b v="0"/>
    <b v="0"/>
    <m/>
  </r>
  <r>
    <n v="19"/>
    <s v="ORD-2025-0019"/>
    <d v="2025-10-11T00:00:00"/>
    <x v="9"/>
    <d v="2025-10-12T00:00:00"/>
    <s v="Standard"/>
    <s v="CUST-0035"/>
    <s v="Nikhil Jain"/>
    <x v="0"/>
    <x v="0"/>
    <s v="East"/>
    <s v="Office Supplies"/>
    <s v="Desk Organizer"/>
    <n v="3"/>
    <n v="0.1"/>
    <n v="1177.97"/>
    <n v="145.91"/>
    <x v="0"/>
    <b v="0"/>
    <b v="0"/>
    <b v="0"/>
    <m/>
  </r>
  <r>
    <n v="20"/>
    <s v="ORD-2025-0020"/>
    <d v="2025-10-07T00:00:00"/>
    <x v="9"/>
    <d v="2025-10-12T00:00:00"/>
    <s v="Same Day"/>
    <s v="CUST-0225"/>
    <s v="Shreya Kapoor"/>
    <x v="0"/>
    <x v="11"/>
    <s v="West"/>
    <s v="Office Supplies"/>
    <s v="Calculator"/>
    <n v="2"/>
    <n v="0"/>
    <n v="1290.6600000000001"/>
    <n v="233.33"/>
    <x v="1"/>
    <b v="0"/>
    <b v="0"/>
    <b v="0"/>
    <m/>
  </r>
  <r>
    <n v="21"/>
    <s v="ORD-2025-0021"/>
    <d v="2025-02-27T00:00:00"/>
    <x v="3"/>
    <d v="2025-03-02T00:00:00"/>
    <s v="Express"/>
    <s v="CUST-0086"/>
    <s v="Priya Nair"/>
    <x v="0"/>
    <x v="3"/>
    <s v="South"/>
    <s v="Home &amp; Kitchen"/>
    <s v="Lunch Box"/>
    <n v="2"/>
    <n v="0.2"/>
    <n v="1126.24"/>
    <n v="232.31"/>
    <x v="1"/>
    <b v="0"/>
    <b v="0"/>
    <b v="0"/>
    <m/>
  </r>
  <r>
    <n v="22"/>
    <s v="ORD-2025-0022"/>
    <d v="2025-06-19T00:00:00"/>
    <x v="8"/>
    <d v="2025-06-21T00:00:00"/>
    <s v="Same Day"/>
    <s v="CUST-0250"/>
    <s v="Vikram Rao"/>
    <x v="0"/>
    <x v="4"/>
    <s v="North"/>
    <s v="Office Supplies"/>
    <s v="Notebook"/>
    <n v="3"/>
    <n v="0.05"/>
    <n v="528.91"/>
    <n v="100.47"/>
    <x v="2"/>
    <b v="0"/>
    <b v="0"/>
    <b v="0"/>
    <m/>
  </r>
  <r>
    <n v="23"/>
    <s v="ORD-2025-0023"/>
    <d v="2025-11-18T00:00:00"/>
    <x v="2"/>
    <d v="2025-11-21T00:00:00"/>
    <s v="Standard"/>
    <s v="CUST-0058"/>
    <s v="Nikhil Jain"/>
    <x v="0"/>
    <x v="6"/>
    <s v="South"/>
    <s v="Furniture"/>
    <s v="Desk Lamp"/>
    <n v="1"/>
    <n v="0.05"/>
    <n v="1229.8"/>
    <n v="283.44"/>
    <x v="4"/>
    <b v="0"/>
    <b v="0"/>
    <b v="0"/>
    <m/>
  </r>
  <r>
    <n v="24"/>
    <s v="ORD-2025-0024"/>
    <d v="2025-04-18T00:00:00"/>
    <x v="10"/>
    <d v="2025-04-23T00:00:00"/>
    <s v="Standard"/>
    <s v="CUST-0094"/>
    <s v="Sanjay Menon"/>
    <x v="1"/>
    <x v="8"/>
    <s v="West"/>
    <s v="Office Supplies"/>
    <s v="File Folder"/>
    <n v="2"/>
    <n v="0.15"/>
    <n v="152.35"/>
    <n v="10.44"/>
    <x v="1"/>
    <b v="0"/>
    <b v="0"/>
    <b v="0"/>
    <m/>
  </r>
  <r>
    <n v="25"/>
    <s v="ORD-2025-0025"/>
    <d v="2025-04-30T00:00:00"/>
    <x v="10"/>
    <d v="2025-05-03T00:00:00"/>
    <s v="Standard"/>
    <s v="CUST-0117"/>
    <s v="Rohan Mehta"/>
    <x v="1"/>
    <x v="1"/>
    <s v="East"/>
    <s v="Electronics"/>
    <s v="Keyboard"/>
    <n v="3"/>
    <n v="0"/>
    <n v="3873.22"/>
    <n v="1395.93"/>
    <x v="1"/>
    <b v="0"/>
    <b v="0"/>
    <b v="0"/>
    <m/>
  </r>
  <r>
    <n v="26"/>
    <s v="ORD-2025-0026"/>
    <d v="2025-09-29T00:00:00"/>
    <x v="5"/>
    <d v="2025-10-04T00:00:00"/>
    <s v="Express"/>
    <s v="CUST-0247"/>
    <s v="Rahul Verma"/>
    <x v="0"/>
    <x v="11"/>
    <s v="West"/>
    <s v="Home &amp; Kitchen"/>
    <s v="Coffee Mug"/>
    <n v="3"/>
    <n v="0.15"/>
    <n v="780.59"/>
    <n v="125"/>
    <x v="1"/>
    <b v="0"/>
    <b v="0"/>
    <b v="0"/>
    <m/>
  </r>
  <r>
    <n v="27"/>
    <s v="ORD-2025-0027"/>
    <d v="2025-08-26T00:00:00"/>
    <x v="6"/>
    <d v="2025-08-30T00:00:00"/>
    <s v="Express"/>
    <s v="CUST-0085"/>
    <s v="Vikram Rao"/>
    <x v="0"/>
    <x v="1"/>
    <s v="East"/>
    <s v="Home &amp; Kitchen"/>
    <s v="Water Bottle"/>
    <n v="1"/>
    <n v="0"/>
    <n v="482.8"/>
    <n v="171.71"/>
    <x v="3"/>
    <b v="0"/>
    <b v="0"/>
    <b v="0"/>
    <m/>
  </r>
  <r>
    <n v="28"/>
    <s v="ORD-2025-0028"/>
    <d v="2025-06-29T00:00:00"/>
    <x v="8"/>
    <d v="2025-07-01T00:00:00"/>
    <s v="Express"/>
    <s v="CUST-0069"/>
    <s v="Kiran Joshi"/>
    <x v="0"/>
    <x v="5"/>
    <s v="North"/>
    <s v="Furniture"/>
    <s v="Study Table"/>
    <n v="4"/>
    <n v="0.2"/>
    <n v="22678.69"/>
    <n v="2504.0100000000002"/>
    <x v="1"/>
    <b v="0"/>
    <b v="0"/>
    <b v="0"/>
    <m/>
  </r>
  <r>
    <n v="29"/>
    <s v="ORD-2025-0029"/>
    <d v="2025-06-01T00:00:00"/>
    <x v="8"/>
    <d v="2025-06-05T00:00:00"/>
    <s v="Standard"/>
    <s v="CUST-0179"/>
    <s v="Aditya Kumar"/>
    <x v="2"/>
    <x v="1"/>
    <s v="East"/>
    <s v="Furniture"/>
    <s v="Office Chair"/>
    <n v="2"/>
    <n v="0.2"/>
    <n v="8700.01"/>
    <n v="466.27"/>
    <x v="1"/>
    <b v="0"/>
    <b v="0"/>
    <b v="0"/>
    <m/>
  </r>
  <r>
    <n v="30"/>
    <s v="ORD-2025-0030"/>
    <d v="2025-04-05T00:00:00"/>
    <x v="10"/>
    <d v="2025-04-07T00:00:00"/>
    <s v="Standard"/>
    <s v="CUST-0090"/>
    <s v="Kavya Iyer"/>
    <x v="0"/>
    <x v="0"/>
    <s v="East"/>
    <s v="Home &amp; Kitchen"/>
    <s v="Coffee Mug"/>
    <n v="1"/>
    <n v="0"/>
    <n v="285.20999999999998"/>
    <n v="62.86"/>
    <x v="2"/>
    <b v="0"/>
    <b v="0"/>
    <b v="0"/>
    <m/>
  </r>
  <r>
    <n v="31"/>
    <s v="ORD-2025-0031"/>
    <d v="2025-04-24T00:00:00"/>
    <x v="10"/>
    <d v="2025-04-29T00:00:00"/>
    <s v="Standard"/>
    <s v="CUST-0249"/>
    <s v="Sneha Reddy"/>
    <x v="0"/>
    <x v="4"/>
    <s v="North"/>
    <s v="Office Supplies"/>
    <s v="Desk Organizer"/>
    <n v="2"/>
    <n v="0.15"/>
    <n v="798.4"/>
    <n v="233.35"/>
    <x v="2"/>
    <b v="0"/>
    <b v="0"/>
    <b v="0"/>
    <m/>
  </r>
  <r>
    <n v="32"/>
    <s v="ORD-2025-0032"/>
    <d v="2025-04-06T00:00:00"/>
    <x v="10"/>
    <d v="2025-04-11T00:00:00"/>
    <s v="Express"/>
    <s v="CUST-0099"/>
    <s v="Rohan Mehta"/>
    <x v="0"/>
    <x v="6"/>
    <s v="South"/>
    <s v="Home &amp; Kitchen"/>
    <s v="Water Bottle"/>
    <n v="2"/>
    <n v="0.05"/>
    <n v="923.32"/>
    <n v="168.86"/>
    <x v="3"/>
    <b v="0"/>
    <b v="0"/>
    <b v="0"/>
    <m/>
  </r>
  <r>
    <n v="33"/>
    <s v="ORD-2025-0033"/>
    <d v="2025-04-10T00:00:00"/>
    <x v="10"/>
    <d v="2025-04-14T00:00:00"/>
    <s v="Standard"/>
    <s v="CUST-0028"/>
    <s v="Meera Shah"/>
    <x v="1"/>
    <x v="11"/>
    <s v="West"/>
    <s v="Office Supplies"/>
    <s v="Notebook"/>
    <n v="1"/>
    <n v="0"/>
    <n v="188.25"/>
    <n v="46.15"/>
    <x v="3"/>
    <b v="0"/>
    <b v="0"/>
    <b v="0"/>
    <m/>
  </r>
  <r>
    <n v="34"/>
    <s v="ORD-2025-0034"/>
    <d v="2025-02-22T00:00:00"/>
    <x v="3"/>
    <d v="2025-02-23T00:00:00"/>
    <s v="Same Day"/>
    <s v="CUST-0142"/>
    <s v="Arjun Patel"/>
    <x v="1"/>
    <x v="8"/>
    <s v="West"/>
    <s v="Office Supplies"/>
    <s v="Calculator"/>
    <n v="1"/>
    <n v="0.05"/>
    <n v="593.63"/>
    <n v="69.61"/>
    <x v="3"/>
    <b v="0"/>
    <b v="0"/>
    <b v="0"/>
    <m/>
  </r>
  <r>
    <n v="35"/>
    <s v="ORD-2025-0035"/>
    <d v="2025-09-10T00:00:00"/>
    <x v="5"/>
    <d v="2025-09-15T00:00:00"/>
    <s v="Express"/>
    <s v="CUST-0194"/>
    <s v="Arjun Patel"/>
    <x v="0"/>
    <x v="4"/>
    <s v="North"/>
    <s v="Furniture"/>
    <s v="Desk Lamp"/>
    <n v="3"/>
    <n v="0.1"/>
    <n v="3410"/>
    <n v="684.71"/>
    <x v="1"/>
    <b v="0"/>
    <b v="0"/>
    <b v="0"/>
    <m/>
  </r>
  <r>
    <n v="36"/>
    <s v="ORD-2025-0036"/>
    <d v="2025-11-23T00:00:00"/>
    <x v="2"/>
    <d v="2025-11-24T00:00:00"/>
    <s v="Express"/>
    <s v="CUST-0019"/>
    <s v="Pooja Das"/>
    <x v="1"/>
    <x v="9"/>
    <s v="South"/>
    <s v="Furniture"/>
    <s v="Folding Chair"/>
    <n v="4"/>
    <n v="0"/>
    <n v="7262.12"/>
    <n v="2296.5700000000002"/>
    <x v="3"/>
    <b v="0"/>
    <b v="0"/>
    <b v="0"/>
    <m/>
  </r>
  <r>
    <n v="37"/>
    <s v="ORD-2025-0037"/>
    <d v="2025-11-13T00:00:00"/>
    <x v="2"/>
    <d v="2025-11-14T00:00:00"/>
    <s v="Standard"/>
    <s v="CUST-0249"/>
    <s v="Nikhil Jain"/>
    <x v="0"/>
    <x v="3"/>
    <s v="South"/>
    <s v="Home &amp; Kitchen"/>
    <s v="Lunch Box"/>
    <n v="2"/>
    <n v="0"/>
    <n v="1432.14"/>
    <n v="374.96"/>
    <x v="3"/>
    <b v="0"/>
    <b v="0"/>
    <b v="0"/>
    <m/>
  </r>
  <r>
    <n v="38"/>
    <s v="ORD-2025-0038"/>
    <d v="2025-10-30T00:00:00"/>
    <x v="9"/>
    <d v="2025-11-04T00:00:00"/>
    <s v="Same Day"/>
    <s v="CUST-0164"/>
    <s v="Rahul Verma"/>
    <x v="1"/>
    <x v="1"/>
    <s v="East"/>
    <s v="Office Supplies"/>
    <s v="Pen Set"/>
    <n v="5"/>
    <n v="0.1"/>
    <n v="515.34"/>
    <n v="32.380000000000003"/>
    <x v="1"/>
    <b v="0"/>
    <b v="0"/>
    <b v="0"/>
    <m/>
  </r>
  <r>
    <n v="39"/>
    <s v="ORD-2025-0039"/>
    <d v="2025-05-24T00:00:00"/>
    <x v="0"/>
    <d v="2025-05-25T00:00:00"/>
    <s v="Standard"/>
    <s v="CUST-0102"/>
    <s v="Pooja Das"/>
    <x v="0"/>
    <x v="9"/>
    <s v="South"/>
    <s v="Electronics"/>
    <s v="Wireless Mouse"/>
    <n v="2"/>
    <n v="0.1"/>
    <n v="1497.92"/>
    <n v="200.76"/>
    <x v="1"/>
    <b v="0"/>
    <b v="0"/>
    <b v="0"/>
    <m/>
  </r>
  <r>
    <n v="40"/>
    <s v="ORD-2025-0040"/>
    <d v="2025-01-28T00:00:00"/>
    <x v="1"/>
    <d v="2025-02-01T00:00:00"/>
    <s v="Standard"/>
    <s v="CUST-0191"/>
    <s v="Nikhil Jain"/>
    <x v="0"/>
    <x v="5"/>
    <s v="North"/>
    <s v="Electronics"/>
    <s v="USB-C Hub"/>
    <n v="2"/>
    <n v="0"/>
    <n v="2956.13"/>
    <n v="941.5"/>
    <x v="3"/>
    <b v="0"/>
    <b v="0"/>
    <b v="0"/>
    <m/>
  </r>
  <r>
    <n v="41"/>
    <s v="ORD-2025-0041"/>
    <d v="2025-09-13T00:00:00"/>
    <x v="5"/>
    <d v="2025-09-18T00:00:00"/>
    <s v="Same Day"/>
    <s v="CUST-0242"/>
    <s v="Kiran Joshi"/>
    <x v="0"/>
    <x v="6"/>
    <s v="South"/>
    <s v="Furniture"/>
    <s v="Folding Chair"/>
    <n v="3"/>
    <n v="0.2"/>
    <n v="4366.57"/>
    <n v="568.98"/>
    <x v="3"/>
    <b v="0"/>
    <b v="0"/>
    <b v="0"/>
    <m/>
  </r>
  <r>
    <n v="42"/>
    <s v="ORD-2025-0042"/>
    <d v="2025-08-05T00:00:00"/>
    <x v="6"/>
    <d v="2025-08-08T00:00:00"/>
    <s v="Standard"/>
    <s v="CUST-0099"/>
    <s v="Aarav Sharma"/>
    <x v="0"/>
    <x v="9"/>
    <s v="South"/>
    <s v="Home &amp; Kitchen"/>
    <s v="Coffee Mug"/>
    <n v="2"/>
    <n v="0.15"/>
    <n v="525.69000000000005"/>
    <n v="54.67"/>
    <x v="1"/>
    <b v="0"/>
    <b v="0"/>
    <b v="0"/>
    <m/>
  </r>
  <r>
    <n v="43"/>
    <s v="ORD-2025-0043"/>
    <d v="2025-02-22T00:00:00"/>
    <x v="3"/>
    <d v="2025-02-27T00:00:00"/>
    <s v="Standard"/>
    <s v="CUST-0201"/>
    <s v="Meera Shah"/>
    <x v="0"/>
    <x v="8"/>
    <s v="West"/>
    <s v="Furniture"/>
    <s v="Folding Chair"/>
    <n v="5"/>
    <n v="0.1"/>
    <n v="8303.6200000000008"/>
    <n v="2046.97"/>
    <x v="1"/>
    <b v="0"/>
    <b v="0"/>
    <b v="0"/>
    <m/>
  </r>
  <r>
    <n v="44"/>
    <s v="ORD-2025-0044"/>
    <d v="2025-04-05T00:00:00"/>
    <x v="10"/>
    <d v="2025-04-07T00:00:00"/>
    <s v="Express"/>
    <s v="CUST-0050"/>
    <s v="Pooja Das"/>
    <x v="2"/>
    <x v="9"/>
    <s v="South"/>
    <s v="Electronics"/>
    <s v="Wireless Mouse"/>
    <n v="3"/>
    <n v="0"/>
    <n v="2396.56"/>
    <n v="682.12"/>
    <x v="0"/>
    <b v="0"/>
    <b v="0"/>
    <b v="0"/>
    <m/>
  </r>
  <r>
    <n v="45"/>
    <s v="ORD-2025-0045"/>
    <d v="2025-07-26T00:00:00"/>
    <x v="7"/>
    <d v="2025-07-31T00:00:00"/>
    <s v="Standard"/>
    <s v="CUST-0166"/>
    <s v="Priya Nair"/>
    <x v="0"/>
    <x v="4"/>
    <s v="North"/>
    <s v="Electronics"/>
    <s v="Bluetooth Speaker"/>
    <n v="2"/>
    <n v="0.1"/>
    <n v="3459.32"/>
    <n v="569.74"/>
    <x v="3"/>
    <b v="0"/>
    <b v="0"/>
    <b v="0"/>
    <m/>
  </r>
  <r>
    <n v="46"/>
    <s v="ORD-2025-0046"/>
    <d v="2025-06-15T00:00:00"/>
    <x v="8"/>
    <d v="2025-06-16T00:00:00"/>
    <s v="Express"/>
    <s v="CUST-0051"/>
    <s v="Nikhil Jain"/>
    <x v="2"/>
    <x v="6"/>
    <s v="South"/>
    <s v="Office Supplies"/>
    <s v="Desk Organizer"/>
    <n v="4"/>
    <n v="0.05"/>
    <n v="1758.5"/>
    <n v="499.74"/>
    <x v="1"/>
    <b v="0"/>
    <b v="0"/>
    <b v="0"/>
    <m/>
  </r>
  <r>
    <n v="47"/>
    <s v="ORD-2025-0047"/>
    <d v="2025-02-03T00:00:00"/>
    <x v="3"/>
    <d v="2025-02-08T00:00:00"/>
    <s v="Standard"/>
    <s v="CUST-0203"/>
    <s v="Manish Yadav"/>
    <x v="0"/>
    <x v="9"/>
    <s v="South"/>
    <s v="Home &amp; Kitchen"/>
    <s v="Coffee Mug"/>
    <n v="1"/>
    <n v="0.1"/>
    <n v="264.99"/>
    <n v="67.099999999999994"/>
    <x v="3"/>
    <b v="0"/>
    <b v="0"/>
    <b v="0"/>
    <m/>
  </r>
  <r>
    <n v="48"/>
    <s v="ORD-2025-0048"/>
    <d v="2025-07-03T00:00:00"/>
    <x v="7"/>
    <d v="2025-07-04T00:00:00"/>
    <s v="Express"/>
    <s v="CUST-0178"/>
    <s v="Manish Yadav"/>
    <x v="0"/>
    <x v="11"/>
    <s v="West"/>
    <s v="Furniture"/>
    <s v="Bookshelf"/>
    <n v="3"/>
    <n v="0"/>
    <n v="14344.45"/>
    <n v="4482.46"/>
    <x v="1"/>
    <b v="0"/>
    <b v="0"/>
    <b v="0"/>
    <m/>
  </r>
  <r>
    <n v="49"/>
    <s v="ORD-2025-0049"/>
    <d v="2025-08-21T00:00:00"/>
    <x v="6"/>
    <d v="2025-08-25T00:00:00"/>
    <s v="Standard"/>
    <s v="CUST-0045"/>
    <s v="Rohan Mehta"/>
    <x v="0"/>
    <x v="11"/>
    <s v="West"/>
    <s v="Electronics"/>
    <s v="Power Bank"/>
    <n v="1"/>
    <n v="0"/>
    <n v="1163.79"/>
    <n v="333.06"/>
    <x v="3"/>
    <b v="0"/>
    <b v="0"/>
    <b v="0"/>
    <m/>
  </r>
  <r>
    <n v="50"/>
    <s v="ORD-2025-0050"/>
    <d v="2025-04-23T00:00:00"/>
    <x v="10"/>
    <d v="2025-04-26T00:00:00"/>
    <s v="Standard"/>
    <s v="CUST-0214"/>
    <s v="Meera Shah"/>
    <x v="1"/>
    <x v="9"/>
    <s v="South"/>
    <s v="Furniture"/>
    <s v="Bookshelf"/>
    <n v="1"/>
    <n v="0.2"/>
    <n v="3563.13"/>
    <n v="519.19000000000005"/>
    <x v="1"/>
    <b v="0"/>
    <b v="0"/>
    <b v="0"/>
    <m/>
  </r>
  <r>
    <n v="51"/>
    <s v="ORD-2025-0051"/>
    <d v="2025-01-07T00:00:00"/>
    <x v="1"/>
    <d v="2025-01-10T00:00:00"/>
    <s v="Standard"/>
    <s v="CUST-0237"/>
    <s v="Ishita Roy"/>
    <x v="0"/>
    <x v="5"/>
    <s v="North"/>
    <s v="Office Supplies"/>
    <s v="Calculator"/>
    <n v="1"/>
    <n v="0.05"/>
    <n v="641.9"/>
    <n v="172.38"/>
    <x v="3"/>
    <b v="0"/>
    <b v="0"/>
    <b v="0"/>
    <m/>
  </r>
  <r>
    <n v="52"/>
    <s v="ORD-2025-0052"/>
    <d v="2025-09-30T00:00:00"/>
    <x v="5"/>
    <d v="2025-10-02T00:00:00"/>
    <s v="Standard"/>
    <s v="CUST-0025"/>
    <s v="Sneha Reddy"/>
    <x v="0"/>
    <x v="2"/>
    <s v="West"/>
    <s v="Electronics"/>
    <s v="Wireless Mouse"/>
    <n v="2"/>
    <n v="0"/>
    <n v="1603.65"/>
    <n v="538.35"/>
    <x v="2"/>
    <b v="0"/>
    <b v="0"/>
    <b v="0"/>
    <m/>
  </r>
  <r>
    <n v="53"/>
    <s v="ORD-2025-0053"/>
    <d v="2025-08-24T00:00:00"/>
    <x v="6"/>
    <d v="2025-08-27T00:00:00"/>
    <s v="Express"/>
    <s v="CUST-0064"/>
    <s v="Priya Nair"/>
    <x v="0"/>
    <x v="11"/>
    <s v="West"/>
    <s v="Office Supplies"/>
    <s v="File Folder"/>
    <n v="2"/>
    <n v="0.15"/>
    <n v="151.15"/>
    <n v="27.4"/>
    <x v="3"/>
    <b v="0"/>
    <b v="0"/>
    <b v="0"/>
    <m/>
  </r>
  <r>
    <n v="54"/>
    <s v="ORD-2025-0054"/>
    <d v="2025-03-11T00:00:00"/>
    <x v="11"/>
    <d v="2025-03-15T00:00:00"/>
    <s v="Express"/>
    <s v="CUST-0152"/>
    <s v="Rohan Mehta"/>
    <x v="0"/>
    <x v="9"/>
    <s v="South"/>
    <s v="Office Supplies"/>
    <s v="Notebook"/>
    <n v="1"/>
    <n v="0"/>
    <n v="186.31"/>
    <n v="71.55"/>
    <x v="3"/>
    <b v="0"/>
    <b v="0"/>
    <b v="0"/>
    <m/>
  </r>
  <r>
    <n v="55"/>
    <s v="ORD-2025-0055"/>
    <d v="2025-08-08T00:00:00"/>
    <x v="6"/>
    <d v="2025-08-11T00:00:00"/>
    <s v="Standard"/>
    <s v="CUST-0248"/>
    <s v="Ananya Singh"/>
    <x v="1"/>
    <x v="10"/>
    <s v="North"/>
    <s v="Office Supplies"/>
    <s v="File Folder"/>
    <n v="1"/>
    <n v="0.05"/>
    <n v="88.63"/>
    <n v="18.12"/>
    <x v="0"/>
    <b v="0"/>
    <b v="0"/>
    <b v="0"/>
    <m/>
  </r>
  <r>
    <n v="56"/>
    <s v="ORD-2025-0056"/>
    <d v="2025-04-28T00:00:00"/>
    <x v="10"/>
    <d v="2025-05-02T00:00:00"/>
    <s v="Standard"/>
    <s v="CUST-0047"/>
    <s v="Aarav Sharma"/>
    <x v="1"/>
    <x v="6"/>
    <s v="South"/>
    <s v="Furniture"/>
    <s v="Study Table"/>
    <n v="4"/>
    <n v="0"/>
    <n v="27787.25"/>
    <n v="7587.52"/>
    <x v="1"/>
    <b v="0"/>
    <b v="0"/>
    <b v="0"/>
    <m/>
  </r>
  <r>
    <n v="57"/>
    <s v="ORD-2025-0057"/>
    <d v="2025-06-27T00:00:00"/>
    <x v="8"/>
    <d v="2025-06-29T00:00:00"/>
    <s v="Standard"/>
    <s v="CUST-0168"/>
    <s v="Priya Nair"/>
    <x v="0"/>
    <x v="7"/>
    <s v="South"/>
    <s v="Furniture"/>
    <s v="Bookshelf"/>
    <n v="1"/>
    <n v="0.1"/>
    <n v="4159.22"/>
    <n v="802.94"/>
    <x v="1"/>
    <b v="0"/>
    <b v="0"/>
    <b v="0"/>
    <m/>
  </r>
  <r>
    <n v="58"/>
    <s v="ORD-2025-0058"/>
    <d v="2025-04-04T00:00:00"/>
    <x v="10"/>
    <d v="2025-04-05T00:00:00"/>
    <s v="Standard"/>
    <s v="CUST-0117"/>
    <s v="Aditya Kumar"/>
    <x v="2"/>
    <x v="0"/>
    <s v="East"/>
    <s v="Electronics"/>
    <s v="Wireless Mouse"/>
    <n v="2"/>
    <n v="0.1"/>
    <n v="1488.64"/>
    <n v="259.47000000000003"/>
    <x v="1"/>
    <b v="0"/>
    <b v="0"/>
    <b v="0"/>
    <m/>
  </r>
  <r>
    <n v="59"/>
    <s v="ORD-2025-0059"/>
    <d v="2025-11-12T00:00:00"/>
    <x v="2"/>
    <d v="2025-11-15T00:00:00"/>
    <s v="Express"/>
    <s v="CUST-0154"/>
    <s v="Sneha Reddy"/>
    <x v="0"/>
    <x v="10"/>
    <s v="North"/>
    <s v="Electronics"/>
    <s v="USB-C Hub"/>
    <n v="3"/>
    <n v="0.15"/>
    <n v="3694.12"/>
    <n v="173.35"/>
    <x v="3"/>
    <b v="0"/>
    <b v="0"/>
    <b v="0"/>
    <m/>
  </r>
  <r>
    <n v="60"/>
    <s v="ORD-2025-0060"/>
    <d v="2025-06-02T00:00:00"/>
    <x v="8"/>
    <d v="2025-06-03T00:00:00"/>
    <s v="Standard"/>
    <s v="CUST-0104"/>
    <s v="Kavya Iyer"/>
    <x v="1"/>
    <x v="11"/>
    <s v="West"/>
    <s v="Furniture"/>
    <s v="Bookshelf"/>
    <n v="2"/>
    <n v="0.1"/>
    <n v="8608.98"/>
    <n v="2200.0100000000002"/>
    <x v="1"/>
    <b v="0"/>
    <b v="0"/>
    <b v="0"/>
    <m/>
  </r>
  <r>
    <n v="61"/>
    <s v="ORD-2025-0061"/>
    <d v="2025-04-21T00:00:00"/>
    <x v="10"/>
    <d v="2025-04-26T00:00:00"/>
    <s v="Standard"/>
    <s v="CUST-0157"/>
    <s v="Ananya Singh"/>
    <x v="1"/>
    <x v="10"/>
    <s v="North"/>
    <s v="Home &amp; Kitchen"/>
    <s v="Lunch Box"/>
    <n v="3"/>
    <n v="0"/>
    <n v="2096.04"/>
    <n v="484.93"/>
    <x v="2"/>
    <b v="0"/>
    <b v="0"/>
    <b v="0"/>
    <m/>
  </r>
  <r>
    <n v="62"/>
    <s v="ORD-2025-0062"/>
    <d v="2025-05-03T00:00:00"/>
    <x v="0"/>
    <d v="2025-05-05T00:00:00"/>
    <s v="Standard"/>
    <s v="CUST-0228"/>
    <s v="Kiran Joshi"/>
    <x v="0"/>
    <x v="7"/>
    <s v="South"/>
    <s v="Home &amp; Kitchen"/>
    <s v="Water Bottle"/>
    <n v="2"/>
    <n v="0.15"/>
    <n v="834.9"/>
    <n v="52.22"/>
    <x v="1"/>
    <b v="0"/>
    <b v="0"/>
    <b v="0"/>
    <m/>
  </r>
  <r>
    <n v="63"/>
    <s v="ORD-2025-0063"/>
    <d v="2025-04-05T00:00:00"/>
    <x v="10"/>
    <d v="2025-04-08T00:00:00"/>
    <s v="Standard"/>
    <s v="CUST-0069"/>
    <s v="Shreya Kapoor"/>
    <x v="0"/>
    <x v="7"/>
    <s v="South"/>
    <s v="Home &amp; Kitchen"/>
    <s v="Electric Kettle"/>
    <n v="3"/>
    <n v="0.15"/>
    <n v="4676.42"/>
    <n v="744.46"/>
    <x v="0"/>
    <b v="0"/>
    <b v="0"/>
    <b v="0"/>
    <m/>
  </r>
  <r>
    <n v="64"/>
    <s v="ORD-2025-0064"/>
    <d v="2025-07-29T00:00:00"/>
    <x v="7"/>
    <d v="2025-07-30T00:00:00"/>
    <s v="Standard"/>
    <s v="CUST-0236"/>
    <s v="Sneha Reddy"/>
    <x v="2"/>
    <x v="0"/>
    <s v="East"/>
    <s v="Furniture"/>
    <s v="Study Table"/>
    <n v="1"/>
    <n v="0.1"/>
    <n v="6145.41"/>
    <n v="789.64"/>
    <x v="2"/>
    <b v="0"/>
    <b v="0"/>
    <b v="0"/>
    <m/>
  </r>
  <r>
    <n v="65"/>
    <s v="ORD-2025-0065"/>
    <d v="2025-02-20T00:00:00"/>
    <x v="3"/>
    <d v="2025-02-25T00:00:00"/>
    <s v="Same Day"/>
    <s v="CUST-0001"/>
    <s v="Meera Shah"/>
    <x v="0"/>
    <x v="9"/>
    <s v="South"/>
    <s v="Electronics"/>
    <s v="Keyboard"/>
    <n v="2"/>
    <n v="0.1"/>
    <n v="2245.67"/>
    <n v="198.22"/>
    <x v="1"/>
    <b v="0"/>
    <b v="0"/>
    <b v="0"/>
    <m/>
  </r>
  <r>
    <n v="66"/>
    <s v="ORD-2025-0066"/>
    <d v="2025-05-29T00:00:00"/>
    <x v="0"/>
    <d v="2025-05-30T00:00:00"/>
    <s v="Express"/>
    <s v="CUST-0154"/>
    <s v="Rohan Mehta"/>
    <x v="0"/>
    <x v="9"/>
    <s v="South"/>
    <s v="Electronics"/>
    <s v="Wireless Mouse"/>
    <n v="4"/>
    <n v="0.1"/>
    <n v="2946.66"/>
    <n v="833.73"/>
    <x v="3"/>
    <b v="0"/>
    <b v="0"/>
    <b v="0"/>
    <m/>
  </r>
  <r>
    <n v="67"/>
    <s v="ORD-2025-0067"/>
    <d v="2025-01-17T00:00:00"/>
    <x v="1"/>
    <d v="2025-01-20T00:00:00"/>
    <s v="Standard"/>
    <s v="CUST-0025"/>
    <s v="Vikram Rao"/>
    <x v="0"/>
    <x v="2"/>
    <s v="West"/>
    <s v="Home &amp; Kitchen"/>
    <s v="Coffee Mug"/>
    <n v="1"/>
    <n v="0.15"/>
    <n v="242.28"/>
    <n v="2.3199999999999998"/>
    <x v="1"/>
    <b v="0"/>
    <b v="0"/>
    <b v="0"/>
    <m/>
  </r>
  <r>
    <n v="68"/>
    <s v="ORD-2025-0068"/>
    <d v="2025-02-18T00:00:00"/>
    <x v="3"/>
    <d v="2025-02-19T00:00:00"/>
    <s v="Standard"/>
    <s v="CUST-0220"/>
    <s v="Kavya Iyer"/>
    <x v="0"/>
    <x v="0"/>
    <s v="East"/>
    <s v="Office Supplies"/>
    <s v="Calculator"/>
    <n v="2"/>
    <n v="0"/>
    <n v="1359.94"/>
    <n v="515.29"/>
    <x v="3"/>
    <b v="0"/>
    <b v="0"/>
    <b v="0"/>
    <m/>
  </r>
  <r>
    <n v="69"/>
    <s v="ORD-2025-0069"/>
    <d v="2025-06-07T00:00:00"/>
    <x v="8"/>
    <d v="2025-06-12T00:00:00"/>
    <s v="Express"/>
    <s v="CUST-0019"/>
    <s v="Ishita Roy"/>
    <x v="0"/>
    <x v="0"/>
    <s v="East"/>
    <s v="Electronics"/>
    <s v="Bluetooth Speaker"/>
    <n v="3"/>
    <n v="0.05"/>
    <n v="5479.79"/>
    <n v="1517.27"/>
    <x v="2"/>
    <b v="0"/>
    <b v="0"/>
    <b v="0"/>
    <m/>
  </r>
  <r>
    <n v="70"/>
    <s v="ORD-2025-0070"/>
    <d v="2025-11-15T00:00:00"/>
    <x v="2"/>
    <d v="2025-11-19T00:00:00"/>
    <s v="Same Day"/>
    <s v="CUST-0032"/>
    <s v="Neha Gupta"/>
    <x v="0"/>
    <x v="9"/>
    <s v="South"/>
    <s v="Office Supplies"/>
    <s v="File Folder"/>
    <n v="2"/>
    <n v="0.1"/>
    <n v="156.85"/>
    <n v="14.23"/>
    <x v="2"/>
    <b v="0"/>
    <b v="0"/>
    <b v="0"/>
    <m/>
  </r>
  <r>
    <n v="71"/>
    <s v="ORD-2025-0071"/>
    <d v="2025-11-09T00:00:00"/>
    <x v="2"/>
    <d v="2025-11-12T00:00:00"/>
    <s v="Standard"/>
    <s v="CUST-0054"/>
    <s v="Sanjay Menon"/>
    <x v="1"/>
    <x v="3"/>
    <s v="South"/>
    <s v="Office Supplies"/>
    <s v="File Folder"/>
    <n v="4"/>
    <n v="0.1"/>
    <n v="315.29000000000002"/>
    <n v="43.71"/>
    <x v="0"/>
    <b v="0"/>
    <b v="0"/>
    <b v="0"/>
    <m/>
  </r>
  <r>
    <n v="72"/>
    <s v="ORD-2025-0072"/>
    <d v="2025-04-30T00:00:00"/>
    <x v="10"/>
    <d v="2025-05-03T00:00:00"/>
    <s v="Standard"/>
    <s v="CUST-0142"/>
    <s v="Divya Rao"/>
    <x v="0"/>
    <x v="6"/>
    <s v="South"/>
    <s v="Furniture"/>
    <s v="Study Table"/>
    <n v="1"/>
    <n v="0.15"/>
    <n v="6224.39"/>
    <n v="563.03"/>
    <x v="2"/>
    <b v="0"/>
    <b v="0"/>
    <b v="0"/>
    <m/>
  </r>
  <r>
    <n v="73"/>
    <s v="ORD-2025-0073"/>
    <d v="2025-10-12T00:00:00"/>
    <x v="9"/>
    <d v="2025-10-16T00:00:00"/>
    <s v="Express"/>
    <s v="CUST-0011"/>
    <s v="Neha Gupta"/>
    <x v="2"/>
    <x v="6"/>
    <s v="South"/>
    <s v="Furniture"/>
    <s v="Folding Chair"/>
    <n v="1"/>
    <n v="0.2"/>
    <n v="1468.55"/>
    <n v="25.53"/>
    <x v="1"/>
    <b v="0"/>
    <b v="0"/>
    <b v="0"/>
    <m/>
  </r>
  <r>
    <n v="74"/>
    <s v="ORD-2025-0074"/>
    <d v="2025-08-14T00:00:00"/>
    <x v="6"/>
    <d v="2025-08-19T00:00:00"/>
    <s v="Express"/>
    <s v="CUST-0024"/>
    <s v="Nikhil Jain"/>
    <x v="2"/>
    <x v="8"/>
    <s v="West"/>
    <s v="Electronics"/>
    <s v="USB-C Hub"/>
    <n v="1"/>
    <n v="0.15"/>
    <n v="1247.96"/>
    <n v="34.229999999999997"/>
    <x v="3"/>
    <b v="0"/>
    <b v="0"/>
    <b v="0"/>
    <m/>
  </r>
  <r>
    <n v="75"/>
    <s v="ORD-2025-0075"/>
    <d v="2025-02-09T00:00:00"/>
    <x v="3"/>
    <d v="2025-02-11T00:00:00"/>
    <s v="Standard"/>
    <s v="CUST-0235"/>
    <s v="Meera Shah"/>
    <x v="2"/>
    <x v="3"/>
    <s v="South"/>
    <s v="Home &amp; Kitchen"/>
    <s v="Water Bottle"/>
    <n v="1"/>
    <n v="0.05"/>
    <n v="480.38"/>
    <n v="145.26"/>
    <x v="3"/>
    <b v="0"/>
    <b v="0"/>
    <b v="0"/>
    <m/>
  </r>
  <r>
    <n v="76"/>
    <s v="ORD-2025-0076"/>
    <d v="2025-02-11T00:00:00"/>
    <x v="3"/>
    <d v="2025-02-15T00:00:00"/>
    <s v="Standard"/>
    <s v="CUST-0230"/>
    <s v="Pooja Das"/>
    <x v="0"/>
    <x v="0"/>
    <s v="East"/>
    <s v="Electronics"/>
    <s v="Power Bank"/>
    <n v="3"/>
    <n v="0.1"/>
    <n v="3236.68"/>
    <n v="958.21"/>
    <x v="1"/>
    <b v="0"/>
    <b v="0"/>
    <b v="0"/>
    <m/>
  </r>
  <r>
    <n v="77"/>
    <s v="ORD-2025-0077"/>
    <d v="2025-08-25T00:00:00"/>
    <x v="6"/>
    <d v="2025-08-26T00:00:00"/>
    <s v="Express"/>
    <s v="CUST-0213"/>
    <s v="Meera Shah"/>
    <x v="0"/>
    <x v="11"/>
    <s v="West"/>
    <s v="Electronics"/>
    <s v="Wireless Mouse"/>
    <n v="3"/>
    <n v="0.05"/>
    <n v="2275.85"/>
    <n v="514.87"/>
    <x v="1"/>
    <b v="0"/>
    <b v="0"/>
    <b v="0"/>
    <m/>
  </r>
  <r>
    <n v="78"/>
    <s v="ORD-2025-0078"/>
    <d v="2025-05-29T00:00:00"/>
    <x v="0"/>
    <d v="2025-06-01T00:00:00"/>
    <s v="Express"/>
    <s v="CUST-0039"/>
    <s v="Kavya Iyer"/>
    <x v="1"/>
    <x v="8"/>
    <s v="West"/>
    <s v="Furniture"/>
    <s v="Bookshelf"/>
    <n v="2"/>
    <n v="0"/>
    <n v="9003.64"/>
    <n v="2646.58"/>
    <x v="3"/>
    <b v="0"/>
    <b v="0"/>
    <b v="0"/>
    <m/>
  </r>
  <r>
    <n v="79"/>
    <s v="ORD-2025-0079"/>
    <d v="2025-05-28T00:00:00"/>
    <x v="0"/>
    <d v="2025-05-31T00:00:00"/>
    <s v="Standard"/>
    <s v="CUST-0109"/>
    <s v="Aditya Kumar"/>
    <x v="0"/>
    <x v="10"/>
    <s v="North"/>
    <s v="Furniture"/>
    <s v="Folding Chair"/>
    <n v="1"/>
    <n v="0"/>
    <n v="1816.1"/>
    <n v="682.22"/>
    <x v="2"/>
    <b v="0"/>
    <b v="0"/>
    <b v="0"/>
    <m/>
  </r>
  <r>
    <n v="80"/>
    <s v="ORD-2025-0080"/>
    <d v="2025-04-14T00:00:00"/>
    <x v="10"/>
    <d v="2025-04-16T00:00:00"/>
    <s v="Standard"/>
    <s v="CUST-0108"/>
    <s v="Pooja Das"/>
    <x v="2"/>
    <x v="10"/>
    <s v="North"/>
    <s v="Electronics"/>
    <s v="Wireless Mouse"/>
    <n v="3"/>
    <n v="0.1"/>
    <n v="2148.6"/>
    <n v="626.05999999999995"/>
    <x v="1"/>
    <b v="0"/>
    <b v="0"/>
    <b v="0"/>
    <m/>
  </r>
  <r>
    <n v="81"/>
    <s v="ORD-2025-0081"/>
    <d v="2025-01-17T00:00:00"/>
    <x v="1"/>
    <d v="2025-01-19T00:00:00"/>
    <s v="Standard"/>
    <s v="CUST-0080"/>
    <s v="Manish Yadav"/>
    <x v="1"/>
    <x v="1"/>
    <s v="East"/>
    <s v="Electronics"/>
    <s v="Power Bank"/>
    <n v="3"/>
    <n v="0.25"/>
    <n v="2749.16"/>
    <n v="144"/>
    <x v="4"/>
    <b v="0"/>
    <b v="0"/>
    <b v="0"/>
    <m/>
  </r>
  <r>
    <n v="82"/>
    <s v="ORD-2025-0082"/>
    <d v="2025-12-31T00:00:00"/>
    <x v="4"/>
    <d v="2026-01-02T00:00:00"/>
    <s v="Same Day"/>
    <s v="CUST-0151"/>
    <s v="Vikram Rao"/>
    <x v="0"/>
    <x v="3"/>
    <s v="South"/>
    <s v="Furniture"/>
    <s v="Office Chair"/>
    <n v="2"/>
    <n v="0"/>
    <n v="10491.46"/>
    <n v="2120.7199999999998"/>
    <x v="2"/>
    <b v="0"/>
    <b v="0"/>
    <b v="0"/>
    <m/>
  </r>
  <r>
    <n v="83"/>
    <s v="ORD-2025-0083"/>
    <d v="2025-04-13T00:00:00"/>
    <x v="10"/>
    <d v="2025-04-14T00:00:00"/>
    <s v="Standard"/>
    <s v="CUST-0045"/>
    <s v="Priya Nair"/>
    <x v="2"/>
    <x v="0"/>
    <s v="East"/>
    <s v="Electronics"/>
    <s v="Keyboard"/>
    <n v="4"/>
    <n v="0.1"/>
    <n v="4746.62"/>
    <n v="1146.1099999999999"/>
    <x v="3"/>
    <b v="0"/>
    <b v="0"/>
    <b v="0"/>
    <m/>
  </r>
  <r>
    <n v="84"/>
    <s v="ORD-2025-0084"/>
    <d v="2025-12-15T00:00:00"/>
    <x v="4"/>
    <d v="2025-12-16T00:00:00"/>
    <s v="Standard"/>
    <s v="CUST-0108"/>
    <s v="Priya Nair"/>
    <x v="0"/>
    <x v="2"/>
    <s v="West"/>
    <s v="Office Supplies"/>
    <s v="File Folder"/>
    <n v="1"/>
    <n v="0.1"/>
    <n v="82.93"/>
    <n v="17.77"/>
    <x v="4"/>
    <b v="0"/>
    <b v="0"/>
    <b v="0"/>
    <m/>
  </r>
  <r>
    <n v="85"/>
    <s v="ORD-2025-0085"/>
    <d v="2025-02-08T00:00:00"/>
    <x v="3"/>
    <d v="2025-02-12T00:00:00"/>
    <s v="Standard"/>
    <s v="CUST-0236"/>
    <s v="Divya Rao"/>
    <x v="2"/>
    <x v="3"/>
    <s v="South"/>
    <s v="Electronics"/>
    <s v="Power Bank"/>
    <n v="4"/>
    <n v="0.15"/>
    <n v="3894.25"/>
    <n v="835.8"/>
    <x v="0"/>
    <b v="0"/>
    <b v="0"/>
    <b v="0"/>
    <m/>
  </r>
  <r>
    <n v="86"/>
    <s v="ORD-2025-0086"/>
    <d v="2025-06-26T00:00:00"/>
    <x v="8"/>
    <d v="2025-06-29T00:00:00"/>
    <s v="Express"/>
    <s v="CUST-0146"/>
    <s v="Arjun Patel"/>
    <x v="0"/>
    <x v="2"/>
    <s v="West"/>
    <s v="Home &amp; Kitchen"/>
    <s v="Water Bottle"/>
    <n v="2"/>
    <n v="0.15"/>
    <n v="845.53"/>
    <n v="167.49"/>
    <x v="1"/>
    <b v="0"/>
    <b v="0"/>
    <b v="0"/>
    <m/>
  </r>
  <r>
    <n v="87"/>
    <s v="ORD-2025-0087"/>
    <d v="2025-07-06T00:00:00"/>
    <x v="7"/>
    <d v="2025-07-08T00:00:00"/>
    <s v="Standard"/>
    <s v="CUST-0039"/>
    <s v="Meera Shah"/>
    <x v="1"/>
    <x v="9"/>
    <s v="South"/>
    <s v="Home &amp; Kitchen"/>
    <s v="Water Bottle"/>
    <n v="2"/>
    <n v="0"/>
    <n v="1027.74"/>
    <n v="357.29"/>
    <x v="5"/>
    <b v="0"/>
    <b v="0"/>
    <b v="0"/>
    <m/>
  </r>
  <r>
    <n v="88"/>
    <s v="ORD-2025-0088"/>
    <d v="2025-03-04T00:00:00"/>
    <x v="11"/>
    <d v="2025-03-09T00:00:00"/>
    <s v="Standard"/>
    <s v="CUST-0057"/>
    <s v="Rohan Mehta"/>
    <x v="0"/>
    <x v="7"/>
    <s v="South"/>
    <s v="Home &amp; Kitchen"/>
    <s v="Storage Box"/>
    <n v="1"/>
    <n v="0.2"/>
    <n v="742.98"/>
    <n v="163.96"/>
    <x v="2"/>
    <b v="0"/>
    <b v="0"/>
    <b v="0"/>
    <m/>
  </r>
  <r>
    <n v="89"/>
    <s v="ORD-2025-0089"/>
    <d v="2025-04-09T00:00:00"/>
    <x v="10"/>
    <d v="2025-04-13T00:00:00"/>
    <s v="Standard"/>
    <s v="CUST-0178"/>
    <s v="Ishita Roy"/>
    <x v="1"/>
    <x v="11"/>
    <s v="West"/>
    <s v="Office Supplies"/>
    <s v="Calculator"/>
    <n v="5"/>
    <n v="0.2"/>
    <n v="2728.68"/>
    <n v="600.65"/>
    <x v="1"/>
    <b v="0"/>
    <b v="0"/>
    <b v="0"/>
    <m/>
  </r>
  <r>
    <n v="90"/>
    <s v="ORD-2025-0090"/>
    <d v="2025-03-09T00:00:00"/>
    <x v="11"/>
    <d v="2025-03-14T00:00:00"/>
    <s v="Standard"/>
    <s v="CUST-0220"/>
    <s v="Rohan Mehta"/>
    <x v="0"/>
    <x v="10"/>
    <s v="North"/>
    <s v="Home &amp; Kitchen"/>
    <s v="Electric Kettle"/>
    <n v="3"/>
    <n v="0"/>
    <n v="5176.53"/>
    <n v="883.26"/>
    <x v="4"/>
    <b v="0"/>
    <b v="0"/>
    <b v="0"/>
    <m/>
  </r>
  <r>
    <n v="91"/>
    <s v="ORD-2025-0091"/>
    <d v="2025-05-04T00:00:00"/>
    <x v="0"/>
    <d v="2025-05-07T00:00:00"/>
    <s v="Standard"/>
    <s v="CUST-0060"/>
    <s v="Divya Rao"/>
    <x v="1"/>
    <x v="8"/>
    <s v="West"/>
    <s v="Electronics"/>
    <s v="Wireless Mouse"/>
    <n v="3"/>
    <n v="0.05"/>
    <n v="2328.0300000000002"/>
    <n v="604.16999999999996"/>
    <x v="1"/>
    <b v="0"/>
    <b v="0"/>
    <b v="0"/>
    <m/>
  </r>
  <r>
    <n v="92"/>
    <s v="ORD-2025-0092"/>
    <d v="2025-12-20T00:00:00"/>
    <x v="4"/>
    <d v="2025-12-23T00:00:00"/>
    <s v="Standard"/>
    <s v="CUST-0080"/>
    <s v="Kavya Iyer"/>
    <x v="0"/>
    <x v="6"/>
    <s v="South"/>
    <s v="Home &amp; Kitchen"/>
    <s v="Electric Kettle"/>
    <n v="3"/>
    <n v="0.05"/>
    <n v="5314.03"/>
    <n v="1175.71"/>
    <x v="1"/>
    <b v="0"/>
    <b v="0"/>
    <b v="0"/>
    <m/>
  </r>
  <r>
    <n v="93"/>
    <s v="ORD-2025-0093"/>
    <d v="2025-12-22T00:00:00"/>
    <x v="4"/>
    <d v="2025-12-25T00:00:00"/>
    <s v="Express"/>
    <s v="CUST-0058"/>
    <s v="Manish Yadav"/>
    <x v="2"/>
    <x v="0"/>
    <s v="East"/>
    <s v="Electronics"/>
    <s v="Power Bank"/>
    <n v="1"/>
    <n v="0.2"/>
    <n v="983.44"/>
    <n v="202.03"/>
    <x v="1"/>
    <b v="0"/>
    <b v="0"/>
    <b v="0"/>
    <m/>
  </r>
  <r>
    <n v="94"/>
    <s v="ORD-2025-0094"/>
    <d v="2025-07-25T00:00:00"/>
    <x v="7"/>
    <d v="2025-07-30T00:00:00"/>
    <s v="Standard"/>
    <s v="CUST-0046"/>
    <s v="Nikhil Jain"/>
    <x v="1"/>
    <x v="2"/>
    <s v="West"/>
    <s v="Home &amp; Kitchen"/>
    <s v="Electric Kettle"/>
    <n v="1"/>
    <n v="0.2"/>
    <n v="1440.27"/>
    <n v="322.58999999999997"/>
    <x v="1"/>
    <b v="0"/>
    <b v="0"/>
    <b v="0"/>
    <m/>
  </r>
  <r>
    <n v="95"/>
    <s v="ORD-2025-0095"/>
    <d v="2025-03-15T00:00:00"/>
    <x v="11"/>
    <d v="2025-03-16T00:00:00"/>
    <s v="Express"/>
    <s v="CUST-0222"/>
    <s v="Arjun Patel"/>
    <x v="0"/>
    <x v="6"/>
    <s v="South"/>
    <s v="Office Supplies"/>
    <s v="Calculator"/>
    <n v="1"/>
    <n v="0.05"/>
    <n v="646.09"/>
    <n v="198.65"/>
    <x v="0"/>
    <b v="0"/>
    <b v="0"/>
    <b v="0"/>
    <m/>
  </r>
  <r>
    <n v="96"/>
    <s v="ORD-2025-0096"/>
    <d v="2025-07-12T00:00:00"/>
    <x v="7"/>
    <d v="2025-07-14T00:00:00"/>
    <s v="Same Day"/>
    <s v="CUST-0175"/>
    <s v="Pooja Das"/>
    <x v="1"/>
    <x v="7"/>
    <s v="South"/>
    <s v="Furniture"/>
    <s v="Study Table"/>
    <n v="1"/>
    <n v="0.15"/>
    <n v="5696.13"/>
    <n v="163.54"/>
    <x v="1"/>
    <b v="0"/>
    <b v="0"/>
    <b v="0"/>
    <m/>
  </r>
  <r>
    <n v="97"/>
    <s v="ORD-2025-0097"/>
    <d v="2025-02-27T00:00:00"/>
    <x v="3"/>
    <d v="2025-03-01T00:00:00"/>
    <s v="Same Day"/>
    <s v="CUST-0099"/>
    <s v="Kiran Joshi"/>
    <x v="2"/>
    <x v="0"/>
    <s v="East"/>
    <s v="Home &amp; Kitchen"/>
    <s v="Electric Kettle"/>
    <n v="3"/>
    <n v="0.05"/>
    <n v="4952.28"/>
    <n v="1100.4000000000001"/>
    <x v="3"/>
    <b v="0"/>
    <b v="0"/>
    <b v="0"/>
    <m/>
  </r>
  <r>
    <n v="98"/>
    <s v="ORD-2025-0098"/>
    <d v="2025-03-25T00:00:00"/>
    <x v="11"/>
    <d v="2025-03-28T00:00:00"/>
    <s v="Standard"/>
    <s v="CUST-0092"/>
    <s v="Sanjay Menon"/>
    <x v="0"/>
    <x v="7"/>
    <s v="South"/>
    <s v="Home &amp; Kitchen"/>
    <s v="Lunch Box"/>
    <n v="4"/>
    <n v="0.15"/>
    <n v="2322.71"/>
    <n v="57.47"/>
    <x v="2"/>
    <b v="0"/>
    <b v="0"/>
    <b v="0"/>
    <m/>
  </r>
  <r>
    <n v="99"/>
    <s v="ORD-2025-0099"/>
    <d v="2025-01-15T00:00:00"/>
    <x v="1"/>
    <d v="2025-01-17T00:00:00"/>
    <s v="Express"/>
    <s v="CUST-0012"/>
    <s v="Ishita Roy"/>
    <x v="2"/>
    <x v="8"/>
    <s v="West"/>
    <s v="Office Supplies"/>
    <s v="Notebook"/>
    <n v="5"/>
    <n v="0.1"/>
    <n v="786.76"/>
    <n v="223.16"/>
    <x v="3"/>
    <b v="0"/>
    <b v="0"/>
    <b v="0"/>
    <m/>
  </r>
  <r>
    <n v="100"/>
    <s v="ORD-2025-0100"/>
    <d v="2025-01-27T00:00:00"/>
    <x v="1"/>
    <d v="2025-01-29T00:00:00"/>
    <s v="Standard"/>
    <s v="CUST-0181"/>
    <s v="Rahul Verma"/>
    <x v="0"/>
    <x v="9"/>
    <s v="South"/>
    <s v="Home &amp; Kitchen"/>
    <s v="Water Bottle"/>
    <n v="1"/>
    <n v="0"/>
    <n v="512.03"/>
    <n v="140.15"/>
    <x v="3"/>
    <b v="0"/>
    <b v="0"/>
    <b v="0"/>
    <m/>
  </r>
  <r>
    <n v="101"/>
    <s v="ORD-2025-0101"/>
    <d v="2025-11-15T00:00:00"/>
    <x v="2"/>
    <d v="2025-11-20T00:00:00"/>
    <s v="Standard"/>
    <s v="CUST-0205"/>
    <s v="Nikhil Jain"/>
    <x v="0"/>
    <x v="1"/>
    <s v="East"/>
    <s v="Electronics"/>
    <s v="Wireless Mouse"/>
    <n v="1"/>
    <n v="0.1"/>
    <n v="702.49"/>
    <n v="79.66"/>
    <x v="1"/>
    <b v="0"/>
    <b v="0"/>
    <b v="0"/>
    <m/>
  </r>
  <r>
    <n v="102"/>
    <s v="ORD-2025-0102"/>
    <d v="2025-09-24T00:00:00"/>
    <x v="5"/>
    <d v="2025-09-27T00:00:00"/>
    <s v="Same Day"/>
    <s v="CUST-0160"/>
    <s v="Sanjay Menon"/>
    <x v="0"/>
    <x v="4"/>
    <s v="North"/>
    <s v="Office Supplies"/>
    <s v="Desk Organizer"/>
    <n v="4"/>
    <n v="0.15"/>
    <n v="1469.55"/>
    <n v="266.41000000000003"/>
    <x v="2"/>
    <b v="0"/>
    <b v="0"/>
    <b v="0"/>
    <m/>
  </r>
  <r>
    <n v="103"/>
    <s v="ORD-2025-0103"/>
    <d v="2025-01-02T00:00:00"/>
    <x v="1"/>
    <d v="2025-01-03T00:00:00"/>
    <s v="Standard"/>
    <s v="CUST-0116"/>
    <s v="Vikram Rao"/>
    <x v="0"/>
    <x v="10"/>
    <s v="North"/>
    <s v="Furniture"/>
    <s v="Study Table"/>
    <n v="1"/>
    <n v="0.05"/>
    <n v="6375.02"/>
    <n v="1544.83"/>
    <x v="3"/>
    <b v="0"/>
    <b v="0"/>
    <b v="0"/>
    <m/>
  </r>
  <r>
    <n v="104"/>
    <s v="ORD-2025-0104"/>
    <d v="2025-12-26T00:00:00"/>
    <x v="4"/>
    <d v="2025-12-29T00:00:00"/>
    <s v="Standard"/>
    <s v="CUST-0073"/>
    <s v="Vikram Rao"/>
    <x v="1"/>
    <x v="3"/>
    <s v="South"/>
    <s v="Furniture"/>
    <s v="Study Table"/>
    <n v="1"/>
    <n v="0.15"/>
    <n v="5725.59"/>
    <n v="131.68"/>
    <x v="1"/>
    <b v="0"/>
    <b v="0"/>
    <b v="0"/>
    <m/>
  </r>
  <r>
    <n v="105"/>
    <s v="ORD-2025-0105"/>
    <d v="2025-09-08T00:00:00"/>
    <x v="5"/>
    <d v="2025-09-11T00:00:00"/>
    <s v="Express"/>
    <s v="CUST-0154"/>
    <s v="Rahul Verma"/>
    <x v="0"/>
    <x v="1"/>
    <s v="East"/>
    <s v="Home &amp; Kitchen"/>
    <s v="Coffee Mug"/>
    <n v="3"/>
    <n v="0.05"/>
    <n v="885.79"/>
    <n v="231.41"/>
    <x v="1"/>
    <b v="0"/>
    <b v="0"/>
    <b v="0"/>
    <m/>
  </r>
  <r>
    <n v="106"/>
    <s v="ORD-2025-0106"/>
    <d v="2025-01-25T00:00:00"/>
    <x v="1"/>
    <d v="2025-01-30T00:00:00"/>
    <s v="Standard"/>
    <s v="CUST-0173"/>
    <s v="Kavya Iyer"/>
    <x v="2"/>
    <x v="11"/>
    <s v="West"/>
    <s v="Office Supplies"/>
    <s v="Pen Set"/>
    <n v="2"/>
    <n v="0.15"/>
    <n v="206.36"/>
    <n v="41.77"/>
    <x v="3"/>
    <b v="0"/>
    <b v="0"/>
    <b v="0"/>
    <m/>
  </r>
  <r>
    <n v="107"/>
    <s v="ORD-2025-0107"/>
    <d v="2025-02-06T00:00:00"/>
    <x v="3"/>
    <d v="2025-02-07T00:00:00"/>
    <s v="Standard"/>
    <s v="CUST-0189"/>
    <s v="Sanjay Menon"/>
    <x v="0"/>
    <x v="3"/>
    <s v="South"/>
    <s v="Electronics"/>
    <s v="USB-C Hub"/>
    <n v="1"/>
    <n v="0.15"/>
    <n v="1273.29"/>
    <n v="319.47000000000003"/>
    <x v="3"/>
    <b v="0"/>
    <b v="0"/>
    <b v="0"/>
    <m/>
  </r>
  <r>
    <n v="108"/>
    <s v="ORD-2025-0108"/>
    <d v="2025-12-30T00:00:00"/>
    <x v="4"/>
    <d v="2026-01-03T00:00:00"/>
    <s v="Standard"/>
    <s v="CUST-0105"/>
    <s v="Sneha Reddy"/>
    <x v="0"/>
    <x v="10"/>
    <s v="North"/>
    <s v="Home &amp; Kitchen"/>
    <s v="Coffee Mug"/>
    <n v="2"/>
    <n v="0.05"/>
    <n v="568.38"/>
    <n v="132.63999999999999"/>
    <x v="1"/>
    <b v="0"/>
    <b v="0"/>
    <b v="0"/>
    <m/>
  </r>
  <r>
    <n v="109"/>
    <s v="ORD-2025-0109"/>
    <d v="2025-07-05T00:00:00"/>
    <x v="7"/>
    <d v="2025-07-10T00:00:00"/>
    <s v="Express"/>
    <s v="CUST-0143"/>
    <s v="Aarav Sharma"/>
    <x v="0"/>
    <x v="7"/>
    <s v="South"/>
    <s v="Furniture"/>
    <s v="Study Table"/>
    <n v="2"/>
    <n v="0.05"/>
    <n v="12913.34"/>
    <n v="2490.52"/>
    <x v="2"/>
    <b v="0"/>
    <b v="0"/>
    <b v="0"/>
    <m/>
  </r>
  <r>
    <n v="110"/>
    <s v="ORD-2025-0110"/>
    <d v="2025-10-20T00:00:00"/>
    <x v="9"/>
    <d v="2025-10-25T00:00:00"/>
    <s v="Standard"/>
    <s v="CUST-0125"/>
    <s v="Sanjay Menon"/>
    <x v="1"/>
    <x v="1"/>
    <s v="East"/>
    <s v="Home &amp; Kitchen"/>
    <s v="Coffee Mug"/>
    <n v="2"/>
    <n v="0.1"/>
    <n v="515.01"/>
    <n v="91.97"/>
    <x v="3"/>
    <b v="0"/>
    <b v="0"/>
    <b v="0"/>
    <m/>
  </r>
  <r>
    <n v="111"/>
    <s v="ORD-2025-0111"/>
    <d v="2025-06-12T00:00:00"/>
    <x v="8"/>
    <d v="2025-06-17T00:00:00"/>
    <s v="Standard"/>
    <s v="CUST-0164"/>
    <s v="Kiran Joshi"/>
    <x v="0"/>
    <x v="0"/>
    <s v="East"/>
    <s v="Furniture"/>
    <s v="Office Chair"/>
    <n v="1"/>
    <n v="0.05"/>
    <n v="4967.57"/>
    <n v="911.05"/>
    <x v="1"/>
    <b v="0"/>
    <b v="0"/>
    <b v="0"/>
    <m/>
  </r>
  <r>
    <n v="112"/>
    <s v="ORD-2025-0112"/>
    <d v="2025-05-13T00:00:00"/>
    <x v="0"/>
    <d v="2025-05-17T00:00:00"/>
    <s v="Standard"/>
    <s v="CUST-0118"/>
    <s v="Shreya Kapoor"/>
    <x v="0"/>
    <x v="5"/>
    <s v="North"/>
    <s v="Home &amp; Kitchen"/>
    <s v="Coffee Mug"/>
    <n v="3"/>
    <n v="0"/>
    <n v="904.88"/>
    <n v="178.56"/>
    <x v="2"/>
    <b v="0"/>
    <b v="0"/>
    <b v="0"/>
    <m/>
  </r>
  <r>
    <n v="113"/>
    <s v="ORD-2025-0113"/>
    <d v="2025-11-08T00:00:00"/>
    <x v="2"/>
    <d v="2025-11-12T00:00:00"/>
    <s v="Standard"/>
    <s v="CUST-0148"/>
    <s v="Ishita Roy"/>
    <x v="2"/>
    <x v="8"/>
    <s v="West"/>
    <s v="Office Supplies"/>
    <s v="File Folder"/>
    <n v="3"/>
    <n v="0.15"/>
    <n v="237.86"/>
    <n v="40.32"/>
    <x v="1"/>
    <b v="0"/>
    <b v="0"/>
    <b v="0"/>
    <m/>
  </r>
  <r>
    <n v="114"/>
    <s v="ORD-2025-0114"/>
    <d v="2025-09-02T00:00:00"/>
    <x v="5"/>
    <d v="2025-09-05T00:00:00"/>
    <s v="Standard"/>
    <s v="CUST-0234"/>
    <s v="Shreya Kapoor"/>
    <x v="2"/>
    <x v="9"/>
    <s v="South"/>
    <s v="Electronics"/>
    <s v="Keyboard"/>
    <n v="1"/>
    <n v="0.1"/>
    <n v="1147.6099999999999"/>
    <n v="210.45"/>
    <x v="0"/>
    <b v="0"/>
    <b v="0"/>
    <b v="0"/>
    <m/>
  </r>
  <r>
    <n v="115"/>
    <s v="ORD-2025-0115"/>
    <d v="2025-08-11T00:00:00"/>
    <x v="6"/>
    <d v="2025-08-14T00:00:00"/>
    <s v="Standard"/>
    <s v="CUST-0128"/>
    <s v="Kiran Joshi"/>
    <x v="0"/>
    <x v="4"/>
    <s v="North"/>
    <s v="Electronics"/>
    <s v="Keyboard"/>
    <n v="2"/>
    <n v="0.2"/>
    <n v="2076.08"/>
    <n v="118.82"/>
    <x v="0"/>
    <b v="0"/>
    <b v="0"/>
    <b v="0"/>
    <m/>
  </r>
  <r>
    <n v="116"/>
    <s v="ORD-2025-0116"/>
    <d v="2025-12-18T00:00:00"/>
    <x v="4"/>
    <d v="2025-12-23T00:00:00"/>
    <s v="Express"/>
    <s v="CUST-0119"/>
    <s v="Aditya Kumar"/>
    <x v="1"/>
    <x v="8"/>
    <s v="West"/>
    <s v="Furniture"/>
    <s v="Study Table"/>
    <n v="1"/>
    <n v="0.15"/>
    <n v="6224.8"/>
    <n v="1528.04"/>
    <x v="3"/>
    <b v="0"/>
    <b v="0"/>
    <b v="0"/>
    <m/>
  </r>
  <r>
    <n v="117"/>
    <s v="ORD-2025-0117"/>
    <d v="2025-10-16T00:00:00"/>
    <x v="9"/>
    <d v="2025-10-17T00:00:00"/>
    <s v="Standard"/>
    <s v="CUST-0069"/>
    <s v="Rohan Mehta"/>
    <x v="0"/>
    <x v="1"/>
    <s v="East"/>
    <s v="Furniture"/>
    <s v="Office Chair"/>
    <n v="1"/>
    <n v="0.15"/>
    <n v="4541.25"/>
    <n v="407.23"/>
    <x v="2"/>
    <b v="0"/>
    <b v="0"/>
    <b v="0"/>
    <m/>
  </r>
  <r>
    <n v="118"/>
    <s v="ORD-2025-0118"/>
    <d v="2025-03-14T00:00:00"/>
    <x v="11"/>
    <d v="2025-03-19T00:00:00"/>
    <s v="Express"/>
    <s v="CUST-0125"/>
    <s v="Ananya Singh"/>
    <x v="0"/>
    <x v="9"/>
    <s v="South"/>
    <s v="Home &amp; Kitchen"/>
    <s v="Water Bottle"/>
    <n v="2"/>
    <n v="0.2"/>
    <n v="803.75"/>
    <n v="37.6"/>
    <x v="2"/>
    <b v="0"/>
    <b v="0"/>
    <b v="0"/>
    <m/>
  </r>
  <r>
    <n v="119"/>
    <s v="ORD-2025-0119"/>
    <d v="2025-05-09T00:00:00"/>
    <x v="0"/>
    <d v="2025-05-10T00:00:00"/>
    <s v="Express"/>
    <s v="CUST-0143"/>
    <s v="Manish Yadav"/>
    <x v="0"/>
    <x v="4"/>
    <s v="North"/>
    <s v="Home &amp; Kitchen"/>
    <s v="Coffee Mug"/>
    <n v="1"/>
    <n v="0.2"/>
    <n v="235.09"/>
    <n v="12.02"/>
    <x v="3"/>
    <b v="0"/>
    <b v="0"/>
    <b v="0"/>
    <m/>
  </r>
  <r>
    <n v="120"/>
    <s v="ORD-2025-0120"/>
    <d v="2025-12-21T00:00:00"/>
    <x v="4"/>
    <d v="2025-12-23T00:00:00"/>
    <s v="Standard"/>
    <s v="CUST-0072"/>
    <s v="Divya Rao"/>
    <x v="2"/>
    <x v="6"/>
    <s v="South"/>
    <s v="Electronics"/>
    <s v="Wireless Mouse"/>
    <n v="1"/>
    <n v="0"/>
    <n v="819.72"/>
    <n v="244.37"/>
    <x v="0"/>
    <b v="0"/>
    <b v="0"/>
    <b v="0"/>
    <m/>
  </r>
  <r>
    <n v="121"/>
    <s v="ORD-2025-0121"/>
    <d v="2025-10-27T00:00:00"/>
    <x v="9"/>
    <d v="2025-10-31T00:00:00"/>
    <s v="Express"/>
    <s v="CUST-0242"/>
    <s v="Pooja Das"/>
    <x v="2"/>
    <x v="1"/>
    <s v="East"/>
    <s v="Home &amp; Kitchen"/>
    <s v="Water Bottle"/>
    <n v="1"/>
    <n v="0.1"/>
    <n v="453.95"/>
    <n v="68.23"/>
    <x v="1"/>
    <b v="0"/>
    <b v="0"/>
    <b v="0"/>
    <m/>
  </r>
  <r>
    <n v="122"/>
    <s v="ORD-2025-0122"/>
    <d v="2025-02-20T00:00:00"/>
    <x v="3"/>
    <d v="2025-02-24T00:00:00"/>
    <s v="Standard"/>
    <s v="CUST-0125"/>
    <s v="Sneha Reddy"/>
    <x v="0"/>
    <x v="1"/>
    <s v="East"/>
    <s v="Electronics"/>
    <s v="Power Bank"/>
    <n v="5"/>
    <n v="0.15"/>
    <n v="5317.13"/>
    <n v="1178.6300000000001"/>
    <x v="1"/>
    <b v="0"/>
    <b v="0"/>
    <b v="0"/>
    <m/>
  </r>
  <r>
    <n v="123"/>
    <s v="ORD-2025-0123"/>
    <d v="2025-06-07T00:00:00"/>
    <x v="8"/>
    <d v="2025-06-09T00:00:00"/>
    <s v="Express"/>
    <s v="CUST-0094"/>
    <s v="Aditya Kumar"/>
    <x v="0"/>
    <x v="6"/>
    <s v="South"/>
    <s v="Office Supplies"/>
    <s v="File Folder"/>
    <n v="2"/>
    <n v="0"/>
    <n v="178.2"/>
    <n v="31.44"/>
    <x v="4"/>
    <b v="0"/>
    <b v="0"/>
    <b v="0"/>
    <m/>
  </r>
  <r>
    <n v="124"/>
    <s v="ORD-2025-0124"/>
    <d v="2025-03-25T00:00:00"/>
    <x v="11"/>
    <d v="2025-03-29T00:00:00"/>
    <s v="Standard"/>
    <s v="CUST-0173"/>
    <s v="Neha Gupta"/>
    <x v="0"/>
    <x v="5"/>
    <s v="North"/>
    <s v="Home &amp; Kitchen"/>
    <s v="Water Bottle"/>
    <n v="1"/>
    <n v="0.2"/>
    <n v="382.71"/>
    <n v="-8.08"/>
    <x v="1"/>
    <b v="0"/>
    <b v="0"/>
    <b v="0"/>
    <m/>
  </r>
  <r>
    <n v="125"/>
    <s v="ORD-2025-0125"/>
    <d v="2025-09-28T00:00:00"/>
    <x v="5"/>
    <d v="2025-09-30T00:00:00"/>
    <s v="Same Day"/>
    <s v="CUST-0152"/>
    <s v="Divya Rao"/>
    <x v="1"/>
    <x v="11"/>
    <s v="West"/>
    <s v="Furniture"/>
    <s v="Folding Chair"/>
    <n v="2"/>
    <n v="0.15"/>
    <n v="2958.84"/>
    <n v="468.47"/>
    <x v="1"/>
    <b v="0"/>
    <b v="0"/>
    <b v="0"/>
    <m/>
  </r>
  <r>
    <n v="126"/>
    <s v="ORD-2025-0126"/>
    <d v="2025-05-26T00:00:00"/>
    <x v="0"/>
    <d v="2025-05-29T00:00:00"/>
    <s v="Standard"/>
    <s v="CUST-0175"/>
    <s v="Nikhil Jain"/>
    <x v="1"/>
    <x v="7"/>
    <s v="South"/>
    <s v="Office Supplies"/>
    <s v="Desk Organizer"/>
    <n v="2"/>
    <n v="0.15"/>
    <n v="774.48"/>
    <n v="135.16"/>
    <x v="4"/>
    <b v="0"/>
    <b v="0"/>
    <b v="0"/>
    <m/>
  </r>
  <r>
    <n v="127"/>
    <s v="ORD-2025-0127"/>
    <d v="2025-06-09T00:00:00"/>
    <x v="8"/>
    <d v="2025-06-12T00:00:00"/>
    <s v="Standard"/>
    <s v="CUST-0153"/>
    <s v="Priya Nair"/>
    <x v="0"/>
    <x v="11"/>
    <s v="West"/>
    <s v="Electronics"/>
    <s v="Wireless Mouse"/>
    <n v="1"/>
    <n v="0.1"/>
    <n v="699.82"/>
    <n v="141.97"/>
    <x v="3"/>
    <b v="0"/>
    <b v="0"/>
    <b v="0"/>
    <m/>
  </r>
  <r>
    <n v="128"/>
    <s v="ORD-2025-0128"/>
    <d v="2025-10-07T00:00:00"/>
    <x v="9"/>
    <d v="2025-10-11T00:00:00"/>
    <s v="Standard"/>
    <s v="CUST-0032"/>
    <s v="Vikram Rao"/>
    <x v="1"/>
    <x v="11"/>
    <s v="West"/>
    <s v="Furniture"/>
    <s v="Study Table"/>
    <n v="2"/>
    <n v="0.15"/>
    <n v="12277.51"/>
    <n v="1909.98"/>
    <x v="1"/>
    <b v="0"/>
    <b v="0"/>
    <b v="0"/>
    <m/>
  </r>
  <r>
    <n v="129"/>
    <s v="ORD-2025-0129"/>
    <d v="2025-03-11T00:00:00"/>
    <x v="11"/>
    <d v="2025-03-12T00:00:00"/>
    <s v="Express"/>
    <s v="CUST-0188"/>
    <s v="Arjun Patel"/>
    <x v="0"/>
    <x v="6"/>
    <s v="South"/>
    <s v="Furniture"/>
    <s v="Desk Lamp"/>
    <n v="2"/>
    <n v="0.05"/>
    <n v="2497.02"/>
    <n v="656.38"/>
    <x v="2"/>
    <b v="0"/>
    <b v="0"/>
    <b v="0"/>
    <m/>
  </r>
  <r>
    <n v="130"/>
    <s v="ORD-2025-0130"/>
    <d v="2025-09-16T00:00:00"/>
    <x v="5"/>
    <d v="2025-09-18T00:00:00"/>
    <s v="Standard"/>
    <s v="CUST-0098"/>
    <s v="Shreya Kapoor"/>
    <x v="0"/>
    <x v="6"/>
    <s v="South"/>
    <s v="Electronics"/>
    <s v="Keyboard"/>
    <n v="2"/>
    <n v="0.05"/>
    <n v="2590.06"/>
    <n v="635.41"/>
    <x v="3"/>
    <b v="0"/>
    <b v="0"/>
    <b v="0"/>
    <m/>
  </r>
  <r>
    <n v="131"/>
    <s v="ORD-2025-0131"/>
    <d v="2025-06-07T00:00:00"/>
    <x v="8"/>
    <d v="2025-06-08T00:00:00"/>
    <s v="Standard"/>
    <s v="CUST-0136"/>
    <s v="Shreya Kapoor"/>
    <x v="0"/>
    <x v="4"/>
    <s v="North"/>
    <s v="Home &amp; Kitchen"/>
    <s v="Electric Kettle"/>
    <n v="1"/>
    <n v="0.1"/>
    <n v="1671.2"/>
    <n v="555.38"/>
    <x v="1"/>
    <b v="0"/>
    <b v="0"/>
    <b v="0"/>
    <m/>
  </r>
  <r>
    <n v="132"/>
    <s v="ORD-2025-0132"/>
    <d v="2025-09-05T00:00:00"/>
    <x v="5"/>
    <d v="2025-09-09T00:00:00"/>
    <s v="Standard"/>
    <s v="CUST-0150"/>
    <s v="Ishita Roy"/>
    <x v="1"/>
    <x v="10"/>
    <s v="North"/>
    <s v="Electronics"/>
    <s v="Bluetooth Speaker"/>
    <n v="1"/>
    <n v="0.15"/>
    <n v="1572.77"/>
    <n v="140.33000000000001"/>
    <x v="4"/>
    <b v="0"/>
    <b v="0"/>
    <b v="0"/>
    <m/>
  </r>
  <r>
    <n v="133"/>
    <s v="ORD-2025-0133"/>
    <d v="2025-10-19T00:00:00"/>
    <x v="9"/>
    <d v="2025-10-20T00:00:00"/>
    <s v="Standard"/>
    <s v="CUST-0002"/>
    <s v="Rohan Mehta"/>
    <x v="0"/>
    <x v="11"/>
    <s v="West"/>
    <s v="Furniture"/>
    <s v="Desk Lamp"/>
    <n v="1"/>
    <n v="0"/>
    <n v="1263.58"/>
    <n v="369.43"/>
    <x v="4"/>
    <b v="0"/>
    <b v="0"/>
    <b v="0"/>
    <m/>
  </r>
  <r>
    <n v="134"/>
    <s v="ORD-2025-0134"/>
    <d v="2025-05-23T00:00:00"/>
    <x v="0"/>
    <d v="2025-05-27T00:00:00"/>
    <s v="Same Day"/>
    <s v="CUST-0042"/>
    <s v="Ananya Singh"/>
    <x v="2"/>
    <x v="7"/>
    <s v="South"/>
    <s v="Electronics"/>
    <s v="Keyboard"/>
    <n v="4"/>
    <n v="0"/>
    <n v="5378.6"/>
    <n v="1940.4"/>
    <x v="1"/>
    <b v="0"/>
    <b v="0"/>
    <b v="0"/>
    <m/>
  </r>
  <r>
    <n v="135"/>
    <s v="ORD-2025-0135"/>
    <d v="2025-06-12T00:00:00"/>
    <x v="8"/>
    <d v="2025-06-14T00:00:00"/>
    <s v="Same Day"/>
    <s v="CUST-0210"/>
    <s v="Neha Gupta"/>
    <x v="2"/>
    <x v="2"/>
    <s v="West"/>
    <s v="Home &amp; Kitchen"/>
    <s v="Lunch Box"/>
    <n v="1"/>
    <n v="0"/>
    <n v="674.8"/>
    <n v="210.16"/>
    <x v="1"/>
    <b v="0"/>
    <b v="0"/>
    <b v="0"/>
    <m/>
  </r>
  <r>
    <n v="136"/>
    <s v="ORD-2025-0136"/>
    <d v="2025-01-25T00:00:00"/>
    <x v="1"/>
    <d v="2025-01-30T00:00:00"/>
    <s v="Standard"/>
    <s v="CUST-0025"/>
    <s v="Sanjay Menon"/>
    <x v="2"/>
    <x v="9"/>
    <s v="South"/>
    <s v="Home &amp; Kitchen"/>
    <s v="Storage Box"/>
    <n v="2"/>
    <n v="0.15"/>
    <n v="1508.06"/>
    <n v="368.79"/>
    <x v="3"/>
    <b v="0"/>
    <b v="0"/>
    <b v="0"/>
    <m/>
  </r>
  <r>
    <n v="137"/>
    <s v="ORD-2025-0137"/>
    <d v="2025-06-09T00:00:00"/>
    <x v="8"/>
    <d v="2025-06-14T00:00:00"/>
    <s v="Standard"/>
    <s v="CUST-0031"/>
    <s v="Manish Yadav"/>
    <x v="1"/>
    <x v="7"/>
    <s v="South"/>
    <s v="Home &amp; Kitchen"/>
    <s v="Storage Box"/>
    <n v="2"/>
    <n v="0"/>
    <n v="1711.28"/>
    <n v="379.84"/>
    <x v="1"/>
    <b v="0"/>
    <b v="0"/>
    <b v="0"/>
    <m/>
  </r>
  <r>
    <n v="138"/>
    <s v="ORD-2025-0138"/>
    <d v="2025-03-24T00:00:00"/>
    <x v="11"/>
    <d v="2025-03-25T00:00:00"/>
    <s v="Standard"/>
    <s v="CUST-0115"/>
    <s v="Vikram Rao"/>
    <x v="1"/>
    <x v="3"/>
    <s v="South"/>
    <s v="Electronics"/>
    <s v="Bluetooth Speaker"/>
    <n v="1"/>
    <n v="0.15"/>
    <n v="1556.4"/>
    <n v="332.92"/>
    <x v="1"/>
    <b v="0"/>
    <b v="0"/>
    <b v="0"/>
    <m/>
  </r>
  <r>
    <n v="139"/>
    <s v="ORD-2025-0139"/>
    <d v="2025-11-04T00:00:00"/>
    <x v="2"/>
    <d v="2025-11-08T00:00:00"/>
    <s v="Standard"/>
    <s v="CUST-0116"/>
    <s v="Rahul Verma"/>
    <x v="0"/>
    <x v="8"/>
    <s v="West"/>
    <s v="Office Supplies"/>
    <s v="Notebook"/>
    <n v="2"/>
    <n v="0.05"/>
    <n v="342.92"/>
    <n v="89.04"/>
    <x v="3"/>
    <b v="0"/>
    <b v="0"/>
    <b v="0"/>
    <m/>
  </r>
  <r>
    <n v="140"/>
    <s v="ORD-2025-0140"/>
    <d v="2025-03-03T00:00:00"/>
    <x v="11"/>
    <d v="2025-03-06T00:00:00"/>
    <s v="Standard"/>
    <s v="CUST-0215"/>
    <s v="Vikram Rao"/>
    <x v="1"/>
    <x v="11"/>
    <s v="West"/>
    <s v="Home &amp; Kitchen"/>
    <s v="Electric Kettle"/>
    <n v="5"/>
    <n v="0"/>
    <n v="8921.76"/>
    <n v="1923.04"/>
    <x v="1"/>
    <b v="0"/>
    <b v="0"/>
    <b v="0"/>
    <m/>
  </r>
  <r>
    <n v="141"/>
    <s v="ORD-2025-0141"/>
    <d v="2025-06-09T00:00:00"/>
    <x v="8"/>
    <d v="2025-06-13T00:00:00"/>
    <s v="Express"/>
    <s v="CUST-0149"/>
    <s v="Shreya Kapoor"/>
    <x v="0"/>
    <x v="8"/>
    <s v="West"/>
    <s v="Home &amp; Kitchen"/>
    <s v="Electric Kettle"/>
    <n v="1"/>
    <n v="0"/>
    <n v="1775.87"/>
    <n v="564.84"/>
    <x v="1"/>
    <b v="0"/>
    <b v="0"/>
    <b v="0"/>
    <m/>
  </r>
  <r>
    <n v="142"/>
    <s v="ORD-2025-0142"/>
    <d v="2025-08-15T00:00:00"/>
    <x v="6"/>
    <d v="2025-08-16T00:00:00"/>
    <s v="Standard"/>
    <s v="CUST-0042"/>
    <s v="Kiran Joshi"/>
    <x v="0"/>
    <x v="7"/>
    <s v="South"/>
    <s v="Electronics"/>
    <s v="Keyboard"/>
    <n v="1"/>
    <n v="0.15"/>
    <n v="1116.75"/>
    <n v="88.05"/>
    <x v="1"/>
    <b v="0"/>
    <b v="0"/>
    <b v="0"/>
    <m/>
  </r>
  <r>
    <n v="143"/>
    <s v="ORD-2025-0143"/>
    <d v="2025-04-07T00:00:00"/>
    <x v="10"/>
    <d v="2025-04-09T00:00:00"/>
    <s v="Express"/>
    <s v="CUST-0028"/>
    <s v="Aditya Kumar"/>
    <x v="0"/>
    <x v="9"/>
    <s v="South"/>
    <s v="Furniture"/>
    <s v="Office Chair"/>
    <n v="3"/>
    <n v="0"/>
    <n v="17206.900000000001"/>
    <n v="6143.82"/>
    <x v="1"/>
    <b v="0"/>
    <b v="0"/>
    <b v="0"/>
    <m/>
  </r>
  <r>
    <n v="144"/>
    <s v="ORD-2025-0144"/>
    <d v="2025-03-10T00:00:00"/>
    <x v="11"/>
    <d v="2025-03-14T00:00:00"/>
    <s v="Standard"/>
    <s v="CUST-0249"/>
    <s v="Aditya Kumar"/>
    <x v="1"/>
    <x v="9"/>
    <s v="South"/>
    <s v="Office Supplies"/>
    <s v="Notebook"/>
    <n v="1"/>
    <n v="0.1"/>
    <s v="NULL"/>
    <n v="26.11"/>
    <x v="4"/>
    <b v="0"/>
    <b v="0"/>
    <b v="0"/>
    <m/>
  </r>
  <r>
    <n v="145"/>
    <s v="ORD-2025-0145"/>
    <d v="2025-08-16T00:00:00"/>
    <x v="6"/>
    <d v="2025-08-19T00:00:00"/>
    <s v="Express"/>
    <s v="CUST-0051"/>
    <s v="Aditya Kumar"/>
    <x v="0"/>
    <x v="8"/>
    <s v="West"/>
    <s v="Electronics"/>
    <s v="Wireless Mouse"/>
    <n v="2"/>
    <n v="0.05"/>
    <n v="1589.56"/>
    <n v="297.64"/>
    <x v="3"/>
    <b v="0"/>
    <b v="0"/>
    <b v="0"/>
    <m/>
  </r>
  <r>
    <n v="146"/>
    <s v="ORD-2025-0146"/>
    <d v="2025-12-03T00:00:00"/>
    <x v="4"/>
    <d v="2025-12-04T00:00:00"/>
    <s v="Standard"/>
    <s v="CUST-0036"/>
    <s v="Sneha Reddy"/>
    <x v="1"/>
    <x v="11"/>
    <s v="West"/>
    <s v="Home &amp; Kitchen"/>
    <s v="Coffee Mug"/>
    <n v="1"/>
    <n v="0.1"/>
    <n v="281.91000000000003"/>
    <n v="56.62"/>
    <x v="2"/>
    <b v="0"/>
    <b v="0"/>
    <b v="0"/>
    <m/>
  </r>
  <r>
    <n v="147"/>
    <s v="ORD-2025-0147"/>
    <d v="2025-09-15T00:00:00"/>
    <x v="5"/>
    <d v="2025-09-20T00:00:00"/>
    <s v="Express"/>
    <s v="CUST-0124"/>
    <s v="Priya Nair"/>
    <x v="0"/>
    <x v="5"/>
    <s v="North"/>
    <s v="Office Supplies"/>
    <s v="Pen Set"/>
    <n v="3"/>
    <n v="0.05"/>
    <n v="344.82"/>
    <n v="67.760000000000005"/>
    <x v="1"/>
    <b v="0"/>
    <b v="0"/>
    <b v="0"/>
    <m/>
  </r>
  <r>
    <n v="148"/>
    <s v="ORD-2025-0148"/>
    <d v="2025-04-24T00:00:00"/>
    <x v="10"/>
    <d v="2025-04-28T00:00:00"/>
    <s v="Standard"/>
    <s v="CUST-0174"/>
    <s v="Nikhil Jain"/>
    <x v="1"/>
    <x v="4"/>
    <s v="North"/>
    <s v="Home &amp; Kitchen"/>
    <s v="Water Bottle"/>
    <n v="2"/>
    <n v="0.1"/>
    <n v="874.91"/>
    <n v="231.9"/>
    <x v="1"/>
    <b v="0"/>
    <b v="0"/>
    <b v="0"/>
    <m/>
  </r>
  <r>
    <n v="149"/>
    <s v="ORD-2025-0149"/>
    <d v="2025-05-29T00:00:00"/>
    <x v="0"/>
    <d v="2025-06-02T00:00:00"/>
    <s v="Express"/>
    <s v="CUST-0089"/>
    <s v="Kiran Joshi"/>
    <x v="0"/>
    <x v="1"/>
    <s v="East"/>
    <s v="Home &amp; Kitchen"/>
    <s v="Water Bottle"/>
    <n v="4"/>
    <n v="0.05"/>
    <n v="1811.6"/>
    <n v="446.31"/>
    <x v="1"/>
    <b v="0"/>
    <b v="0"/>
    <b v="0"/>
    <m/>
  </r>
  <r>
    <n v="150"/>
    <s v="ORD-2025-0150"/>
    <d v="2025-03-29T00:00:00"/>
    <x v="11"/>
    <d v="2025-04-02T00:00:00"/>
    <s v="Standard"/>
    <s v="CUST-0184"/>
    <s v="Rahul Verma"/>
    <x v="0"/>
    <x v="3"/>
    <s v="South"/>
    <s v="Furniture"/>
    <s v="Bookshelf"/>
    <n v="1"/>
    <n v="0.1"/>
    <n v="4235.46"/>
    <n v="885.33"/>
    <x v="3"/>
    <b v="0"/>
    <b v="0"/>
    <b v="0"/>
    <m/>
  </r>
  <r>
    <n v="151"/>
    <s v="ORD-2025-0151"/>
    <d v="2025-12-28T00:00:00"/>
    <x v="4"/>
    <d v="2025-12-30T00:00:00"/>
    <s v="Express"/>
    <s v="CUST-0193"/>
    <s v="Sneha Reddy"/>
    <x v="0"/>
    <x v="4"/>
    <s v="North"/>
    <s v="Furniture"/>
    <s v="Desk Lamp"/>
    <n v="3"/>
    <n v="0"/>
    <n v="3705.79"/>
    <n v="1097.3900000000001"/>
    <x v="3"/>
    <b v="0"/>
    <b v="0"/>
    <b v="0"/>
    <m/>
  </r>
  <r>
    <n v="152"/>
    <s v="ORD-2025-0152"/>
    <d v="2025-08-19T00:00:00"/>
    <x v="6"/>
    <d v="2025-08-22T00:00:00"/>
    <s v="Express"/>
    <s v="CUST-0244"/>
    <s v="Sneha Reddy"/>
    <x v="0"/>
    <x v="4"/>
    <s v="North"/>
    <s v="Home &amp; Kitchen"/>
    <s v="Lunch Box"/>
    <n v="2"/>
    <n v="0.15"/>
    <n v="1151.23"/>
    <n v="185.1"/>
    <x v="2"/>
    <b v="0"/>
    <b v="0"/>
    <b v="0"/>
    <m/>
  </r>
  <r>
    <n v="153"/>
    <s v="ORD-2025-0153"/>
    <d v="2025-03-16T00:00:00"/>
    <x v="11"/>
    <d v="2025-03-19T00:00:00"/>
    <s v="Standard"/>
    <s v="CUST-0186"/>
    <s v="Sneha Reddy"/>
    <x v="0"/>
    <x v="4"/>
    <s v="North"/>
    <s v="Electronics"/>
    <s v="Wireless Mouse"/>
    <n v="5"/>
    <n v="0.05"/>
    <n v="3925.04"/>
    <n v="1072.3599999999999"/>
    <x v="2"/>
    <b v="0"/>
    <b v="0"/>
    <b v="0"/>
    <m/>
  </r>
  <r>
    <n v="154"/>
    <s v="ORD-2025-0154"/>
    <d v="2025-12-25T00:00:00"/>
    <x v="4"/>
    <d v="2025-12-30T00:00:00"/>
    <s v="Standard"/>
    <s v="CUST-0173"/>
    <s v="Shreya Kapoor"/>
    <x v="0"/>
    <x v="5"/>
    <s v="North"/>
    <s v="Home &amp; Kitchen"/>
    <s v="Lunch Box"/>
    <n v="2"/>
    <n v="0.1"/>
    <n v="1198.95"/>
    <n v="285.52999999999997"/>
    <x v="4"/>
    <b v="0"/>
    <b v="0"/>
    <b v="0"/>
    <m/>
  </r>
  <r>
    <n v="155"/>
    <s v="ORD-2025-0155"/>
    <d v="2025-09-11T00:00:00"/>
    <x v="5"/>
    <d v="2025-09-13T00:00:00"/>
    <s v="Standard"/>
    <s v="CUST-0147"/>
    <s v="Nikhil Jain"/>
    <x v="1"/>
    <x v="10"/>
    <s v="North"/>
    <s v="Office Supplies"/>
    <s v="Desk Organizer"/>
    <n v="1"/>
    <n v="0"/>
    <n v="454.47"/>
    <n v="121.28"/>
    <x v="1"/>
    <b v="0"/>
    <b v="0"/>
    <b v="0"/>
    <m/>
  </r>
  <r>
    <n v="156"/>
    <s v="ORD-2025-0156"/>
    <d v="2025-07-11T00:00:00"/>
    <x v="7"/>
    <d v="2025-07-14T00:00:00"/>
    <s v="Standard"/>
    <s v="CUST-0183"/>
    <s v="Aarav Sharma"/>
    <x v="0"/>
    <x v="5"/>
    <s v="North"/>
    <s v="Furniture"/>
    <s v="Desk Lamp"/>
    <n v="3"/>
    <n v="0.15"/>
    <n v="3292.64"/>
    <n v="761.58"/>
    <x v="1"/>
    <b v="0"/>
    <b v="0"/>
    <b v="0"/>
    <m/>
  </r>
  <r>
    <n v="157"/>
    <s v="ORD-2025-0157"/>
    <d v="2025-06-10T00:00:00"/>
    <x v="8"/>
    <d v="2025-06-11T00:00:00"/>
    <s v="Standard"/>
    <s v="CUST-0143"/>
    <s v="Ananya Singh"/>
    <x v="2"/>
    <x v="0"/>
    <s v="East"/>
    <s v="Furniture"/>
    <s v="Bookshelf"/>
    <n v="3"/>
    <n v="0.05"/>
    <n v="13287.44"/>
    <n v="3364.18"/>
    <x v="2"/>
    <b v="0"/>
    <b v="0"/>
    <b v="0"/>
    <m/>
  </r>
  <r>
    <n v="158"/>
    <s v="ORD-2025-0158"/>
    <d v="2025-02-19T00:00:00"/>
    <x v="3"/>
    <d v="2025-02-22T00:00:00"/>
    <s v="Express"/>
    <s v="CUST-0237"/>
    <s v="Ananya Singh"/>
    <x v="0"/>
    <x v="8"/>
    <s v="West"/>
    <s v="Furniture"/>
    <s v="Study Table"/>
    <n v="1"/>
    <n v="0.05"/>
    <n v="6334.02"/>
    <n v="1960.78"/>
    <x v="1"/>
    <b v="0"/>
    <b v="0"/>
    <b v="0"/>
    <m/>
  </r>
  <r>
    <n v="159"/>
    <s v="ORD-2025-0159"/>
    <d v="2025-12-15T00:00:00"/>
    <x v="4"/>
    <d v="2025-12-20T00:00:00"/>
    <s v="Same Day"/>
    <s v="CUST-0100"/>
    <s v="Ananya Singh"/>
    <x v="1"/>
    <x v="6"/>
    <s v="South"/>
    <s v="Home &amp; Kitchen"/>
    <s v="Coffee Mug"/>
    <n v="2"/>
    <n v="0.2"/>
    <n v="477.49"/>
    <n v="54.68"/>
    <x v="1"/>
    <b v="0"/>
    <b v="0"/>
    <b v="0"/>
    <m/>
  </r>
  <r>
    <n v="160"/>
    <s v="ORD-2025-0160"/>
    <d v="2025-10-24T00:00:00"/>
    <x v="9"/>
    <d v="2025-10-28T00:00:00"/>
    <s v="Same Day"/>
    <s v="CUST-0217"/>
    <s v="Sneha Reddy"/>
    <x v="0"/>
    <x v="9"/>
    <s v="South"/>
    <s v="Home &amp; Kitchen"/>
    <s v="Lunch Box"/>
    <n v="3"/>
    <n v="0"/>
    <n v="2019.69"/>
    <n v="552.28"/>
    <x v="1"/>
    <b v="0"/>
    <b v="0"/>
    <b v="0"/>
    <m/>
  </r>
  <r>
    <n v="161"/>
    <s v="ORD-2025-0161"/>
    <d v="2025-04-30T00:00:00"/>
    <x v="10"/>
    <d v="2025-05-02T00:00:00"/>
    <s v="Standard"/>
    <s v="CUST-0205"/>
    <s v="Ananya Singh"/>
    <x v="0"/>
    <x v="2"/>
    <s v="West"/>
    <s v="Electronics"/>
    <s v="USB-C Hub"/>
    <n v="1"/>
    <n v="0.2"/>
    <n v="1171.8499999999999"/>
    <n v="14.8"/>
    <x v="3"/>
    <b v="0"/>
    <b v="0"/>
    <b v="0"/>
    <m/>
  </r>
  <r>
    <n v="162"/>
    <s v="ORD-2025-0162"/>
    <d v="2025-07-15T00:00:00"/>
    <x v="7"/>
    <d v="2025-07-17T00:00:00"/>
    <s v="Express"/>
    <s v="CUST-0210"/>
    <s v="Aditya Kumar"/>
    <x v="2"/>
    <x v="3"/>
    <s v="South"/>
    <s v="Electronics"/>
    <s v="USB-C Hub"/>
    <n v="4"/>
    <n v="0"/>
    <n v="5942.69"/>
    <n v="1808.64"/>
    <x v="3"/>
    <b v="0"/>
    <b v="0"/>
    <b v="0"/>
    <m/>
  </r>
  <r>
    <n v="163"/>
    <s v="ORD-2025-0163"/>
    <d v="2025-11-09T00:00:00"/>
    <x v="2"/>
    <d v="2025-11-14T00:00:00"/>
    <s v="Express"/>
    <s v="CUST-0218"/>
    <s v="Arjun Patel"/>
    <x v="1"/>
    <x v="5"/>
    <s v="North"/>
    <s v="Home &amp; Kitchen"/>
    <s v="Coffee Mug"/>
    <n v="2"/>
    <n v="0.05"/>
    <n v="595.44000000000005"/>
    <n v="194"/>
    <x v="3"/>
    <b v="0"/>
    <b v="0"/>
    <b v="0"/>
    <m/>
  </r>
  <r>
    <n v="164"/>
    <s v="ORD-2025-0164"/>
    <d v="2025-04-27T00:00:00"/>
    <x v="10"/>
    <d v="2025-05-01T00:00:00"/>
    <s v="Express"/>
    <s v="CUST-0033"/>
    <s v="Nikhil Jain"/>
    <x v="2"/>
    <x v="4"/>
    <s v="North"/>
    <s v="Home &amp; Kitchen"/>
    <s v="Storage Box"/>
    <n v="1"/>
    <n v="0"/>
    <n v="891.63"/>
    <n v="318.27999999999997"/>
    <x v="1"/>
    <b v="0"/>
    <b v="0"/>
    <b v="0"/>
    <m/>
  </r>
  <r>
    <n v="165"/>
    <s v="ORD-2025-0165"/>
    <d v="2025-04-08T00:00:00"/>
    <x v="10"/>
    <d v="2025-04-10T00:00:00"/>
    <s v="Same Day"/>
    <s v="CUST-0112"/>
    <s v="Priya Nair"/>
    <x v="0"/>
    <x v="4"/>
    <s v="North"/>
    <s v="Office Supplies"/>
    <s v="Desk Organizer"/>
    <n v="3"/>
    <n v="0.1"/>
    <n v="1213.1400000000001"/>
    <n v="331.38"/>
    <x v="4"/>
    <b v="0"/>
    <b v="0"/>
    <b v="0"/>
    <m/>
  </r>
  <r>
    <n v="166"/>
    <s v="ORD-2025-0166"/>
    <d v="2025-02-28T00:00:00"/>
    <x v="3"/>
    <d v="2025-03-02T00:00:00"/>
    <s v="Standard"/>
    <s v="CUST-0032"/>
    <s v="Vikram Rao"/>
    <x v="2"/>
    <x v="10"/>
    <s v="North"/>
    <s v="Office Supplies"/>
    <s v="File Folder"/>
    <n v="3"/>
    <n v="0"/>
    <n v="282.91000000000003"/>
    <n v="72.63"/>
    <x v="3"/>
    <b v="0"/>
    <b v="0"/>
    <b v="0"/>
    <m/>
  </r>
  <r>
    <n v="167"/>
    <s v="ORD-2025-0167"/>
    <d v="2025-03-20T00:00:00"/>
    <x v="11"/>
    <d v="2025-03-24T00:00:00"/>
    <s v="Standard"/>
    <s v="CUST-0058"/>
    <s v="Nikhil Jain"/>
    <x v="0"/>
    <x v="11"/>
    <s v="West"/>
    <s v="Home &amp; Kitchen"/>
    <s v="Storage Box"/>
    <n v="1"/>
    <n v="0"/>
    <n v="932.32"/>
    <n v="332"/>
    <x v="1"/>
    <b v="0"/>
    <b v="0"/>
    <b v="0"/>
    <m/>
  </r>
  <r>
    <n v="168"/>
    <s v="ORD-2025-0168"/>
    <d v="2025-06-16T00:00:00"/>
    <x v="8"/>
    <d v="2025-06-20T00:00:00"/>
    <s v="Standard"/>
    <s v="CUST-0197"/>
    <s v="Manish Yadav"/>
    <x v="0"/>
    <x v="9"/>
    <s v="South"/>
    <s v="Office Supplies"/>
    <s v="File Folder"/>
    <n v="2"/>
    <n v="0.15"/>
    <n v="152.26"/>
    <n v="26.35"/>
    <x v="1"/>
    <b v="0"/>
    <b v="0"/>
    <b v="0"/>
    <m/>
  </r>
  <r>
    <n v="169"/>
    <s v="ORD-2025-0169"/>
    <d v="2025-03-13T00:00:00"/>
    <x v="11"/>
    <d v="2025-03-14T00:00:00"/>
    <s v="Standard"/>
    <s v="CUST-0042"/>
    <s v="Shreya Kapoor"/>
    <x v="1"/>
    <x v="1"/>
    <s v="East"/>
    <s v="Electronics"/>
    <s v="USB-C Hub"/>
    <n v="3"/>
    <n v="0.05"/>
    <n v="4227.71"/>
    <n v="616.54"/>
    <x v="1"/>
    <b v="0"/>
    <b v="0"/>
    <b v="0"/>
    <m/>
  </r>
  <r>
    <n v="170"/>
    <s v="ORD-2025-0170"/>
    <d v="2025-08-08T00:00:00"/>
    <x v="6"/>
    <d v="2025-08-09T00:00:00"/>
    <s v="Express"/>
    <s v="CUST-0176"/>
    <s v="Aditya Kumar"/>
    <x v="0"/>
    <x v="6"/>
    <s v="South"/>
    <s v="Furniture"/>
    <s v="Folding Chair"/>
    <n v="4"/>
    <n v="0"/>
    <n v="6860.22"/>
    <n v="1875.27"/>
    <x v="2"/>
    <b v="0"/>
    <b v="0"/>
    <b v="0"/>
    <m/>
  </r>
  <r>
    <n v="171"/>
    <s v="ORD-2025-0171"/>
    <d v="2025-01-16T00:00:00"/>
    <x v="1"/>
    <d v="2025-01-17T00:00:00"/>
    <s v="Express"/>
    <s v="CUST-0013"/>
    <s v="Priya Nair"/>
    <x v="0"/>
    <x v="4"/>
    <s v="North"/>
    <s v="Home &amp; Kitchen"/>
    <s v="Lunch Box"/>
    <n v="3"/>
    <n v="0.1"/>
    <n v="1871.78"/>
    <n v="158.9"/>
    <x v="0"/>
    <b v="0"/>
    <b v="0"/>
    <b v="0"/>
    <m/>
  </r>
  <r>
    <n v="172"/>
    <s v="ORD-2025-0172"/>
    <d v="2025-10-08T00:00:00"/>
    <x v="9"/>
    <d v="2025-10-12T00:00:00"/>
    <s v="Express"/>
    <s v="CUST-0189"/>
    <s v="Rohan Mehta"/>
    <x v="2"/>
    <x v="8"/>
    <s v="West"/>
    <s v="Office Supplies"/>
    <s v="Desk Organizer"/>
    <n v="2"/>
    <n v="0.1"/>
    <n v="841.61"/>
    <n v="269.32"/>
    <x v="3"/>
    <b v="0"/>
    <b v="0"/>
    <b v="0"/>
    <m/>
  </r>
  <r>
    <n v="173"/>
    <s v="ORD-2025-0173"/>
    <d v="2025-12-30T00:00:00"/>
    <x v="4"/>
    <d v="2025-12-31T00:00:00"/>
    <s v="Express"/>
    <s v="CUST-0220"/>
    <s v="Divya Rao"/>
    <x v="1"/>
    <x v="4"/>
    <s v="North"/>
    <s v="Furniture"/>
    <s v="Desk Lamp"/>
    <n v="2"/>
    <n v="0.2"/>
    <n v="2048.84"/>
    <n v="181.29"/>
    <x v="4"/>
    <b v="0"/>
    <b v="0"/>
    <b v="0"/>
    <m/>
  </r>
  <r>
    <n v="174"/>
    <s v="ORD-2025-0174"/>
    <d v="2025-12-04T00:00:00"/>
    <x v="4"/>
    <d v="2025-12-06T00:00:00"/>
    <s v="Standard"/>
    <s v="CUST-0017"/>
    <s v="Arjun Patel"/>
    <x v="2"/>
    <x v="6"/>
    <s v="South"/>
    <s v="Electronics"/>
    <s v="Power Bank"/>
    <n v="1"/>
    <n v="0.05"/>
    <n v="1152.01"/>
    <n v="304.2"/>
    <x v="4"/>
    <b v="0"/>
    <b v="0"/>
    <b v="0"/>
    <m/>
  </r>
  <r>
    <n v="175"/>
    <s v="ORD-2025-0175"/>
    <d v="2025-09-05T00:00:00"/>
    <x v="5"/>
    <d v="2025-09-09T00:00:00"/>
    <s v="Express"/>
    <s v="CUST-0001"/>
    <s v="Kavya Iyer"/>
    <x v="0"/>
    <x v="7"/>
    <s v="South"/>
    <s v="Electronics"/>
    <s v="Wireless Mouse"/>
    <n v="3"/>
    <n v="0"/>
    <n v="2440.5500000000002"/>
    <n v="874.29"/>
    <x v="1"/>
    <b v="0"/>
    <b v="0"/>
    <b v="0"/>
    <m/>
  </r>
  <r>
    <n v="176"/>
    <s v="ORD-2025-0176"/>
    <d v="2025-01-21T00:00:00"/>
    <x v="1"/>
    <d v="2025-01-24T00:00:00"/>
    <s v="Express"/>
    <s v="CUST-0228"/>
    <s v="Pooja Das"/>
    <x v="0"/>
    <x v="4"/>
    <s v="North"/>
    <s v="Office Supplies"/>
    <s v="Pen Set"/>
    <n v="1"/>
    <n v="0.05"/>
    <n v="117"/>
    <n v="32.799999999999997"/>
    <x v="4"/>
    <b v="0"/>
    <b v="0"/>
    <b v="0"/>
    <m/>
  </r>
  <r>
    <n v="177"/>
    <s v="ORD-2025-0177"/>
    <d v="2025-04-01T00:00:00"/>
    <x v="10"/>
    <d v="2025-04-03T00:00:00"/>
    <s v="Express"/>
    <s v="CUST-0072"/>
    <s v="Rahul Verma"/>
    <x v="0"/>
    <x v="6"/>
    <s v="South"/>
    <s v="Electronics"/>
    <s v="Keyboard"/>
    <n v="4"/>
    <n v="0.15"/>
    <n v="4393.22"/>
    <n v="693.3"/>
    <x v="4"/>
    <b v="0"/>
    <b v="0"/>
    <b v="0"/>
    <m/>
  </r>
  <r>
    <n v="178"/>
    <s v="ORD-2025-0178"/>
    <d v="2025-04-12T00:00:00"/>
    <x v="10"/>
    <d v="2025-04-13T00:00:00"/>
    <s v="Express"/>
    <s v="CUST-0201"/>
    <s v="Shreya Kapoor"/>
    <x v="2"/>
    <x v="4"/>
    <s v="North"/>
    <s v="Office Supplies"/>
    <s v="Notebook"/>
    <n v="2"/>
    <n v="0"/>
    <n v="352.52"/>
    <n v="63.74"/>
    <x v="2"/>
    <b v="0"/>
    <b v="0"/>
    <b v="0"/>
    <m/>
  </r>
  <r>
    <n v="179"/>
    <s v="ORD-2025-0179"/>
    <d v="2025-04-30T00:00:00"/>
    <x v="10"/>
    <d v="2025-05-05T00:00:00"/>
    <s v="Standard"/>
    <s v="CUST-0064"/>
    <s v="Aarav Sharma"/>
    <x v="0"/>
    <x v="2"/>
    <s v="West"/>
    <s v="Furniture"/>
    <s v="Desk Lamp"/>
    <n v="2"/>
    <n v="0.1"/>
    <n v="2347.7199999999998"/>
    <n v="686.8"/>
    <x v="1"/>
    <b v="0"/>
    <b v="0"/>
    <b v="0"/>
    <m/>
  </r>
  <r>
    <n v="180"/>
    <s v="ORD-2025-0180"/>
    <d v="2025-07-15T00:00:00"/>
    <x v="7"/>
    <d v="2025-07-18T00:00:00"/>
    <s v="Express"/>
    <s v="CUST-0110"/>
    <s v="Rohan Mehta"/>
    <x v="2"/>
    <x v="4"/>
    <s v="North"/>
    <s v="Furniture"/>
    <s v="Bookshelf"/>
    <n v="1"/>
    <n v="0.15"/>
    <n v="4066.65"/>
    <n v="431.36"/>
    <x v="2"/>
    <b v="0"/>
    <b v="0"/>
    <b v="0"/>
    <m/>
  </r>
  <r>
    <n v="181"/>
    <s v="ORD-2025-0181"/>
    <d v="2025-02-19T00:00:00"/>
    <x v="3"/>
    <d v="2025-02-24T00:00:00"/>
    <s v="Express"/>
    <s v="CUST-0195"/>
    <s v="Pooja Das"/>
    <x v="0"/>
    <x v="1"/>
    <s v="East"/>
    <s v="Office Supplies"/>
    <s v="Notebook"/>
    <n v="2"/>
    <n v="0.25"/>
    <n v="270.58"/>
    <n v="42.8"/>
    <x v="1"/>
    <b v="0"/>
    <b v="0"/>
    <b v="0"/>
    <m/>
  </r>
  <r>
    <n v="182"/>
    <s v="ORD-2025-0182"/>
    <d v="2025-03-06T00:00:00"/>
    <x v="11"/>
    <d v="2025-03-11T00:00:00"/>
    <s v="Same Day"/>
    <s v="CUST-0174"/>
    <s v="Sanjay Menon"/>
    <x v="0"/>
    <x v="6"/>
    <s v="South"/>
    <s v="Home &amp; Kitchen"/>
    <s v="Storage Box"/>
    <n v="3"/>
    <n v="0.2"/>
    <n v="2199.5500000000002"/>
    <n v="483.07"/>
    <x v="1"/>
    <b v="0"/>
    <b v="0"/>
    <b v="0"/>
    <m/>
  </r>
  <r>
    <n v="183"/>
    <s v="ORD-2025-0183"/>
    <d v="2025-06-28T00:00:00"/>
    <x v="8"/>
    <d v="2025-07-02T00:00:00"/>
    <s v="Standard"/>
    <s v="CUST-0076"/>
    <s v="Kiran Joshi"/>
    <x v="2"/>
    <x v="6"/>
    <s v="South"/>
    <s v="Electronics"/>
    <s v="Power Bank"/>
    <n v="2"/>
    <n v="0.15"/>
    <n v="2074.2600000000002"/>
    <n v="524.34"/>
    <x v="1"/>
    <b v="0"/>
    <b v="0"/>
    <b v="0"/>
    <m/>
  </r>
  <r>
    <n v="184"/>
    <s v="ORD-2025-0184"/>
    <d v="2025-09-19T00:00:00"/>
    <x v="5"/>
    <d v="2025-09-20T00:00:00"/>
    <s v="Express"/>
    <s v="CUST-0027"/>
    <s v="Kavya Iyer"/>
    <x v="0"/>
    <x v="2"/>
    <s v="West"/>
    <s v="Electronics"/>
    <s v="Bluetooth Speaker"/>
    <n v="5"/>
    <n v="0.05"/>
    <n v="8571.8700000000008"/>
    <n v="2609.4499999999998"/>
    <x v="3"/>
    <b v="0"/>
    <b v="0"/>
    <b v="0"/>
    <m/>
  </r>
  <r>
    <n v="185"/>
    <s v="ORD-2025-0185"/>
    <d v="2025-08-25T00:00:00"/>
    <x v="6"/>
    <d v="2025-08-29T00:00:00"/>
    <s v="Standard"/>
    <s v="CUST-0046"/>
    <s v="Nikhil Jain"/>
    <x v="0"/>
    <x v="9"/>
    <s v="South"/>
    <s v="Office Supplies"/>
    <s v="Calculator"/>
    <n v="2"/>
    <n v="0.1"/>
    <n v="1135.72"/>
    <n v="195.41"/>
    <x v="1"/>
    <b v="0"/>
    <b v="0"/>
    <b v="0"/>
    <m/>
  </r>
  <r>
    <n v="186"/>
    <s v="ORD-2025-0186"/>
    <d v="2025-11-14T00:00:00"/>
    <x v="2"/>
    <d v="2025-11-16T00:00:00"/>
    <s v="Standard"/>
    <s v="CUST-0037"/>
    <s v="Nikhil Jain"/>
    <x v="1"/>
    <x v="2"/>
    <s v="West"/>
    <s v="Electronics"/>
    <s v="Keyboard"/>
    <n v="3"/>
    <n v="0.1"/>
    <n v="3434.87"/>
    <n v="292.52"/>
    <x v="1"/>
    <b v="0"/>
    <b v="0"/>
    <b v="0"/>
    <m/>
  </r>
  <r>
    <n v="187"/>
    <s v="ORD-2025-0187"/>
    <d v="2025-05-27T00:00:00"/>
    <x v="0"/>
    <d v="2025-05-30T00:00:00"/>
    <s v="Standard"/>
    <s v="CUST-0108"/>
    <s v="Manish Yadav"/>
    <x v="0"/>
    <x v="2"/>
    <s v="West"/>
    <s v="Office Supplies"/>
    <s v="Notebook"/>
    <n v="2"/>
    <n v="0.15"/>
    <n v="294.72000000000003"/>
    <n v="51.74"/>
    <x v="0"/>
    <b v="0"/>
    <b v="0"/>
    <b v="0"/>
    <m/>
  </r>
  <r>
    <n v="188"/>
    <s v="ORD-2025-0188"/>
    <d v="2025-09-07T00:00:00"/>
    <x v="5"/>
    <d v="2025-09-12T00:00:00"/>
    <s v="Standard"/>
    <s v="CUST-0237"/>
    <s v="Sanjay Menon"/>
    <x v="0"/>
    <x v="9"/>
    <s v="South"/>
    <s v="Furniture"/>
    <s v="Desk Lamp"/>
    <n v="3"/>
    <n v="0.25"/>
    <n v="2777.07"/>
    <n v="-135.08000000000001"/>
    <x v="2"/>
    <b v="0"/>
    <b v="0"/>
    <b v="0"/>
    <m/>
  </r>
  <r>
    <n v="189"/>
    <s v="ORD-2025-0189"/>
    <d v="2025-03-23T00:00:00"/>
    <x v="11"/>
    <d v="2025-03-28T00:00:00"/>
    <s v="Express"/>
    <s v="CUST-0225"/>
    <s v="Pooja Das"/>
    <x v="0"/>
    <x v="7"/>
    <s v="South"/>
    <s v="Furniture"/>
    <s v="Study Table"/>
    <n v="2"/>
    <n v="0.1"/>
    <n v="12120.76"/>
    <n v="2269.11"/>
    <x v="1"/>
    <b v="0"/>
    <b v="0"/>
    <b v="0"/>
    <m/>
  </r>
  <r>
    <n v="190"/>
    <s v="ORD-2025-0190"/>
    <d v="2025-09-23T00:00:00"/>
    <x v="5"/>
    <d v="2025-09-25T00:00:00"/>
    <s v="Standard"/>
    <s v="CUST-0003"/>
    <s v="Shreya Kapoor"/>
    <x v="1"/>
    <x v="4"/>
    <s v="North"/>
    <s v="Home &amp; Kitchen"/>
    <s v="Electric Kettle"/>
    <n v="2"/>
    <n v="0.2"/>
    <n v="2774.45"/>
    <n v="460.41"/>
    <x v="2"/>
    <b v="0"/>
    <b v="0"/>
    <b v="0"/>
    <m/>
  </r>
  <r>
    <n v="191"/>
    <s v="ORD-2025-0191"/>
    <d v="2025-09-25T00:00:00"/>
    <x v="5"/>
    <d v="2025-09-28T00:00:00"/>
    <s v="Standard"/>
    <s v="CUST-0101"/>
    <s v="Nikhil Jain"/>
    <x v="0"/>
    <x v="10"/>
    <s v="North"/>
    <s v="Office Supplies"/>
    <s v="Desk Organizer"/>
    <n v="3"/>
    <n v="0.15"/>
    <n v="1141.6300000000001"/>
    <n v="281.83999999999997"/>
    <x v="3"/>
    <b v="0"/>
    <b v="0"/>
    <b v="0"/>
    <m/>
  </r>
  <r>
    <n v="192"/>
    <s v="ORD-2025-0192"/>
    <d v="2025-04-09T00:00:00"/>
    <x v="10"/>
    <d v="2025-04-14T00:00:00"/>
    <s v="Express"/>
    <s v="CUST-0188"/>
    <s v="Pooja Das"/>
    <x v="1"/>
    <x v="8"/>
    <s v="West"/>
    <s v="Home &amp; Kitchen"/>
    <s v="Storage Box"/>
    <n v="3"/>
    <n v="0.1"/>
    <n v="2372.7800000000002"/>
    <n v="535.41"/>
    <x v="4"/>
    <b v="0"/>
    <b v="0"/>
    <b v="0"/>
    <m/>
  </r>
  <r>
    <n v="193"/>
    <s v="ORD-2025-0193"/>
    <d v="2025-11-09T00:00:00"/>
    <x v="2"/>
    <d v="2025-11-13T00:00:00"/>
    <s v="Standard"/>
    <s v="CUST-0156"/>
    <s v="Arjun Patel"/>
    <x v="1"/>
    <x v="2"/>
    <s v="West"/>
    <s v="Home &amp; Kitchen"/>
    <s v="Water Bottle"/>
    <n v="1"/>
    <n v="0.1"/>
    <n v="444.29"/>
    <n v="82.43"/>
    <x v="1"/>
    <b v="0"/>
    <b v="0"/>
    <b v="0"/>
    <m/>
  </r>
  <r>
    <n v="194"/>
    <s v="ORD-2025-0194"/>
    <d v="2025-05-06T00:00:00"/>
    <x v="0"/>
    <d v="2025-05-09T00:00:00"/>
    <s v="Express"/>
    <s v="CUST-0162"/>
    <s v="Divya Rao"/>
    <x v="0"/>
    <x v="6"/>
    <s v="South"/>
    <s v="Home &amp; Kitchen"/>
    <s v="Storage Box"/>
    <n v="1"/>
    <n v="0.1"/>
    <n v="793.83"/>
    <n v="114.7"/>
    <x v="0"/>
    <b v="0"/>
    <b v="0"/>
    <b v="0"/>
    <m/>
  </r>
  <r>
    <n v="195"/>
    <s v="ORD-2025-0195"/>
    <d v="2025-12-10T00:00:00"/>
    <x v="4"/>
    <d v="2025-12-13T00:00:00"/>
    <s v="Standard"/>
    <s v="CUST-0174"/>
    <s v="Aditya Kumar"/>
    <x v="0"/>
    <x v="9"/>
    <s v="South"/>
    <s v="Office Supplies"/>
    <s v="File Folder"/>
    <n v="1"/>
    <n v="0.1"/>
    <n v="81.260000000000005"/>
    <n v="23.02"/>
    <x v="1"/>
    <b v="0"/>
    <b v="0"/>
    <b v="0"/>
    <m/>
  </r>
  <r>
    <n v="196"/>
    <s v="ORD-2025-0196"/>
    <d v="2025-05-05T00:00:00"/>
    <x v="0"/>
    <d v="2025-05-10T00:00:00"/>
    <s v="Express"/>
    <s v="CUST-0196"/>
    <s v="Ishita Roy"/>
    <x v="2"/>
    <x v="8"/>
    <s v="West"/>
    <s v="Electronics"/>
    <s v="Bluetooth Speaker"/>
    <n v="1"/>
    <n v="0.2"/>
    <n v="1588.46"/>
    <n v="291.83999999999997"/>
    <x v="0"/>
    <b v="0"/>
    <b v="0"/>
    <b v="0"/>
    <m/>
  </r>
  <r>
    <n v="197"/>
    <s v="ORD-2025-0197"/>
    <d v="2025-03-09T00:00:00"/>
    <x v="11"/>
    <d v="2025-03-14T00:00:00"/>
    <s v="Standard"/>
    <s v="CUST-0086"/>
    <s v="Manish Yadav"/>
    <x v="0"/>
    <x v="9"/>
    <s v="South"/>
    <s v="Electronics"/>
    <s v="USB-C Hub"/>
    <n v="2"/>
    <n v="0.05"/>
    <n v="2749.6"/>
    <n v="558.83000000000004"/>
    <x v="4"/>
    <b v="0"/>
    <b v="0"/>
    <b v="0"/>
    <m/>
  </r>
  <r>
    <n v="198"/>
    <s v="ORD-2025-0198"/>
    <d v="2025-01-21T00:00:00"/>
    <x v="1"/>
    <d v="2025-01-25T00:00:00"/>
    <s v="Standard"/>
    <s v="CUST-0191"/>
    <s v="Rahul Verma"/>
    <x v="0"/>
    <x v="9"/>
    <s v="South"/>
    <s v="Furniture"/>
    <s v="Study Table"/>
    <n v="2"/>
    <n v="0.15"/>
    <n v="12291.76"/>
    <n v="2087.6999999999998"/>
    <x v="4"/>
    <b v="0"/>
    <b v="0"/>
    <b v="0"/>
    <m/>
  </r>
  <r>
    <n v="199"/>
    <s v="ORD-2025-0199"/>
    <d v="2025-08-02T00:00:00"/>
    <x v="6"/>
    <d v="2025-08-03T00:00:00"/>
    <s v="Express"/>
    <s v="CUST-0008"/>
    <s v="Arjun Patel"/>
    <x v="0"/>
    <x v="9"/>
    <s v="South"/>
    <s v="Electronics"/>
    <s v="Power Bank"/>
    <n v="3"/>
    <n v="0.05"/>
    <n v="3517.11"/>
    <n v="955.01"/>
    <x v="3"/>
    <b v="0"/>
    <b v="0"/>
    <b v="0"/>
    <m/>
  </r>
  <r>
    <n v="200"/>
    <s v="ORD-2025-0200"/>
    <d v="2025-02-16T00:00:00"/>
    <x v="3"/>
    <d v="2025-02-20T00:00:00"/>
    <s v="Standard"/>
    <s v="CUST-0005"/>
    <s v="Nikhil Jain"/>
    <x v="1"/>
    <x v="8"/>
    <s v="West"/>
    <s v="Electronics"/>
    <s v="Bluetooth Speaker"/>
    <n v="2"/>
    <n v="0.05"/>
    <n v="3441.4"/>
    <n v="520.08000000000004"/>
    <x v="3"/>
    <b v="0"/>
    <b v="0"/>
    <b v="0"/>
    <m/>
  </r>
  <r>
    <n v="201"/>
    <s v="ORD-2025-0201"/>
    <d v="2025-08-24T00:00:00"/>
    <x v="6"/>
    <d v="2025-08-28T00:00:00"/>
    <s v="Standard"/>
    <s v="CUST-0102"/>
    <s v="Aditya Kumar"/>
    <x v="0"/>
    <x v="6"/>
    <s v="South"/>
    <s v="Electronics"/>
    <s v="Wireless Mouse"/>
    <n v="2"/>
    <n v="0.25"/>
    <n v="1242.07"/>
    <n v="63.15"/>
    <x v="2"/>
    <b v="0"/>
    <b v="0"/>
    <b v="0"/>
    <m/>
  </r>
  <r>
    <n v="202"/>
    <s v="ORD-2025-0202"/>
    <d v="2025-08-07T00:00:00"/>
    <x v="6"/>
    <d v="2025-08-09T00:00:00"/>
    <s v="Standard"/>
    <s v="CUST-0135"/>
    <s v="Kiran Joshi"/>
    <x v="0"/>
    <x v="4"/>
    <s v="North"/>
    <s v="Office Supplies"/>
    <s v="Desk Organizer"/>
    <n v="2"/>
    <n v="0.15"/>
    <n v="760.67"/>
    <n v="94.29"/>
    <x v="0"/>
    <b v="0"/>
    <b v="0"/>
    <b v="0"/>
    <m/>
  </r>
  <r>
    <n v="203"/>
    <s v="ORD-2025-0203"/>
    <d v="2025-11-24T00:00:00"/>
    <x v="2"/>
    <d v="2025-11-27T00:00:00"/>
    <s v="Standard"/>
    <s v="CUST-0175"/>
    <s v="Meera Shah"/>
    <x v="0"/>
    <x v="9"/>
    <s v="South"/>
    <s v="Electronics"/>
    <s v="Power Bank"/>
    <n v="2"/>
    <n v="0.05"/>
    <n v="2235.25"/>
    <n v="625.69000000000005"/>
    <x v="2"/>
    <b v="0"/>
    <b v="0"/>
    <b v="0"/>
    <m/>
  </r>
  <r>
    <n v="204"/>
    <s v="ORD-2025-0204"/>
    <d v="2025-10-25T00:00:00"/>
    <x v="9"/>
    <d v="2025-10-30T00:00:00"/>
    <s v="Standard"/>
    <s v="CUST-0184"/>
    <s v="Sanjay Menon"/>
    <x v="2"/>
    <x v="11"/>
    <s v="West"/>
    <s v="Home &amp; Kitchen"/>
    <s v="Electric Kettle"/>
    <n v="3"/>
    <n v="0.15"/>
    <n v="4522.6400000000003"/>
    <n v="308.19"/>
    <x v="1"/>
    <b v="0"/>
    <b v="0"/>
    <b v="0"/>
    <m/>
  </r>
  <r>
    <n v="205"/>
    <s v="ORD-2025-0205"/>
    <d v="2025-02-06T00:00:00"/>
    <x v="3"/>
    <d v="2025-02-11T00:00:00"/>
    <s v="Express"/>
    <s v="CUST-0127"/>
    <s v="Aarav Sharma"/>
    <x v="2"/>
    <x v="9"/>
    <s v="South"/>
    <s v="Home &amp; Kitchen"/>
    <s v="Lunch Box"/>
    <n v="1"/>
    <n v="0.1"/>
    <n v="645.04"/>
    <n v="104.16"/>
    <x v="2"/>
    <b v="0"/>
    <b v="0"/>
    <b v="0"/>
    <m/>
  </r>
  <r>
    <n v="206"/>
    <s v="ORD-2025-0206"/>
    <d v="2025-12-24T00:00:00"/>
    <x v="4"/>
    <d v="2025-12-27T00:00:00"/>
    <s v="Express"/>
    <s v="CUST-0173"/>
    <s v="Priya Nair"/>
    <x v="0"/>
    <x v="3"/>
    <s v="South"/>
    <s v="Electronics"/>
    <s v="Wireless Mouse"/>
    <n v="1"/>
    <n v="0.1"/>
    <n v="708.23"/>
    <n v="195.11"/>
    <x v="1"/>
    <b v="0"/>
    <b v="0"/>
    <b v="0"/>
    <m/>
  </r>
  <r>
    <n v="207"/>
    <s v="ORD-2025-0207"/>
    <d v="2025-05-24T00:00:00"/>
    <x v="0"/>
    <d v="2025-05-28T00:00:00"/>
    <s v="Express"/>
    <s v="CUST-0159"/>
    <s v="Priya Nair"/>
    <x v="0"/>
    <x v="10"/>
    <s v="North"/>
    <s v="Home &amp; Kitchen"/>
    <s v="Coffee Mug"/>
    <n v="1"/>
    <n v="0.2"/>
    <n v="230.71"/>
    <n v="2.87"/>
    <x v="4"/>
    <b v="0"/>
    <b v="0"/>
    <b v="0"/>
    <m/>
  </r>
  <r>
    <n v="208"/>
    <s v="ORD-2025-0208"/>
    <d v="2025-11-17T00:00:00"/>
    <x v="2"/>
    <d v="2025-11-18T00:00:00"/>
    <s v="Express"/>
    <s v="CUST-0053"/>
    <s v="Manish Yadav"/>
    <x v="1"/>
    <x v="11"/>
    <s v="West"/>
    <s v="Home &amp; Kitchen"/>
    <s v="Lunch Box"/>
    <n v="1"/>
    <n v="0.1"/>
    <n v="637.94000000000005"/>
    <n v="67.7"/>
    <x v="1"/>
    <b v="0"/>
    <b v="0"/>
    <b v="0"/>
    <m/>
  </r>
  <r>
    <n v="209"/>
    <s v="ORD-2025-0209"/>
    <d v="2025-05-28T00:00:00"/>
    <x v="0"/>
    <d v="2025-05-30T00:00:00"/>
    <s v="Express"/>
    <s v="CUST-0152"/>
    <s v="Sanjay Menon"/>
    <x v="1"/>
    <x v="5"/>
    <s v="North"/>
    <s v="Home &amp; Kitchen"/>
    <s v="Coffee Mug"/>
    <n v="3"/>
    <n v="0.1"/>
    <n v="786.47"/>
    <n v="102.25"/>
    <x v="3"/>
    <b v="0"/>
    <b v="0"/>
    <b v="0"/>
    <m/>
  </r>
  <r>
    <n v="210"/>
    <s v="ORD-2025-0210"/>
    <d v="2025-12-04T00:00:00"/>
    <x v="4"/>
    <d v="2025-12-06T00:00:00"/>
    <s v="Standard"/>
    <s v="CUST-0185"/>
    <s v="Nikhil Jain"/>
    <x v="0"/>
    <x v="1"/>
    <s v="East"/>
    <s v="Electronics"/>
    <s v="Keyboard"/>
    <n v="2"/>
    <n v="0.05"/>
    <n v="2522.8200000000002"/>
    <n v="770.96"/>
    <x v="1"/>
    <b v="0"/>
    <b v="0"/>
    <b v="0"/>
    <m/>
  </r>
  <r>
    <n v="211"/>
    <s v="ORD-2025-0211"/>
    <d v="2025-11-21T00:00:00"/>
    <x v="2"/>
    <d v="2025-11-25T00:00:00"/>
    <s v="Standard"/>
    <s v="CUST-0065"/>
    <s v="Aditya Kumar"/>
    <x v="0"/>
    <x v="2"/>
    <s v="West"/>
    <s v="Electronics"/>
    <s v="Wireless Mouse"/>
    <n v="2"/>
    <n v="0.1"/>
    <n v="1472.85"/>
    <n v="381.01"/>
    <x v="4"/>
    <b v="0"/>
    <b v="0"/>
    <b v="0"/>
    <m/>
  </r>
  <r>
    <n v="212"/>
    <s v="ORD-2025-0212"/>
    <d v="2025-06-26T00:00:00"/>
    <x v="8"/>
    <d v="2025-06-30T00:00:00"/>
    <s v="Standard"/>
    <s v="CUST-0157"/>
    <s v="Aarav Sharma"/>
    <x v="2"/>
    <x v="3"/>
    <s v="South"/>
    <s v="Office Supplies"/>
    <s v="File Folder"/>
    <n v="4"/>
    <n v="0.1"/>
    <n v="329.67"/>
    <n v="98.12"/>
    <x v="4"/>
    <b v="0"/>
    <b v="0"/>
    <b v="0"/>
    <m/>
  </r>
  <r>
    <n v="213"/>
    <s v="ORD-2025-0213"/>
    <d v="2025-01-24T00:00:00"/>
    <x v="1"/>
    <d v="2025-01-28T00:00:00"/>
    <s v="Same Day"/>
    <s v="CUST-0201"/>
    <s v="Shreya Kapoor"/>
    <x v="1"/>
    <x v="8"/>
    <s v="West"/>
    <s v="Furniture"/>
    <s v="Folding Chair"/>
    <n v="4"/>
    <n v="0"/>
    <n v="6929.46"/>
    <n v="1494.89"/>
    <x v="2"/>
    <b v="0"/>
    <b v="0"/>
    <b v="0"/>
    <m/>
  </r>
  <r>
    <n v="214"/>
    <s v="ORD-2025-0214"/>
    <d v="2025-02-10T00:00:00"/>
    <x v="3"/>
    <d v="2025-02-13T00:00:00"/>
    <s v="Standard"/>
    <s v="CUST-0236"/>
    <s v="Rohan Mehta"/>
    <x v="0"/>
    <x v="11"/>
    <s v="West"/>
    <s v="Electronics"/>
    <s v="Power Bank"/>
    <n v="5"/>
    <n v="0.1"/>
    <n v="5372.68"/>
    <n v="1405.33"/>
    <x v="2"/>
    <b v="0"/>
    <b v="0"/>
    <b v="0"/>
    <m/>
  </r>
  <r>
    <n v="215"/>
    <s v="ORD-2025-0215"/>
    <d v="2025-11-25T00:00:00"/>
    <x v="2"/>
    <d v="2025-11-28T00:00:00"/>
    <s v="Express"/>
    <s v="CUST-0087"/>
    <s v="Kiran Joshi"/>
    <x v="0"/>
    <x v="7"/>
    <s v="South"/>
    <s v="Office Supplies"/>
    <s v="Calculator"/>
    <n v="4"/>
    <n v="0"/>
    <n v="2659.93"/>
    <n v="711.12"/>
    <x v="1"/>
    <b v="0"/>
    <b v="0"/>
    <b v="0"/>
    <m/>
  </r>
  <r>
    <n v="216"/>
    <s v="ORD-2025-0216"/>
    <d v="2025-05-29T00:00:00"/>
    <x v="0"/>
    <d v="2025-06-02T00:00:00"/>
    <s v="Express"/>
    <s v="CUST-0235"/>
    <s v="Rahul Verma"/>
    <x v="1"/>
    <x v="3"/>
    <s v="South"/>
    <s v="Home &amp; Kitchen"/>
    <s v="Storage Box"/>
    <n v="3"/>
    <n v="0.25"/>
    <n v="2065.88"/>
    <n v="286.27999999999997"/>
    <x v="4"/>
    <b v="0"/>
    <b v="0"/>
    <b v="0"/>
    <m/>
  </r>
  <r>
    <n v="217"/>
    <s v="ORD-2025-0217"/>
    <d v="2025-01-13T00:00:00"/>
    <x v="1"/>
    <d v="2025-01-18T00:00:00"/>
    <s v="Express"/>
    <s v="CUST-0142"/>
    <s v="Neha Gupta"/>
    <x v="0"/>
    <x v="1"/>
    <s v="East"/>
    <s v="Home &amp; Kitchen"/>
    <s v="Electric Kettle"/>
    <n v="1"/>
    <n v="0.15"/>
    <n v="1592.01"/>
    <n v="175.02"/>
    <x v="2"/>
    <b v="0"/>
    <b v="0"/>
    <b v="0"/>
    <m/>
  </r>
  <r>
    <n v="218"/>
    <s v="ORD-2025-0218"/>
    <d v="2025-08-16T00:00:00"/>
    <x v="6"/>
    <d v="2025-08-18T00:00:00"/>
    <s v="Standard"/>
    <s v="CUST-0156"/>
    <s v="Divya Rao"/>
    <x v="1"/>
    <x v="11"/>
    <s v="West"/>
    <s v="Office Supplies"/>
    <s v="File Folder"/>
    <n v="1"/>
    <n v="0.15"/>
    <n v="76.650000000000006"/>
    <n v="8.65"/>
    <x v="3"/>
    <b v="0"/>
    <b v="0"/>
    <b v="0"/>
    <m/>
  </r>
  <r>
    <n v="219"/>
    <s v="ORD-2025-0219"/>
    <d v="2025-08-10T00:00:00"/>
    <x v="6"/>
    <d v="2025-08-11T00:00:00"/>
    <s v="Standard"/>
    <s v="CUST-0245"/>
    <s v="Aarav Sharma"/>
    <x v="1"/>
    <x v="11"/>
    <s v="West"/>
    <s v="Home &amp; Kitchen"/>
    <s v="Lunch Box"/>
    <n v="1"/>
    <n v="0.15"/>
    <n v="571.58000000000004"/>
    <n v="101.07"/>
    <x v="1"/>
    <b v="0"/>
    <b v="0"/>
    <b v="0"/>
    <m/>
  </r>
  <r>
    <n v="220"/>
    <s v="ORD-2025-0220"/>
    <d v="2025-08-16T00:00:00"/>
    <x v="6"/>
    <d v="2025-08-19T00:00:00"/>
    <s v="Express"/>
    <s v="CUST-0217"/>
    <s v="Kavya Iyer"/>
    <x v="0"/>
    <x v="0"/>
    <s v="East"/>
    <s v="Furniture"/>
    <s v="Desk Lamp"/>
    <n v="3"/>
    <n v="0.1"/>
    <n v="3340.21"/>
    <n v="223.73"/>
    <x v="1"/>
    <b v="0"/>
    <b v="0"/>
    <b v="0"/>
    <m/>
  </r>
  <r>
    <n v="221"/>
    <s v="ORD-2025-0221"/>
    <d v="2025-07-24T00:00:00"/>
    <x v="7"/>
    <d v="2025-07-28T00:00:00"/>
    <s v="Same Day"/>
    <s v="CUST-0137"/>
    <s v="Arjun Patel"/>
    <x v="0"/>
    <x v="4"/>
    <s v="North"/>
    <s v="Home &amp; Kitchen"/>
    <s v="Electric Kettle"/>
    <n v="4"/>
    <n v="0.1"/>
    <n v="6459.44"/>
    <n v="1914.67"/>
    <x v="2"/>
    <b v="0"/>
    <b v="0"/>
    <b v="0"/>
    <m/>
  </r>
  <r>
    <n v="222"/>
    <s v="ORD-2025-0222"/>
    <d v="2025-07-18T00:00:00"/>
    <x v="7"/>
    <d v="2025-07-20T00:00:00"/>
    <s v="Standard"/>
    <s v="CUST-0083"/>
    <s v="Aditya Kumar"/>
    <x v="2"/>
    <x v="11"/>
    <s v="West"/>
    <s v="Furniture"/>
    <s v="Desk Lamp"/>
    <s v="NULL"/>
    <n v="0"/>
    <n v="2700.9"/>
    <n v="649.94000000000005"/>
    <x v="3"/>
    <b v="0"/>
    <b v="0"/>
    <b v="0"/>
    <m/>
  </r>
  <r>
    <n v="223"/>
    <s v="ORD-2025-0223"/>
    <d v="2025-02-21T00:00:00"/>
    <x v="3"/>
    <d v="2025-02-25T00:00:00"/>
    <s v="Express"/>
    <s v="CUST-0026"/>
    <s v="Nikhil Jain"/>
    <x v="2"/>
    <x v="0"/>
    <s v="East"/>
    <s v="Home &amp; Kitchen"/>
    <s v="Storage Box"/>
    <n v="1"/>
    <n v="0.05"/>
    <n v="857.36"/>
    <n v="289.08"/>
    <x v="3"/>
    <b v="0"/>
    <b v="0"/>
    <b v="0"/>
    <m/>
  </r>
  <r>
    <n v="224"/>
    <s v="ORD-2025-0224"/>
    <d v="2025-08-12T00:00:00"/>
    <x v="6"/>
    <d v="2025-08-17T00:00:00"/>
    <s v="Express"/>
    <s v="CUST-0062"/>
    <s v="Ishita Roy"/>
    <x v="0"/>
    <x v="3"/>
    <s v="South"/>
    <s v="Electronics"/>
    <s v="Wireless Mouse"/>
    <n v="1"/>
    <n v="0.15"/>
    <n v="709.65"/>
    <n v="60.49"/>
    <x v="1"/>
    <b v="0"/>
    <b v="0"/>
    <b v="0"/>
    <m/>
  </r>
  <r>
    <n v="225"/>
    <s v="ORD-2025-0225"/>
    <d v="2025-08-23T00:00:00"/>
    <x v="6"/>
    <d v="2025-08-27T00:00:00"/>
    <s v="Express"/>
    <s v="CUST-0011"/>
    <s v="Pooja Das"/>
    <x v="2"/>
    <x v="11"/>
    <s v="West"/>
    <s v="Office Supplies"/>
    <s v="Desk Organizer"/>
    <n v="2"/>
    <n v="0"/>
    <n v="930.93"/>
    <n v="196.32"/>
    <x v="1"/>
    <b v="0"/>
    <b v="0"/>
    <b v="0"/>
    <m/>
  </r>
  <r>
    <n v="226"/>
    <s v="ORD-2025-0226"/>
    <d v="2025-12-23T00:00:00"/>
    <x v="4"/>
    <d v="2025-12-24T00:00:00"/>
    <s v="Standard"/>
    <s v="CUST-0210"/>
    <s v="Ananya Singh"/>
    <x v="0"/>
    <x v="5"/>
    <s v="North"/>
    <s v="Home &amp; Kitchen"/>
    <s v="Lunch Box"/>
    <n v="2"/>
    <n v="0"/>
    <n v="1456.63"/>
    <n v="540.63"/>
    <x v="2"/>
    <b v="0"/>
    <b v="0"/>
    <b v="0"/>
    <m/>
  </r>
  <r>
    <n v="227"/>
    <s v="ORD-2025-0227"/>
    <d v="2025-09-04T00:00:00"/>
    <x v="5"/>
    <d v="2025-09-09T00:00:00"/>
    <s v="Standard"/>
    <s v="CUST-0094"/>
    <s v="Aarav Sharma"/>
    <x v="0"/>
    <x v="9"/>
    <s v="South"/>
    <s v="Home &amp; Kitchen"/>
    <s v="Coffee Mug"/>
    <n v="5"/>
    <n v="1.25"/>
    <n v="1393.16"/>
    <n v="235.11"/>
    <x v="2"/>
    <b v="0"/>
    <b v="0"/>
    <b v="1"/>
    <m/>
  </r>
  <r>
    <n v="228"/>
    <s v="ORD-2025-0228"/>
    <d v="2025-03-15T00:00:00"/>
    <x v="11"/>
    <d v="2025-03-19T00:00:00"/>
    <s v="Standard"/>
    <s v="CUST-0171"/>
    <s v="Neha Gupta"/>
    <x v="0"/>
    <x v="11"/>
    <s v="West"/>
    <s v="Home &amp; Kitchen"/>
    <s v="Coffee Mug"/>
    <n v="4"/>
    <n v="0.1"/>
    <n v="1061.01"/>
    <n v="97.94"/>
    <x v="4"/>
    <b v="0"/>
    <b v="0"/>
    <b v="0"/>
    <m/>
  </r>
  <r>
    <n v="229"/>
    <s v="ORD-2025-0229"/>
    <d v="2025-12-30T00:00:00"/>
    <x v="4"/>
    <d v="2026-01-04T00:00:00"/>
    <s v="Standard"/>
    <s v="CUST-0247"/>
    <s v="Priya Nair"/>
    <x v="2"/>
    <x v="11"/>
    <s v="West"/>
    <s v="Furniture"/>
    <s v="Bookshelf"/>
    <n v="2"/>
    <n v="0"/>
    <n v="8738.51"/>
    <n v="1377.57"/>
    <x v="1"/>
    <b v="0"/>
    <b v="0"/>
    <b v="0"/>
    <m/>
  </r>
  <r>
    <n v="230"/>
    <s v="ORD-2025-0230"/>
    <d v="2025-06-12T00:00:00"/>
    <x v="8"/>
    <d v="2025-06-15T00:00:00"/>
    <s v="Standard"/>
    <s v="CUST-0018"/>
    <s v="Kiran Joshi"/>
    <x v="0"/>
    <x v="6"/>
    <s v="South"/>
    <s v="Home &amp; Kitchen"/>
    <s v="Water Bottle"/>
    <n v="2"/>
    <n v="0.15"/>
    <n v="886.55"/>
    <n v="152.6"/>
    <x v="3"/>
    <b v="0"/>
    <b v="0"/>
    <b v="0"/>
    <m/>
  </r>
  <r>
    <n v="231"/>
    <s v="ORD-2025-0231"/>
    <d v="2025-12-31T00:00:00"/>
    <x v="4"/>
    <d v="2026-01-04T00:00:00"/>
    <s v="Standard"/>
    <s v="CUST-0105"/>
    <s v="Arjun Patel"/>
    <x v="0"/>
    <x v="9"/>
    <s v="South"/>
    <s v="Office Supplies"/>
    <s v="File Folder"/>
    <n v="1"/>
    <n v="0"/>
    <n v="86.42"/>
    <n v="21.51"/>
    <x v="1"/>
    <b v="0"/>
    <b v="0"/>
    <b v="0"/>
    <m/>
  </r>
  <r>
    <n v="232"/>
    <s v="ORD-2025-0232"/>
    <d v="2025-05-19T00:00:00"/>
    <x v="0"/>
    <d v="2025-05-22T00:00:00"/>
    <s v="Express"/>
    <s v="CUST-0109"/>
    <s v="Vikram Rao"/>
    <x v="2"/>
    <x v="4"/>
    <s v="North"/>
    <s v="Home &amp; Kitchen"/>
    <s v="Electric Kettle"/>
    <n v="5"/>
    <n v="0.1"/>
    <n v="8036.81"/>
    <n v="1872.83"/>
    <x v="0"/>
    <b v="0"/>
    <b v="0"/>
    <b v="0"/>
    <m/>
  </r>
  <r>
    <n v="233"/>
    <s v="ORD-2025-0233"/>
    <d v="2025-08-30T00:00:00"/>
    <x v="6"/>
    <d v="2025-09-03T00:00:00"/>
    <s v="Standard"/>
    <s v="CUST-0112"/>
    <s v="Vikram Rao"/>
    <x v="0"/>
    <x v="7"/>
    <s v="South"/>
    <s v="Home &amp; Kitchen"/>
    <s v="Electric Kettle"/>
    <n v="3"/>
    <n v="0.2"/>
    <n v="4190"/>
    <n v="568.28"/>
    <x v="2"/>
    <b v="0"/>
    <b v="0"/>
    <b v="0"/>
    <m/>
  </r>
  <r>
    <n v="234"/>
    <s v="ORD-2025-0234"/>
    <d v="2025-10-07T00:00:00"/>
    <x v="9"/>
    <d v="2025-10-10T00:00:00"/>
    <s v="Express"/>
    <s v="CUST-0024"/>
    <s v="Neha Gupta"/>
    <x v="2"/>
    <x v="6"/>
    <s v="South"/>
    <s v="Office Supplies"/>
    <s v="Pen Set"/>
    <n v="2"/>
    <n v="0.1"/>
    <n v="223.25"/>
    <n v="58.5"/>
    <x v="3"/>
    <b v="0"/>
    <b v="0"/>
    <b v="0"/>
    <m/>
  </r>
  <r>
    <n v="235"/>
    <s v="ORD-2025-0235"/>
    <d v="2025-12-17T00:00:00"/>
    <x v="4"/>
    <d v="2025-12-22T00:00:00"/>
    <s v="Standard"/>
    <s v="CUST-0054"/>
    <s v="Ananya Singh"/>
    <x v="0"/>
    <x v="10"/>
    <s v="North"/>
    <s v="Office Supplies"/>
    <s v="Calculator"/>
    <n v="1"/>
    <n v="0.2"/>
    <n v="533.80999999999995"/>
    <n v="130.81"/>
    <x v="0"/>
    <b v="0"/>
    <b v="0"/>
    <b v="0"/>
    <m/>
  </r>
  <r>
    <n v="236"/>
    <s v="ORD-2025-0236"/>
    <d v="2025-10-30T00:00:00"/>
    <x v="9"/>
    <d v="2025-11-03T00:00:00"/>
    <s v="Express"/>
    <s v="CUST-0239"/>
    <s v="Rohan Mehta"/>
    <x v="2"/>
    <x v="7"/>
    <s v="South"/>
    <s v="Electronics"/>
    <s v="Power Bank"/>
    <n v="1"/>
    <n v="0"/>
    <n v="1254.97"/>
    <n v="457.8"/>
    <x v="3"/>
    <b v="0"/>
    <b v="0"/>
    <b v="0"/>
    <m/>
  </r>
  <r>
    <n v="237"/>
    <s v="ORD-2025-0237"/>
    <d v="2025-07-04T00:00:00"/>
    <x v="7"/>
    <d v="2025-07-07T00:00:00"/>
    <s v="Standard"/>
    <s v="CUST-0022"/>
    <s v="Kavya Iyer"/>
    <x v="1"/>
    <x v="4"/>
    <s v="North"/>
    <s v="Office Supplies"/>
    <s v="Calculator"/>
    <n v="1"/>
    <n v="0.05"/>
    <n v="648.35"/>
    <n v="192.6"/>
    <x v="1"/>
    <b v="0"/>
    <b v="0"/>
    <b v="0"/>
    <m/>
  </r>
  <r>
    <n v="238"/>
    <s v="ORD-2025-0238"/>
    <d v="2025-05-19T00:00:00"/>
    <x v="0"/>
    <d v="2025-05-21T00:00:00"/>
    <s v="Same Day"/>
    <s v="CUST-0111"/>
    <s v="Arjun Patel"/>
    <x v="0"/>
    <x v="0"/>
    <s v="East"/>
    <s v="Office Supplies"/>
    <s v="Pen Set"/>
    <n v="1"/>
    <n v="0.1"/>
    <n v="107.8"/>
    <n v="24.72"/>
    <x v="3"/>
    <b v="0"/>
    <b v="0"/>
    <b v="0"/>
    <m/>
  </r>
  <r>
    <n v="239"/>
    <s v="ORD-2025-0239"/>
    <d v="2025-04-14T00:00:00"/>
    <x v="10"/>
    <d v="2025-04-17T00:00:00"/>
    <s v="Standard"/>
    <s v="CUST-0126"/>
    <s v="Nikhil Jain"/>
    <x v="0"/>
    <x v="9"/>
    <s v="South"/>
    <s v="Office Supplies"/>
    <s v="File Folder"/>
    <n v="4"/>
    <n v="0.2"/>
    <n v="296.74"/>
    <n v="64.75"/>
    <x v="1"/>
    <b v="0"/>
    <b v="0"/>
    <b v="0"/>
    <m/>
  </r>
  <r>
    <n v="240"/>
    <s v="ORD-2025-0240"/>
    <d v="2025-02-18T00:00:00"/>
    <x v="3"/>
    <d v="2025-02-22T00:00:00"/>
    <s v="Standard"/>
    <s v="CUST-0081"/>
    <s v="Rahul Verma"/>
    <x v="0"/>
    <x v="7"/>
    <s v="South"/>
    <s v="Electronics"/>
    <s v="USB-C Hub"/>
    <n v="1"/>
    <n v="0"/>
    <n v="1524.64"/>
    <n v="464.75"/>
    <x v="3"/>
    <b v="0"/>
    <b v="0"/>
    <b v="0"/>
    <m/>
  </r>
  <r>
    <n v="241"/>
    <s v="ORD-2025-0241"/>
    <d v="2025-03-19T00:00:00"/>
    <x v="11"/>
    <d v="2025-03-21T00:00:00"/>
    <s v="Standard"/>
    <s v="CUST-0216"/>
    <s v="Manish Yadav"/>
    <x v="1"/>
    <x v="3"/>
    <s v="South"/>
    <s v="Office Supplies"/>
    <s v="File Folder"/>
    <n v="1"/>
    <n v="0.15"/>
    <n v="77.39"/>
    <n v="6.41"/>
    <x v="3"/>
    <b v="0"/>
    <b v="0"/>
    <b v="0"/>
    <m/>
  </r>
  <r>
    <n v="242"/>
    <s v="ORD-2025-0242"/>
    <d v="2025-01-13T00:00:00"/>
    <x v="1"/>
    <d v="2025-01-16T00:00:00"/>
    <s v="Express"/>
    <s v="CUST-0089"/>
    <s v="Shreya Kapoor"/>
    <x v="1"/>
    <x v="9"/>
    <s v="South"/>
    <s v="Office Supplies"/>
    <s v="Calculator"/>
    <n v="1"/>
    <n v="0.1"/>
    <n v="611.47"/>
    <n v="179"/>
    <x v="2"/>
    <b v="0"/>
    <b v="0"/>
    <b v="0"/>
    <m/>
  </r>
  <r>
    <n v="243"/>
    <s v="ORD-2025-0243"/>
    <d v="2025-04-24T00:00:00"/>
    <x v="10"/>
    <d v="2025-04-27T00:00:00"/>
    <s v="Standard"/>
    <s v="CUST-0225"/>
    <s v="Nikhil Jain"/>
    <x v="0"/>
    <x v="4"/>
    <s v="North"/>
    <s v="Office Supplies"/>
    <s v="Desk Organizer"/>
    <n v="3"/>
    <n v="0.05"/>
    <n v="1298.92"/>
    <n v="395.09"/>
    <x v="1"/>
    <b v="0"/>
    <b v="0"/>
    <b v="0"/>
    <m/>
  </r>
  <r>
    <n v="244"/>
    <s v="ORD-2025-0244"/>
    <d v="2025-11-30T00:00:00"/>
    <x v="2"/>
    <d v="2025-12-05T00:00:00"/>
    <s v="Standard"/>
    <s v="CUST-0112"/>
    <s v="Rohan Mehta"/>
    <x v="1"/>
    <x v="9"/>
    <s v="South"/>
    <s v="Electronics"/>
    <s v="USB-C Hub"/>
    <n v="4"/>
    <n v="0.1"/>
    <n v="5163.47"/>
    <n v="506.07"/>
    <x v="1"/>
    <b v="0"/>
    <b v="0"/>
    <b v="0"/>
    <m/>
  </r>
  <r>
    <n v="245"/>
    <s v="ORD-2025-0245"/>
    <d v="2025-03-20T00:00:00"/>
    <x v="11"/>
    <d v="2025-03-23T00:00:00"/>
    <s v="Same Day"/>
    <s v="CUST-0024"/>
    <s v="Ishita Roy"/>
    <x v="2"/>
    <x v="9"/>
    <s v="South"/>
    <s v="Electronics"/>
    <s v="USB-C Hub"/>
    <n v="2"/>
    <n v="0.15"/>
    <n v="2621"/>
    <n v="401.82"/>
    <x v="0"/>
    <b v="0"/>
    <b v="0"/>
    <b v="0"/>
    <m/>
  </r>
  <r>
    <n v="246"/>
    <s v="ORD-2025-0246"/>
    <d v="2025-11-21T00:00:00"/>
    <x v="2"/>
    <d v="2025-11-25T00:00:00"/>
    <s v="Express"/>
    <s v="CUST-0169"/>
    <s v="Nikhil Jain"/>
    <x v="0"/>
    <x v="5"/>
    <s v="North"/>
    <s v="Electronics"/>
    <s v="Power Bank"/>
    <n v="1"/>
    <n v="0.25"/>
    <n v="890.58"/>
    <n v="-29.74"/>
    <x v="1"/>
    <b v="0"/>
    <b v="0"/>
    <b v="0"/>
    <m/>
  </r>
  <r>
    <n v="247"/>
    <s v="ORD-2025-0247"/>
    <d v="2025-05-04T00:00:00"/>
    <x v="0"/>
    <d v="2025-05-06T00:00:00"/>
    <s v="Standard"/>
    <s v="CUST-0219"/>
    <s v="Sanjay Menon"/>
    <x v="2"/>
    <x v="3"/>
    <s v="South"/>
    <s v="Electronics"/>
    <s v="Keyboard"/>
    <n v="2"/>
    <n v="0.05"/>
    <n v="2514.94"/>
    <n v="829.39"/>
    <x v="1"/>
    <b v="0"/>
    <b v="0"/>
    <b v="0"/>
    <m/>
  </r>
  <r>
    <n v="248"/>
    <s v="ORD-2025-0248"/>
    <d v="2025-11-05T00:00:00"/>
    <x v="2"/>
    <d v="2025-11-07T00:00:00"/>
    <s v="Standard"/>
    <s v="CUST-0073"/>
    <s v="Aarav Sharma"/>
    <x v="1"/>
    <x v="6"/>
    <s v="South"/>
    <s v="Electronics"/>
    <s v="USB-C Hub"/>
    <n v="2"/>
    <n v="0.1"/>
    <n v="2753.19"/>
    <n v="670.62"/>
    <x v="3"/>
    <b v="0"/>
    <b v="0"/>
    <b v="0"/>
    <m/>
  </r>
  <r>
    <n v="249"/>
    <s v="ORD-2025-0249"/>
    <d v="2025-03-24T00:00:00"/>
    <x v="11"/>
    <d v="2025-03-26T00:00:00"/>
    <s v="Standard"/>
    <s v="CUST-0179"/>
    <s v="Divya Rao"/>
    <x v="0"/>
    <x v="1"/>
    <s v="East"/>
    <s v="Office Supplies"/>
    <s v="Desk Organizer"/>
    <n v="1"/>
    <n v="0"/>
    <n v="447.71"/>
    <n v="113.61"/>
    <x v="2"/>
    <b v="0"/>
    <b v="0"/>
    <b v="0"/>
    <m/>
  </r>
  <r>
    <n v="250"/>
    <s v="ORD-2025-0250"/>
    <d v="2025-01-07T00:00:00"/>
    <x v="1"/>
    <d v="2025-01-08T00:00:00"/>
    <s v="Standard"/>
    <s v="CUST-0073"/>
    <s v="Kiran Joshi"/>
    <x v="1"/>
    <x v="1"/>
    <s v="East"/>
    <s v="Furniture"/>
    <s v="Office Chair"/>
    <n v="2"/>
    <n v="0.05"/>
    <n v="10491.97"/>
    <n v="1606.35"/>
    <x v="2"/>
    <b v="0"/>
    <b v="0"/>
    <b v="0"/>
    <m/>
  </r>
  <r>
    <n v="251"/>
    <s v="ORD-2025-0251"/>
    <d v="2025-09-01T00:00:00"/>
    <x v="5"/>
    <d v="2025-09-04T00:00:00"/>
    <s v="Express"/>
    <s v="CUST-0132"/>
    <s v="Rohan Mehta"/>
    <x v="0"/>
    <x v="5"/>
    <s v="North"/>
    <s v="Electronics"/>
    <s v="Wireless Mouse"/>
    <n v="1"/>
    <n v="0.1"/>
    <n v="689.21"/>
    <n v="64.84"/>
    <x v="0"/>
    <b v="0"/>
    <b v="0"/>
    <b v="0"/>
    <m/>
  </r>
  <r>
    <n v="252"/>
    <s v="ORD-2025-0252"/>
    <d v="2025-06-17T00:00:00"/>
    <x v="8"/>
    <d v="2025-06-18T00:00:00"/>
    <s v="Same Day"/>
    <s v="CUST-0063"/>
    <s v="Aarav Sharma"/>
    <x v="0"/>
    <x v="4"/>
    <s v="North"/>
    <s v="Electronics"/>
    <s v="Bluetooth Speaker"/>
    <n v="3"/>
    <n v="0.15"/>
    <n v="4996.62"/>
    <n v="1407.49"/>
    <x v="1"/>
    <b v="0"/>
    <b v="0"/>
    <b v="0"/>
    <m/>
  </r>
  <r>
    <n v="253"/>
    <s v="ORD-2025-0253"/>
    <d v="2025-11-27T00:00:00"/>
    <x v="2"/>
    <d v="2025-11-29T00:00:00"/>
    <s v="Express"/>
    <s v="CUST-0127"/>
    <s v="Manish Yadav"/>
    <x v="0"/>
    <x v="3"/>
    <s v="South"/>
    <s v="Electronics"/>
    <s v="Bluetooth Speaker"/>
    <n v="3"/>
    <n v="0.1"/>
    <n v="5061.7700000000004"/>
    <n v="1150.17"/>
    <x v="1"/>
    <b v="0"/>
    <b v="0"/>
    <b v="0"/>
    <m/>
  </r>
  <r>
    <n v="254"/>
    <s v="ORD-2025-0254"/>
    <d v="2025-04-01T00:00:00"/>
    <x v="10"/>
    <d v="2025-04-04T00:00:00"/>
    <s v="Standard"/>
    <s v="CUST-0107"/>
    <s v="Vikram Rao"/>
    <x v="0"/>
    <x v="5"/>
    <s v="North"/>
    <s v="Home &amp; Kitchen"/>
    <s v="Lunch Box"/>
    <n v="2"/>
    <n v="0.05"/>
    <n v="1364.06"/>
    <n v="377.77"/>
    <x v="1"/>
    <b v="0"/>
    <b v="0"/>
    <b v="0"/>
    <m/>
  </r>
  <r>
    <n v="255"/>
    <s v="ORD-2025-0255"/>
    <d v="2025-02-27T00:00:00"/>
    <x v="3"/>
    <d v="2025-03-02T00:00:00"/>
    <s v="Standard"/>
    <s v="CUST-0114"/>
    <s v="Aditya Kumar"/>
    <x v="2"/>
    <x v="3"/>
    <s v="South"/>
    <s v="Home &amp; Kitchen"/>
    <s v="Water Bottle"/>
    <n v="3"/>
    <n v="0.1"/>
    <n v="1365.89"/>
    <n v="188.16"/>
    <x v="1"/>
    <b v="0"/>
    <b v="0"/>
    <b v="0"/>
    <m/>
  </r>
  <r>
    <n v="256"/>
    <s v="ORD-2025-0256"/>
    <d v="2025-09-13T00:00:00"/>
    <x v="5"/>
    <d v="2025-09-18T00:00:00"/>
    <s v="Standard"/>
    <s v="CUST-0129"/>
    <s v="Rahul Verma"/>
    <x v="0"/>
    <x v="5"/>
    <s v="North"/>
    <s v="Home &amp; Kitchen"/>
    <s v="Lunch Box"/>
    <n v="1"/>
    <n v="0.05"/>
    <n v="662.03"/>
    <n v="224.69"/>
    <x v="2"/>
    <b v="0"/>
    <b v="0"/>
    <b v="0"/>
    <m/>
  </r>
  <r>
    <n v="257"/>
    <s v="ORD-2025-0257"/>
    <d v="2025-08-30T00:00:00"/>
    <x v="6"/>
    <d v="2025-09-02T00:00:00"/>
    <s v="Standard"/>
    <s v="CUST-0069"/>
    <s v="Aarav Sharma"/>
    <x v="0"/>
    <x v="8"/>
    <s v="West"/>
    <s v="Electronics"/>
    <s v="Power Bank"/>
    <n v="3"/>
    <n v="0.2"/>
    <n v="2967.99"/>
    <n v="244.96"/>
    <x v="1"/>
    <b v="0"/>
    <b v="0"/>
    <b v="0"/>
    <m/>
  </r>
  <r>
    <n v="258"/>
    <s v="ORD-2025-0258"/>
    <d v="2025-12-10T00:00:00"/>
    <x v="4"/>
    <d v="2025-12-11T00:00:00"/>
    <s v="Express"/>
    <s v="CUST-0133"/>
    <s v="Sneha Reddy"/>
    <x v="1"/>
    <x v="8"/>
    <s v="West"/>
    <s v="Office Supplies"/>
    <s v="Notebook"/>
    <n v="3"/>
    <n v="0"/>
    <n v="557.72"/>
    <n v="199.59"/>
    <x v="1"/>
    <b v="0"/>
    <b v="0"/>
    <b v="0"/>
    <m/>
  </r>
  <r>
    <n v="259"/>
    <s v="ORD-2025-0259"/>
    <d v="2025-04-19T00:00:00"/>
    <x v="10"/>
    <d v="2025-04-22T00:00:00"/>
    <s v="Express"/>
    <s v="CUST-0087"/>
    <s v="Nikhil Jain"/>
    <x v="0"/>
    <x v="9"/>
    <s v="South"/>
    <s v="Electronics"/>
    <s v="Wireless Mouse"/>
    <n v="1"/>
    <n v="0.05"/>
    <n v="747.58"/>
    <n v="168.85"/>
    <x v="3"/>
    <b v="0"/>
    <b v="0"/>
    <b v="0"/>
    <m/>
  </r>
  <r>
    <n v="260"/>
    <s v="ORD-2025-0260"/>
    <d v="2025-04-22T00:00:00"/>
    <x v="10"/>
    <d v="2025-04-27T00:00:00"/>
    <s v="Express"/>
    <s v="CUST-0134"/>
    <s v="Pooja Das"/>
    <x v="0"/>
    <x v="8"/>
    <s v="West"/>
    <s v="Office Supplies"/>
    <s v="Notebook"/>
    <n v="2"/>
    <n v="0.15"/>
    <n v="295.76"/>
    <n v="72.42"/>
    <x v="1"/>
    <b v="0"/>
    <b v="0"/>
    <b v="0"/>
    <m/>
  </r>
  <r>
    <n v="261"/>
    <s v="ORD-2025-0261"/>
    <d v="2025-05-02T00:00:00"/>
    <x v="0"/>
    <d v="2025-05-04T00:00:00"/>
    <s v="Standard"/>
    <s v="CUST-0234"/>
    <s v="Aditya Kumar"/>
    <x v="0"/>
    <x v="0"/>
    <s v="East"/>
    <s v="Electronics"/>
    <s v="Wireless Mouse"/>
    <n v="3"/>
    <n v="0.2"/>
    <n v="1943.42"/>
    <n v="178.2"/>
    <x v="1"/>
    <b v="0"/>
    <b v="0"/>
    <b v="0"/>
    <m/>
  </r>
  <r>
    <n v="262"/>
    <s v="ORD-2025-0262"/>
    <d v="2025-03-13T00:00:00"/>
    <x v="11"/>
    <d v="2025-03-16T00:00:00"/>
    <s v="Standard"/>
    <s v="CUST-0019"/>
    <s v="Rahul Verma"/>
    <x v="1"/>
    <x v="11"/>
    <s v="West"/>
    <s v="Office Supplies"/>
    <s v="Desk Organizer"/>
    <n v="1"/>
    <n v="0.25"/>
    <n v="339.42"/>
    <n v="23"/>
    <x v="2"/>
    <b v="0"/>
    <b v="0"/>
    <b v="0"/>
    <m/>
  </r>
  <r>
    <n v="263"/>
    <s v="ORD-2025-0263"/>
    <d v="2025-04-03T00:00:00"/>
    <x v="10"/>
    <d v="2025-04-08T00:00:00"/>
    <s v="Same Day"/>
    <s v="CUST-0039"/>
    <s v="Nikhil Jain"/>
    <x v="0"/>
    <x v="3"/>
    <s v="South"/>
    <s v="Electronics"/>
    <s v="Keyboard"/>
    <n v="2"/>
    <n v="0.2"/>
    <n v="2119.27"/>
    <n v="250.94"/>
    <x v="1"/>
    <b v="0"/>
    <b v="0"/>
    <b v="0"/>
    <m/>
  </r>
  <r>
    <n v="264"/>
    <s v="ORD-2025-0264"/>
    <d v="2025-03-03T00:00:00"/>
    <x v="11"/>
    <d v="2025-03-04T00:00:00"/>
    <s v="Standard"/>
    <s v="CUST-0029"/>
    <s v="Aditya Kumar"/>
    <x v="1"/>
    <x v="9"/>
    <s v="South"/>
    <s v="Home &amp; Kitchen"/>
    <s v="Coffee Mug"/>
    <n v="5"/>
    <n v="0.15"/>
    <n v="1316.16"/>
    <n v="187.96"/>
    <x v="1"/>
    <b v="0"/>
    <b v="0"/>
    <b v="0"/>
    <m/>
  </r>
  <r>
    <n v="265"/>
    <s v="ORD-2025-0265"/>
    <d v="2025-03-27T00:00:00"/>
    <x v="11"/>
    <d v="2025-03-28T00:00:00"/>
    <s v="Express"/>
    <s v="CUST-0206"/>
    <s v="Manish Yadav"/>
    <x v="2"/>
    <x v="4"/>
    <s v="North"/>
    <s v="Electronics"/>
    <s v="USB-C Hub"/>
    <n v="2"/>
    <n v="0.2"/>
    <n v="2394.83"/>
    <n v="336.03"/>
    <x v="3"/>
    <b v="0"/>
    <b v="0"/>
    <b v="0"/>
    <m/>
  </r>
  <r>
    <n v="266"/>
    <s v="ORD-2025-0266"/>
    <d v="2025-05-26T00:00:00"/>
    <x v="0"/>
    <d v="2025-05-29T00:00:00"/>
    <s v="Standard"/>
    <s v="CUST-0006"/>
    <s v="Pooja Das"/>
    <x v="0"/>
    <x v="8"/>
    <s v="West"/>
    <s v="Office Supplies"/>
    <s v="Desk Organizer"/>
    <n v="2"/>
    <n v="0.1"/>
    <n v="792.25"/>
    <n v="196.82"/>
    <x v="2"/>
    <b v="0"/>
    <b v="0"/>
    <b v="0"/>
    <m/>
  </r>
  <r>
    <n v="267"/>
    <s v="ORD-2025-0267"/>
    <d v="2025-11-29T00:00:00"/>
    <x v="2"/>
    <d v="2025-12-04T00:00:00"/>
    <s v="Same Day"/>
    <s v="CUST-0234"/>
    <s v="Rahul Verma"/>
    <x v="0"/>
    <x v="4"/>
    <s v="North"/>
    <s v="Home &amp; Kitchen"/>
    <s v="Storage Box"/>
    <n v="5"/>
    <n v="0.1"/>
    <n v="4243.41"/>
    <n v="1248.3499999999999"/>
    <x v="1"/>
    <b v="0"/>
    <b v="0"/>
    <b v="0"/>
    <m/>
  </r>
  <r>
    <n v="268"/>
    <s v="ORD-2025-0268"/>
    <d v="2025-11-27T00:00:00"/>
    <x v="2"/>
    <d v="2025-11-29T00:00:00"/>
    <s v="Standard"/>
    <s v="CUST-0130"/>
    <s v="Nikhil Jain"/>
    <x v="0"/>
    <x v="2"/>
    <s v="West"/>
    <s v="Office Supplies"/>
    <s v="Desk Organizer"/>
    <n v="2"/>
    <n v="0.1"/>
    <n v="797.85"/>
    <n v="72.58"/>
    <x v="2"/>
    <b v="0"/>
    <b v="0"/>
    <b v="0"/>
    <m/>
  </r>
  <r>
    <n v="269"/>
    <s v="ORD-2025-0269"/>
    <d v="2025-12-23T00:00:00"/>
    <x v="4"/>
    <d v="2025-12-28T00:00:00"/>
    <s v="Express"/>
    <s v="CUST-0099"/>
    <s v="Arjun Patel"/>
    <x v="0"/>
    <x v="7"/>
    <s v="South"/>
    <s v="Electronics"/>
    <s v="Wireless Mouse"/>
    <n v="3"/>
    <n v="0.1"/>
    <n v="2124.98"/>
    <n v="314.06"/>
    <x v="2"/>
    <b v="0"/>
    <b v="0"/>
    <b v="0"/>
    <m/>
  </r>
  <r>
    <n v="270"/>
    <s v="ORD-2025-0270"/>
    <d v="2025-08-03T00:00:00"/>
    <x v="6"/>
    <d v="2025-08-06T00:00:00"/>
    <s v="Express"/>
    <s v="CUST-0245"/>
    <s v="Neha Gupta"/>
    <x v="0"/>
    <x v="4"/>
    <s v="North"/>
    <s v="Office Supplies"/>
    <s v="File Folder"/>
    <n v="1"/>
    <n v="0.05"/>
    <n v="84.93"/>
    <n v="15.19"/>
    <x v="3"/>
    <b v="0"/>
    <b v="0"/>
    <b v="0"/>
    <m/>
  </r>
  <r>
    <n v="271"/>
    <s v="ORD-2025-0271"/>
    <d v="2025-04-04T00:00:00"/>
    <x v="10"/>
    <d v="2025-04-08T00:00:00"/>
    <s v="Standard"/>
    <s v="CUST-0218"/>
    <s v="Priya Nair"/>
    <x v="0"/>
    <x v="4"/>
    <s v="North"/>
    <s v="Furniture"/>
    <s v="Bookshelf"/>
    <n v="1"/>
    <n v="0"/>
    <n v="4702.18"/>
    <n v="1164.8599999999999"/>
    <x v="3"/>
    <b v="0"/>
    <b v="0"/>
    <b v="0"/>
    <m/>
  </r>
  <r>
    <n v="272"/>
    <s v="ORD-2025-0272"/>
    <d v="2025-08-10T00:00:00"/>
    <x v="6"/>
    <d v="2025-08-15T00:00:00"/>
    <s v="Standard"/>
    <s v="CUST-0122"/>
    <s v="Meera Shah"/>
    <x v="0"/>
    <x v="11"/>
    <s v="West"/>
    <s v="Office Supplies"/>
    <s v="Notebook"/>
    <n v="2"/>
    <n v="0.1"/>
    <n v="318.31"/>
    <n v="75.709999999999994"/>
    <x v="3"/>
    <b v="0"/>
    <b v="0"/>
    <b v="0"/>
    <m/>
  </r>
  <r>
    <n v="273"/>
    <s v="ORD-2025-0273"/>
    <d v="2025-12-06T00:00:00"/>
    <x v="4"/>
    <d v="2025-12-08T00:00:00"/>
    <s v="Standard"/>
    <s v="CUST-0001"/>
    <s v="Arjun Patel"/>
    <x v="0"/>
    <x v="7"/>
    <s v="South"/>
    <s v="Electronics"/>
    <s v="Power Bank"/>
    <n v="2"/>
    <n v="0.25"/>
    <n v="1834.28"/>
    <n v="170.86"/>
    <x v="1"/>
    <b v="0"/>
    <b v="0"/>
    <b v="0"/>
    <m/>
  </r>
  <r>
    <n v="274"/>
    <s v="ORD-2025-0274"/>
    <d v="2025-06-25T00:00:00"/>
    <x v="8"/>
    <d v="2025-06-26T00:00:00"/>
    <s v="Standard"/>
    <s v="CUST-0157"/>
    <s v="Vikram Rao"/>
    <x v="2"/>
    <x v="8"/>
    <s v="West"/>
    <s v="Home &amp; Kitchen"/>
    <s v="Lunch Box"/>
    <n v="2"/>
    <n v="0.2"/>
    <n v="1162.9000000000001"/>
    <n v="47.82"/>
    <x v="4"/>
    <b v="0"/>
    <b v="0"/>
    <b v="0"/>
    <m/>
  </r>
  <r>
    <n v="275"/>
    <s v="ORD-2025-0275"/>
    <d v="2025-06-25T00:00:00"/>
    <x v="8"/>
    <d v="2025-06-28T00:00:00"/>
    <s v="Express"/>
    <s v="CUST-0224"/>
    <s v="Neha Gupta"/>
    <x v="0"/>
    <x v="9"/>
    <s v="South"/>
    <s v="Home &amp; Kitchen"/>
    <s v="Lunch Box"/>
    <n v="2"/>
    <n v="0"/>
    <n v="1467.75"/>
    <n v="509.66"/>
    <x v="3"/>
    <b v="0"/>
    <b v="0"/>
    <b v="0"/>
    <m/>
  </r>
  <r>
    <n v="276"/>
    <s v="ORD-2025-0276"/>
    <d v="2025-10-31T00:00:00"/>
    <x v="9"/>
    <d v="2025-11-05T00:00:00"/>
    <s v="Express"/>
    <s v="CUST-0114"/>
    <s v="Nikhil Jain"/>
    <x v="1"/>
    <x v="9"/>
    <s v="South"/>
    <s v="Furniture"/>
    <s v="Folding Chair"/>
    <n v="5"/>
    <n v="0.2"/>
    <n v="7003.16"/>
    <n v="1400.39"/>
    <x v="1"/>
    <b v="0"/>
    <b v="0"/>
    <b v="0"/>
    <m/>
  </r>
  <r>
    <n v="277"/>
    <s v="ORD-2025-0277"/>
    <d v="2025-12-07T00:00:00"/>
    <x v="4"/>
    <d v="2025-12-12T00:00:00"/>
    <s v="Same Day"/>
    <s v="CUST-0127"/>
    <s v="Manish Yadav"/>
    <x v="0"/>
    <x v="5"/>
    <s v="North"/>
    <s v="Home &amp; Kitchen"/>
    <s v="Lunch Box"/>
    <n v="2"/>
    <n v="0.1"/>
    <n v="1269.1400000000001"/>
    <n v="239.95"/>
    <x v="2"/>
    <b v="0"/>
    <b v="0"/>
    <b v="0"/>
    <m/>
  </r>
  <r>
    <n v="278"/>
    <s v="ORD-2025-0278"/>
    <d v="2025-07-02T00:00:00"/>
    <x v="7"/>
    <d v="2025-07-06T00:00:00"/>
    <s v="Same Day"/>
    <s v="CUST-0012"/>
    <s v="Ishita Roy"/>
    <x v="1"/>
    <x v="6"/>
    <s v="South"/>
    <s v="Office Supplies"/>
    <s v="File Folder"/>
    <n v="4"/>
    <n v="0.05"/>
    <n v="342.95"/>
    <n v="104.51"/>
    <x v="4"/>
    <b v="0"/>
    <b v="0"/>
    <b v="0"/>
    <m/>
  </r>
  <r>
    <n v="279"/>
    <s v="ORD-2025-0279"/>
    <d v="2025-06-04T00:00:00"/>
    <x v="8"/>
    <d v="2025-06-06T00:00:00"/>
    <s v="Express"/>
    <s v="CUST-0087"/>
    <s v="Rohan Mehta"/>
    <x v="1"/>
    <x v="0"/>
    <s v="East"/>
    <s v="Furniture"/>
    <s v="Office Chair"/>
    <n v="4"/>
    <n v="0.2"/>
    <n v="16910.64"/>
    <n v="-796.35"/>
    <x v="0"/>
    <b v="0"/>
    <b v="0"/>
    <b v="0"/>
    <m/>
  </r>
  <r>
    <n v="280"/>
    <s v="ORD-2025-0280"/>
    <d v="2025-05-23T00:00:00"/>
    <x v="0"/>
    <d v="2025-05-27T00:00:00"/>
    <s v="Standard"/>
    <s v="CUST-0174"/>
    <s v="Meera Shah"/>
    <x v="0"/>
    <x v="9"/>
    <s v="South"/>
    <s v="Electronics"/>
    <s v="Bluetooth Speaker"/>
    <n v="2"/>
    <n v="0.1"/>
    <n v="3261.76"/>
    <n v="466.64"/>
    <x v="2"/>
    <b v="0"/>
    <b v="0"/>
    <b v="0"/>
    <m/>
  </r>
  <r>
    <n v="281"/>
    <s v="ORD-2025-0281"/>
    <d v="2025-01-20T00:00:00"/>
    <x v="1"/>
    <d v="2025-01-23T00:00:00"/>
    <s v="Express"/>
    <s v="CUST-0066"/>
    <s v="Arjun Patel"/>
    <x v="2"/>
    <x v="0"/>
    <s v="East"/>
    <s v="Electronics"/>
    <s v="Bluetooth Speaker"/>
    <n v="2"/>
    <n v="0.1"/>
    <n v="3465.72"/>
    <n v="386.65"/>
    <x v="2"/>
    <b v="0"/>
    <b v="0"/>
    <b v="0"/>
    <m/>
  </r>
  <r>
    <n v="282"/>
    <s v="ORD-2025-0282"/>
    <d v="2025-05-28T00:00:00"/>
    <x v="0"/>
    <d v="2025-06-02T00:00:00"/>
    <s v="Express"/>
    <s v="CUST-0116"/>
    <s v="Divya Rao"/>
    <x v="1"/>
    <x v="10"/>
    <s v="North"/>
    <s v="Electronics"/>
    <s v="Bluetooth Speaker"/>
    <n v="1"/>
    <n v="0.1"/>
    <n v="1696"/>
    <n v="486.5"/>
    <x v="3"/>
    <b v="0"/>
    <b v="0"/>
    <b v="0"/>
    <m/>
  </r>
  <r>
    <n v="283"/>
    <s v="ORD-2025-0283"/>
    <d v="2025-03-29T00:00:00"/>
    <x v="11"/>
    <d v="2025-03-30T00:00:00"/>
    <s v="Express"/>
    <s v="CUST-0239"/>
    <s v="Kavya Iyer"/>
    <x v="2"/>
    <x v="10"/>
    <s v="North"/>
    <s v="Office Supplies"/>
    <s v="Desk Organizer"/>
    <n v="1"/>
    <n v="0.15"/>
    <n v="401.52"/>
    <n v="119.82"/>
    <x v="2"/>
    <b v="0"/>
    <b v="0"/>
    <b v="0"/>
    <m/>
  </r>
  <r>
    <n v="284"/>
    <s v="ORD-2025-0284"/>
    <d v="2025-09-30T00:00:00"/>
    <x v="5"/>
    <d v="2025-10-02T00:00:00"/>
    <s v="Standard"/>
    <s v="CUST-0178"/>
    <s v="Vikram Rao"/>
    <x v="0"/>
    <x v="2"/>
    <s v="West"/>
    <s v="Electronics"/>
    <s v="USB-C Hub"/>
    <n v="2"/>
    <n v="0.05"/>
    <n v="2972.84"/>
    <n v="1063.05"/>
    <x v="1"/>
    <b v="0"/>
    <b v="0"/>
    <b v="0"/>
    <m/>
  </r>
  <r>
    <n v="285"/>
    <s v="ORD-2025-0285"/>
    <d v="2025-10-20T00:00:00"/>
    <x v="9"/>
    <d v="2025-10-21T00:00:00"/>
    <s v="Standard"/>
    <s v="CUST-0104"/>
    <s v="Aditya Kumar"/>
    <x v="0"/>
    <x v="7"/>
    <s v="South"/>
    <s v="Office Supplies"/>
    <s v="Pen Set"/>
    <n v="2"/>
    <n v="0.1"/>
    <n v="226.1"/>
    <n v="56.19"/>
    <x v="1"/>
    <b v="0"/>
    <b v="0"/>
    <b v="0"/>
    <m/>
  </r>
  <r>
    <n v="286"/>
    <s v="ORD-2025-0286"/>
    <d v="2025-05-05T00:00:00"/>
    <x v="0"/>
    <d v="2025-05-10T00:00:00"/>
    <s v="Express"/>
    <s v="CUST-0223"/>
    <s v="Ishita Roy"/>
    <x v="0"/>
    <x v="5"/>
    <s v="North"/>
    <s v="Electronics"/>
    <s v="USB-C Hub"/>
    <n v="1"/>
    <n v="0.05"/>
    <n v="1361.76"/>
    <n v="369.27"/>
    <x v="4"/>
    <b v="0"/>
    <b v="0"/>
    <b v="0"/>
    <m/>
  </r>
  <r>
    <n v="287"/>
    <s v="ORD-2025-0287"/>
    <d v="2025-07-09T00:00:00"/>
    <x v="7"/>
    <d v="2025-07-14T00:00:00"/>
    <s v="Standard"/>
    <s v="CUST-0152"/>
    <s v="Rahul Verma"/>
    <x v="0"/>
    <x v="2"/>
    <s v="West"/>
    <s v="Electronics"/>
    <s v="Keyboard"/>
    <n v="3"/>
    <n v="0.1"/>
    <n v="3499.76"/>
    <n v="475.25"/>
    <x v="1"/>
    <b v="0"/>
    <b v="0"/>
    <b v="0"/>
    <m/>
  </r>
  <r>
    <n v="288"/>
    <s v="ORD-2025-0288"/>
    <d v="2025-04-16T00:00:00"/>
    <x v="10"/>
    <d v="2025-04-21T00:00:00"/>
    <s v="Express"/>
    <s v="CUST-0176"/>
    <s v="Ishita Roy"/>
    <x v="1"/>
    <x v="2"/>
    <s v="West"/>
    <s v="Home &amp; Kitchen"/>
    <s v="Water Bottle"/>
    <n v="5"/>
    <n v="0.05"/>
    <n v="2350.96"/>
    <n v="575.29999999999995"/>
    <x v="2"/>
    <b v="0"/>
    <b v="0"/>
    <b v="0"/>
    <m/>
  </r>
  <r>
    <n v="289"/>
    <s v="ORD-2025-0289"/>
    <d v="2025-08-06T00:00:00"/>
    <x v="6"/>
    <d v="2025-08-09T00:00:00"/>
    <s v="Express"/>
    <s v="CUST-0076"/>
    <s v="Pooja Das"/>
    <x v="1"/>
    <x v="9"/>
    <s v="South"/>
    <s v="Home &amp; Kitchen"/>
    <s v="Electric Kettle"/>
    <n v="3"/>
    <n v="0.2"/>
    <n v="4327.43"/>
    <n v="473.04"/>
    <x v="2"/>
    <b v="0"/>
    <b v="0"/>
    <b v="0"/>
    <m/>
  </r>
  <r>
    <n v="290"/>
    <s v="ORD-2025-0290"/>
    <d v="2025-08-12T00:00:00"/>
    <x v="6"/>
    <d v="2025-08-17T00:00:00"/>
    <s v="Standard"/>
    <s v="CUST-0077"/>
    <s v="Meera Shah"/>
    <x v="1"/>
    <x v="2"/>
    <s v="West"/>
    <s v="Electronics"/>
    <s v="Keyboard"/>
    <n v="3"/>
    <n v="0.1"/>
    <n v="3644.04"/>
    <n v="590.46"/>
    <x v="1"/>
    <b v="0"/>
    <b v="0"/>
    <b v="0"/>
    <m/>
  </r>
  <r>
    <n v="291"/>
    <s v="ORD-2025-0291"/>
    <d v="2025-08-08T00:00:00"/>
    <x v="6"/>
    <d v="2025-08-13T00:00:00"/>
    <s v="Standard"/>
    <s v="CUST-0226"/>
    <s v="Divya Rao"/>
    <x v="0"/>
    <x v="0"/>
    <s v="East"/>
    <s v="Furniture"/>
    <s v="Office Chair"/>
    <n v="1"/>
    <n v="0.1"/>
    <n v="4839.55"/>
    <n v="1189.6300000000001"/>
    <x v="0"/>
    <b v="0"/>
    <b v="0"/>
    <b v="0"/>
    <m/>
  </r>
  <r>
    <n v="292"/>
    <s v="ORD-2025-0292"/>
    <d v="2025-09-13T00:00:00"/>
    <x v="5"/>
    <d v="2025-09-16T00:00:00"/>
    <s v="Standard"/>
    <s v="CUST-0069"/>
    <s v="Shreya Kapoor"/>
    <x v="1"/>
    <x v="11"/>
    <s v="West"/>
    <s v="Home &amp; Kitchen"/>
    <s v="Water Bottle"/>
    <n v="2"/>
    <n v="0.15"/>
    <n v="834.51"/>
    <n v="70.150000000000006"/>
    <x v="1"/>
    <b v="0"/>
    <b v="0"/>
    <b v="0"/>
    <m/>
  </r>
  <r>
    <n v="293"/>
    <s v="ORD-2025-0293"/>
    <d v="2025-01-13T00:00:00"/>
    <x v="1"/>
    <d v="2025-01-18T00:00:00"/>
    <s v="Express"/>
    <s v="CUST-0205"/>
    <s v="Nikhil Jain"/>
    <x v="0"/>
    <x v="7"/>
    <s v="South"/>
    <s v="Electronics"/>
    <s v="Keyboard"/>
    <n v="1"/>
    <n v="0.05"/>
    <n v="1279.79"/>
    <n v="268.49"/>
    <x v="3"/>
    <b v="0"/>
    <b v="0"/>
    <b v="0"/>
    <m/>
  </r>
  <r>
    <n v="294"/>
    <s v="ORD-2025-0294"/>
    <d v="2025-04-19T00:00:00"/>
    <x v="10"/>
    <d v="2025-04-22T00:00:00"/>
    <s v="Standard"/>
    <s v="CUST-0241"/>
    <s v="Divya Rao"/>
    <x v="1"/>
    <x v="10"/>
    <s v="North"/>
    <s v="Office Supplies"/>
    <s v="Notebook"/>
    <n v="2"/>
    <n v="0.2"/>
    <n v="280.45999999999998"/>
    <n v="-8.15"/>
    <x v="2"/>
    <b v="0"/>
    <b v="0"/>
    <b v="0"/>
    <m/>
  </r>
  <r>
    <n v="295"/>
    <s v="ORD-2025-0295"/>
    <d v="2025-09-26T00:00:00"/>
    <x v="5"/>
    <d v="2025-09-29T00:00:00"/>
    <s v="Standard"/>
    <s v="CUST-0168"/>
    <s v="Manish Yadav"/>
    <x v="1"/>
    <x v="3"/>
    <s v="South"/>
    <s v="Office Supplies"/>
    <s v="Calculator"/>
    <n v="2"/>
    <n v="0.2"/>
    <n v="991.17"/>
    <n v="132.01"/>
    <x v="0"/>
    <b v="0"/>
    <b v="0"/>
    <b v="0"/>
    <m/>
  </r>
  <r>
    <n v="296"/>
    <s v="ORD-2025-0296"/>
    <d v="2025-11-09T00:00:00"/>
    <x v="2"/>
    <d v="2025-11-13T00:00:00"/>
    <s v="Express"/>
    <s v="CUST-0075"/>
    <s v="Priya Nair"/>
    <x v="0"/>
    <x v="2"/>
    <s v="West"/>
    <s v="Office Supplies"/>
    <s v="Calculator"/>
    <n v="2"/>
    <n v="0.05"/>
    <n v="1287.9100000000001"/>
    <n v="222.85"/>
    <x v="1"/>
    <b v="0"/>
    <b v="0"/>
    <b v="0"/>
    <m/>
  </r>
  <r>
    <n v="297"/>
    <s v="ORD-2025-0297"/>
    <d v="2025-07-09T00:00:00"/>
    <x v="7"/>
    <d v="2025-07-13T00:00:00"/>
    <s v="Standard"/>
    <s v="CUST-0139"/>
    <s v="Vikram Rao"/>
    <x v="0"/>
    <x v="4"/>
    <s v="North"/>
    <s v="Office Supplies"/>
    <s v="Calculator"/>
    <n v="2"/>
    <n v="0.05"/>
    <n v="1220.1500000000001"/>
    <n v="205.77"/>
    <x v="2"/>
    <b v="0"/>
    <b v="0"/>
    <b v="0"/>
    <m/>
  </r>
  <r>
    <n v="298"/>
    <s v="ORD-2025-0298"/>
    <d v="2025-12-08T00:00:00"/>
    <x v="4"/>
    <d v="2025-12-10T00:00:00"/>
    <s v="Standard"/>
    <s v="CUST-0200"/>
    <s v="Rohan Mehta"/>
    <x v="0"/>
    <x v="8"/>
    <s v="West"/>
    <s v="Electronics"/>
    <s v="Power Bank"/>
    <n v="2"/>
    <n v="0.2"/>
    <n v="1883.49"/>
    <n v="37.31"/>
    <x v="3"/>
    <b v="0"/>
    <b v="0"/>
    <b v="0"/>
    <m/>
  </r>
  <r>
    <n v="299"/>
    <s v="ORD-2025-0299"/>
    <d v="2025-12-25T00:00:00"/>
    <x v="4"/>
    <d v="2025-12-29T00:00:00"/>
    <s v="Standard"/>
    <s v="CUST-0028"/>
    <s v="Priya Nair"/>
    <x v="1"/>
    <x v="6"/>
    <s v="South"/>
    <s v="Electronics"/>
    <s v="Power Bank"/>
    <n v="1"/>
    <n v="0"/>
    <n v="1210.67"/>
    <n v="310.61"/>
    <x v="3"/>
    <b v="0"/>
    <b v="0"/>
    <b v="0"/>
    <m/>
  </r>
  <r>
    <n v="300"/>
    <s v="ORD-2025-0300"/>
    <d v="2025-11-04T00:00:00"/>
    <x v="2"/>
    <d v="2025-11-06T00:00:00"/>
    <s v="Express"/>
    <s v="CUST-0238"/>
    <s v="Manish Yadav"/>
    <x v="0"/>
    <x v="9"/>
    <s v="South"/>
    <s v="Office Supplies"/>
    <s v="Pen Set"/>
    <n v="1"/>
    <n v="0.25"/>
    <n v="91.94"/>
    <n v="0.59"/>
    <x v="1"/>
    <b v="0"/>
    <b v="0"/>
    <b v="0"/>
    <m/>
  </r>
  <r>
    <n v="301"/>
    <s v="ORD-2025-0301"/>
    <d v="2025-10-23T00:00:00"/>
    <x v="9"/>
    <d v="2025-10-24T00:00:00"/>
    <s v="Standard"/>
    <s v="CUST-0132"/>
    <s v="Ananya Singh"/>
    <x v="0"/>
    <x v="1"/>
    <s v="East"/>
    <s v="Electronics"/>
    <s v="Bluetooth Speaker"/>
    <n v="1"/>
    <n v="0.05"/>
    <n v="1882.61"/>
    <n v="634.69000000000005"/>
    <x v="1"/>
    <b v="0"/>
    <b v="0"/>
    <b v="0"/>
    <m/>
  </r>
  <r>
    <n v="302"/>
    <s v="ORD-2025-0302"/>
    <d v="2025-10-17T00:00:00"/>
    <x v="9"/>
    <d v="2025-10-20T00:00:00"/>
    <s v="Express"/>
    <s v="CUST-0026"/>
    <s v="Shreya Kapoor"/>
    <x v="1"/>
    <x v="10"/>
    <s v="North"/>
    <s v="Electronics"/>
    <s v="USB-C Hub"/>
    <n v="1"/>
    <n v="0.1"/>
    <n v="1314.92"/>
    <n v="244.35"/>
    <x v="3"/>
    <b v="0"/>
    <b v="0"/>
    <b v="0"/>
    <m/>
  </r>
  <r>
    <n v="303"/>
    <s v="ORD-2025-0303"/>
    <d v="2025-09-28T00:00:00"/>
    <x v="5"/>
    <d v="2025-10-01T00:00:00"/>
    <s v="Standard"/>
    <s v="CUST-0162"/>
    <s v="Ishita Roy"/>
    <x v="2"/>
    <x v="6"/>
    <s v="South"/>
    <s v="Home &amp; Kitchen"/>
    <s v="Electric Kettle"/>
    <n v="3"/>
    <n v="0"/>
    <n v="5241.8100000000004"/>
    <n v="1179.46"/>
    <x v="0"/>
    <b v="0"/>
    <b v="0"/>
    <b v="0"/>
    <m/>
  </r>
  <r>
    <n v="304"/>
    <s v="ORD-2025-0304"/>
    <d v="2025-05-29T00:00:00"/>
    <x v="0"/>
    <d v="2025-05-30T00:00:00"/>
    <s v="Standard"/>
    <s v="CUST-0225"/>
    <s v="Shreya Kapoor"/>
    <x v="0"/>
    <x v="11"/>
    <s v="West"/>
    <s v="Office Supplies"/>
    <s v="Notebook"/>
    <n v="1"/>
    <n v="0"/>
    <n v="186.54"/>
    <n v="45.33"/>
    <x v="3"/>
    <b v="0"/>
    <b v="0"/>
    <b v="0"/>
    <m/>
  </r>
  <r>
    <n v="305"/>
    <s v="ORD-2025-0305"/>
    <d v="2025-03-11T00:00:00"/>
    <x v="11"/>
    <d v="2025-03-12T00:00:00"/>
    <s v="Standard"/>
    <s v="CUST-0091"/>
    <s v="Ishita Roy"/>
    <x v="0"/>
    <x v="4"/>
    <s v="North"/>
    <s v="Electronics"/>
    <s v="USB-C Hub"/>
    <n v="1"/>
    <n v="0"/>
    <n v="1430.83"/>
    <n v="436.12"/>
    <x v="4"/>
    <b v="0"/>
    <b v="0"/>
    <b v="0"/>
    <m/>
  </r>
  <r>
    <n v="306"/>
    <s v="ORD-2025-0306"/>
    <d v="2025-07-19T00:00:00"/>
    <x v="7"/>
    <d v="2025-07-22T00:00:00"/>
    <s v="Standard"/>
    <s v="CUST-0055"/>
    <s v="Arjun Patel"/>
    <x v="0"/>
    <x v="10"/>
    <s v="North"/>
    <s v="Office Supplies"/>
    <s v="Desk Organizer"/>
    <n v="2"/>
    <n v="0.35"/>
    <n v="880.73"/>
    <n v="303.93"/>
    <x v="0"/>
    <b v="0"/>
    <b v="0"/>
    <b v="0"/>
    <m/>
  </r>
  <r>
    <n v="307"/>
    <s v="ORD-2025-0307"/>
    <d v="2025-07-07T00:00:00"/>
    <x v="7"/>
    <d v="2025-07-10T00:00:00"/>
    <s v="Standard"/>
    <s v="CUST-0090"/>
    <s v="Kiran Joshi"/>
    <x v="1"/>
    <x v="0"/>
    <s v="East"/>
    <s v="Electronics"/>
    <s v="Wireless Mouse"/>
    <n v="2"/>
    <n v="0.15"/>
    <n v="1379.86"/>
    <n v="218.98"/>
    <x v="1"/>
    <b v="0"/>
    <b v="0"/>
    <b v="0"/>
    <m/>
  </r>
  <r>
    <n v="308"/>
    <s v="ORD-2025-0308"/>
    <d v="2025-07-05T00:00:00"/>
    <x v="7"/>
    <d v="2025-07-10T00:00:00"/>
    <s v="Standard"/>
    <s v="CUST-0089"/>
    <s v="Pooja Das"/>
    <x v="0"/>
    <x v="5"/>
    <s v="North"/>
    <s v="Home &amp; Kitchen"/>
    <s v="Storage Box"/>
    <n v="3"/>
    <n v="0"/>
    <n v="2626.9"/>
    <n v="876.92"/>
    <x v="1"/>
    <b v="0"/>
    <b v="0"/>
    <b v="0"/>
    <m/>
  </r>
  <r>
    <n v="309"/>
    <s v="ORD-2025-0309"/>
    <d v="2025-12-01T00:00:00"/>
    <x v="4"/>
    <d v="2025-12-02T00:00:00"/>
    <s v="Express"/>
    <s v="CUST-0190"/>
    <s v="Sanjay Menon"/>
    <x v="0"/>
    <x v="9"/>
    <s v="South"/>
    <s v="Home &amp; Kitchen"/>
    <s v="Water Bottle"/>
    <n v="1"/>
    <n v="0.15"/>
    <n v="406.18"/>
    <n v="7.39"/>
    <x v="3"/>
    <b v="0"/>
    <b v="0"/>
    <b v="0"/>
    <m/>
  </r>
  <r>
    <n v="310"/>
    <s v="ORD-2025-0310"/>
    <d v="2025-03-13T00:00:00"/>
    <x v="11"/>
    <d v="2025-03-18T00:00:00"/>
    <s v="Express"/>
    <s v="CUST-0159"/>
    <s v="Rahul Verma"/>
    <x v="0"/>
    <x v="11"/>
    <s v="West"/>
    <s v="Electronics"/>
    <s v="Wireless Mouse"/>
    <n v="2"/>
    <n v="0"/>
    <n v="1610.22"/>
    <n v="375.96"/>
    <x v="2"/>
    <b v="0"/>
    <b v="0"/>
    <b v="0"/>
    <m/>
  </r>
  <r>
    <n v="311"/>
    <s v="ORD-2025-0311"/>
    <d v="2025-01-20T00:00:00"/>
    <x v="1"/>
    <d v="2025-01-23T00:00:00"/>
    <s v="Standard"/>
    <s v="CUST-0014"/>
    <s v="Meera Shah"/>
    <x v="0"/>
    <x v="3"/>
    <s v="South"/>
    <s v="Electronics"/>
    <s v="Wireless Mouse"/>
    <n v="1"/>
    <n v="0.1"/>
    <n v="730.35"/>
    <n v="79.78"/>
    <x v="3"/>
    <b v="0"/>
    <b v="0"/>
    <b v="0"/>
    <m/>
  </r>
  <r>
    <n v="312"/>
    <s v="ORD-2025-0312"/>
    <d v="2025-04-10T00:00:00"/>
    <x v="10"/>
    <d v="2025-04-13T00:00:00"/>
    <s v="Express"/>
    <s v="CUST-0061"/>
    <s v="Nikhil Jain"/>
    <x v="2"/>
    <x v="0"/>
    <s v="East"/>
    <s v="Electronics"/>
    <s v="Bluetooth Speaker"/>
    <n v="1"/>
    <n v="0.15"/>
    <n v="1598.53"/>
    <n v="104.53"/>
    <x v="0"/>
    <b v="0"/>
    <b v="0"/>
    <b v="0"/>
    <m/>
  </r>
  <r>
    <n v="313"/>
    <s v="ORD-2025-0313"/>
    <d v="2025-08-27T00:00:00"/>
    <x v="6"/>
    <d v="2025-08-31T00:00:00"/>
    <s v="Same Day"/>
    <s v="CUST-0132"/>
    <s v="Kiran Joshi"/>
    <x v="0"/>
    <x v="11"/>
    <s v="West"/>
    <s v="Office Supplies"/>
    <s v="File Folder"/>
    <n v="3"/>
    <n v="0.15"/>
    <n v="230.79"/>
    <n v="61.82"/>
    <x v="3"/>
    <b v="0"/>
    <b v="0"/>
    <b v="0"/>
    <m/>
  </r>
  <r>
    <n v="314"/>
    <s v="ORD-2025-0314"/>
    <d v="2025-06-08T00:00:00"/>
    <x v="8"/>
    <d v="2025-06-09T00:00:00"/>
    <s v="Standard"/>
    <s v="CUST-0108"/>
    <s v="Manish Yadav"/>
    <x v="0"/>
    <x v="11"/>
    <s v="West"/>
    <s v="Furniture"/>
    <s v="Bookshelf"/>
    <n v="1"/>
    <n v="0.25"/>
    <n v="3384.77"/>
    <n v="-236.02"/>
    <x v="1"/>
    <b v="0"/>
    <b v="0"/>
    <b v="0"/>
    <m/>
  </r>
  <r>
    <n v="315"/>
    <s v="ORD-2025-0315"/>
    <d v="2025-08-09T00:00:00"/>
    <x v="6"/>
    <d v="2025-08-13T00:00:00"/>
    <s v="Express"/>
    <s v="CUST-0094"/>
    <s v="Ananya Singh"/>
    <x v="2"/>
    <x v="11"/>
    <s v="West"/>
    <s v="Electronics"/>
    <s v="Keyboard"/>
    <n v="2"/>
    <n v="0.15"/>
    <n v="2195.91"/>
    <n v="120.84"/>
    <x v="1"/>
    <b v="0"/>
    <b v="0"/>
    <b v="0"/>
    <m/>
  </r>
  <r>
    <n v="316"/>
    <s v="ORD-2025-0316"/>
    <d v="2025-09-28T00:00:00"/>
    <x v="5"/>
    <d v="2025-09-30T00:00:00"/>
    <s v="Standard"/>
    <s v="CUST-0112"/>
    <s v="Rahul Verma"/>
    <x v="2"/>
    <x v="2"/>
    <s v="West"/>
    <s v="Electronics"/>
    <s v="Power Bank"/>
    <n v="2"/>
    <n v="0.1"/>
    <n v="2161.2399999999998"/>
    <n v="526.54"/>
    <x v="2"/>
    <b v="0"/>
    <b v="0"/>
    <b v="0"/>
    <m/>
  </r>
  <r>
    <n v="317"/>
    <s v="ORD-2025-0317"/>
    <d v="2025-08-02T00:00:00"/>
    <x v="6"/>
    <d v="2025-08-05T00:00:00"/>
    <s v="Express"/>
    <s v="CUST-0011"/>
    <s v="Kiran Joshi"/>
    <x v="2"/>
    <x v="9"/>
    <s v="South"/>
    <s v="Furniture"/>
    <s v="Desk Lamp"/>
    <n v="3"/>
    <n v="0.05"/>
    <n v="3867.55"/>
    <n v="1139.48"/>
    <x v="1"/>
    <b v="0"/>
    <b v="0"/>
    <b v="0"/>
    <m/>
  </r>
  <r>
    <n v="318"/>
    <s v="ORD-2025-0318"/>
    <d v="2025-10-06T00:00:00"/>
    <x v="9"/>
    <d v="2025-10-08T00:00:00"/>
    <s v="Standard"/>
    <s v="CUST-0215"/>
    <s v="Priya Nair"/>
    <x v="0"/>
    <x v="3"/>
    <s v="South"/>
    <s v="Furniture"/>
    <s v="Office Chair"/>
    <n v="1"/>
    <n v="0.2"/>
    <n v="4453.2"/>
    <n v="798.92"/>
    <x v="3"/>
    <b v="0"/>
    <b v="0"/>
    <b v="0"/>
    <m/>
  </r>
  <r>
    <n v="319"/>
    <s v="ORD-2025-0319"/>
    <d v="2025-05-07T00:00:00"/>
    <x v="0"/>
    <d v="2025-05-08T00:00:00"/>
    <s v="Standard"/>
    <s v="CUST-0010"/>
    <s v="Rahul Verma"/>
    <x v="0"/>
    <x v="4"/>
    <s v="North"/>
    <s v="Home &amp; Kitchen"/>
    <s v="Coffee Mug"/>
    <n v="3"/>
    <n v="0.05"/>
    <n v="814.01"/>
    <n v="229.23"/>
    <x v="4"/>
    <b v="0"/>
    <b v="0"/>
    <b v="0"/>
    <m/>
  </r>
  <r>
    <n v="320"/>
    <s v="ORD-2025-0320"/>
    <d v="2025-02-23T00:00:00"/>
    <x v="3"/>
    <d v="2025-02-26T00:00:00"/>
    <s v="Standard"/>
    <s v="CUST-0245"/>
    <s v="Divya Rao"/>
    <x v="0"/>
    <x v="3"/>
    <s v="South"/>
    <s v="Home &amp; Kitchen"/>
    <s v="Water Bottle"/>
    <n v="4"/>
    <n v="0.1"/>
    <n v="1713.66"/>
    <n v="247.02"/>
    <x v="2"/>
    <b v="0"/>
    <b v="0"/>
    <b v="0"/>
    <m/>
  </r>
  <r>
    <n v="321"/>
    <s v="ORD-2025-0321"/>
    <d v="2025-09-03T00:00:00"/>
    <x v="5"/>
    <d v="2025-09-05T00:00:00"/>
    <s v="Standard"/>
    <s v="CUST-0072"/>
    <s v="Vikram Rao"/>
    <x v="0"/>
    <x v="1"/>
    <s v="East"/>
    <s v="Office Supplies"/>
    <s v="Pen Set"/>
    <n v="2"/>
    <n v="0.1"/>
    <n v="206.54"/>
    <n v="32.04"/>
    <x v="3"/>
    <b v="0"/>
    <b v="0"/>
    <b v="0"/>
    <m/>
  </r>
  <r>
    <n v="322"/>
    <s v="ORD-2025-0322"/>
    <d v="2025-03-04T00:00:00"/>
    <x v="11"/>
    <d v="2025-03-09T00:00:00"/>
    <s v="Standard"/>
    <s v="CUST-0090"/>
    <s v="Divya Rao"/>
    <x v="0"/>
    <x v="1"/>
    <s v="East"/>
    <s v="Electronics"/>
    <s v="USB-C Hub"/>
    <n v="2"/>
    <n v="0"/>
    <n v="2943.3"/>
    <n v="929.01"/>
    <x v="1"/>
    <b v="0"/>
    <b v="0"/>
    <b v="0"/>
    <m/>
  </r>
  <r>
    <n v="323"/>
    <s v="ORD-2025-0323"/>
    <d v="2025-06-29T00:00:00"/>
    <x v="8"/>
    <d v="2025-07-03T00:00:00"/>
    <s v="Standard"/>
    <s v="CUST-0175"/>
    <s v="Meera Shah"/>
    <x v="1"/>
    <x v="2"/>
    <s v="West"/>
    <s v="Furniture"/>
    <s v="Folding Chair"/>
    <n v="1"/>
    <n v="0.15"/>
    <n v="1568.77"/>
    <n v="191.62"/>
    <x v="1"/>
    <b v="0"/>
    <b v="0"/>
    <b v="0"/>
    <m/>
  </r>
  <r>
    <n v="324"/>
    <s v="ORD-2025-0324"/>
    <d v="2025-10-08T00:00:00"/>
    <x v="9"/>
    <d v="2025-10-12T00:00:00"/>
    <s v="Standard"/>
    <s v="CUST-0182"/>
    <s v="Sneha Reddy"/>
    <x v="1"/>
    <x v="0"/>
    <s v="East"/>
    <s v="Electronics"/>
    <s v="Power Bank"/>
    <n v="4"/>
    <n v="0.1"/>
    <n v="4276.57"/>
    <n v="1182.6099999999999"/>
    <x v="1"/>
    <b v="0"/>
    <b v="0"/>
    <b v="0"/>
    <m/>
  </r>
  <r>
    <n v="325"/>
    <s v="ORD-2025-0325"/>
    <d v="2025-11-25T00:00:00"/>
    <x v="2"/>
    <d v="2025-11-28T00:00:00"/>
    <s v="Express"/>
    <s v="CUST-0185"/>
    <s v="Shreya Kapoor"/>
    <x v="1"/>
    <x v="11"/>
    <s v="West"/>
    <s v="Home &amp; Kitchen"/>
    <s v="Lunch Box"/>
    <n v="1"/>
    <n v="0.2"/>
    <n v="554.24"/>
    <n v="87.23"/>
    <x v="4"/>
    <b v="0"/>
    <b v="0"/>
    <b v="0"/>
    <m/>
  </r>
  <r>
    <n v="326"/>
    <s v="ORD-2025-0326"/>
    <d v="2025-11-20T00:00:00"/>
    <x v="2"/>
    <d v="2025-11-25T00:00:00"/>
    <s v="Standard"/>
    <s v="CUST-0095"/>
    <s v="Vikram Rao"/>
    <x v="0"/>
    <x v="2"/>
    <s v="West"/>
    <s v="Office Supplies"/>
    <s v="File Folder"/>
    <n v="3"/>
    <n v="0.05"/>
    <n v="269.06"/>
    <n v="100.04"/>
    <x v="1"/>
    <b v="0"/>
    <b v="0"/>
    <b v="0"/>
    <m/>
  </r>
  <r>
    <n v="327"/>
    <s v="ORD-2025-0327"/>
    <d v="2025-04-05T00:00:00"/>
    <x v="10"/>
    <d v="2025-04-10T00:00:00"/>
    <s v="Standard"/>
    <s v="CUST-0194"/>
    <s v="Nikhil Jain"/>
    <x v="0"/>
    <x v="4"/>
    <s v="North"/>
    <s v="Office Supplies"/>
    <s v="Desk Organizer"/>
    <n v="2"/>
    <n v="0.1"/>
    <n v="831.71"/>
    <n v="195.52"/>
    <x v="2"/>
    <b v="0"/>
    <b v="0"/>
    <b v="0"/>
    <m/>
  </r>
  <r>
    <n v="328"/>
    <s v="ORD-2025-0328"/>
    <d v="2025-01-04T00:00:00"/>
    <x v="1"/>
    <d v="2025-01-06T00:00:00"/>
    <s v="Standard"/>
    <s v="CUST-0203"/>
    <s v="Aarav Sharma"/>
    <x v="1"/>
    <x v="10"/>
    <s v="North"/>
    <s v="Electronics"/>
    <s v="Bluetooth Speaker"/>
    <n v="3"/>
    <n v="0.1"/>
    <n v="5139.3999999999996"/>
    <n v="1318.33"/>
    <x v="2"/>
    <b v="0"/>
    <b v="0"/>
    <b v="0"/>
    <m/>
  </r>
  <r>
    <n v="329"/>
    <s v="ORD-2025-0329"/>
    <d v="2025-10-23T00:00:00"/>
    <x v="9"/>
    <d v="2025-10-25T00:00:00"/>
    <s v="Standard"/>
    <s v="CUST-0234"/>
    <s v="Nikhil Jain"/>
    <x v="2"/>
    <x v="10"/>
    <s v="North"/>
    <s v="Home &amp; Kitchen"/>
    <s v="Coffee Mug"/>
    <n v="2"/>
    <n v="0"/>
    <n v="608.4"/>
    <n v="136.35"/>
    <x v="2"/>
    <b v="0"/>
    <b v="0"/>
    <b v="0"/>
    <m/>
  </r>
  <r>
    <n v="330"/>
    <s v="ORD-2025-0330"/>
    <d v="2025-09-23T00:00:00"/>
    <x v="5"/>
    <d v="2025-09-27T00:00:00"/>
    <s v="Express"/>
    <s v="CUST-0118"/>
    <s v="Neha Gupta"/>
    <x v="0"/>
    <x v="11"/>
    <s v="West"/>
    <s v="Electronics"/>
    <s v="USB-C Hub"/>
    <n v="1"/>
    <n v="0"/>
    <n v="1565.41"/>
    <n v="538.95000000000005"/>
    <x v="2"/>
    <b v="0"/>
    <b v="0"/>
    <b v="0"/>
    <m/>
  </r>
  <r>
    <n v="331"/>
    <s v="ORD-2025-0331"/>
    <d v="2025-12-02T00:00:00"/>
    <x v="4"/>
    <d v="2025-12-04T00:00:00"/>
    <s v="Standard"/>
    <s v="CUST-0073"/>
    <s v="Pooja Das"/>
    <x v="0"/>
    <x v="7"/>
    <s v="South"/>
    <s v="Electronics"/>
    <s v="Wireless Mouse"/>
    <n v="3"/>
    <n v="0"/>
    <n v="2321.12"/>
    <n v="550.15"/>
    <x v="2"/>
    <b v="0"/>
    <b v="0"/>
    <b v="0"/>
    <m/>
  </r>
  <r>
    <n v="332"/>
    <s v="ORD-2025-0332"/>
    <d v="2025-05-04T00:00:00"/>
    <x v="0"/>
    <d v="2025-05-08T00:00:00"/>
    <s v="Express"/>
    <s v="CUST-0078"/>
    <s v="Priya Nair"/>
    <x v="0"/>
    <x v="2"/>
    <s v="West"/>
    <s v="Home &amp; Kitchen"/>
    <s v="Storage Box"/>
    <n v="2"/>
    <n v="0.1"/>
    <n v="1565.55"/>
    <n v="344.37"/>
    <x v="0"/>
    <b v="0"/>
    <b v="0"/>
    <b v="0"/>
    <m/>
  </r>
  <r>
    <n v="333"/>
    <s v="ORD-2025-0333"/>
    <d v="2025-11-30T00:00:00"/>
    <x v="2"/>
    <d v="2025-12-05T00:00:00"/>
    <s v="Same Day"/>
    <s v="CUST-0076"/>
    <s v="Ananya Singh"/>
    <x v="1"/>
    <x v="2"/>
    <s v="West"/>
    <s v="Furniture"/>
    <s v="Folding Chair"/>
    <n v="2"/>
    <n v="0"/>
    <n v="3634.31"/>
    <n v="1158.2"/>
    <x v="1"/>
    <b v="0"/>
    <b v="0"/>
    <b v="0"/>
    <m/>
  </r>
  <r>
    <n v="334"/>
    <s v="ORD-2025-0334"/>
    <d v="2025-06-13T00:00:00"/>
    <x v="8"/>
    <d v="2025-06-17T00:00:00"/>
    <s v="Standard"/>
    <s v="CUST-0123"/>
    <s v="Divya Rao"/>
    <x v="0"/>
    <x v="7"/>
    <s v="South"/>
    <s v="Office Supplies"/>
    <s v="Calculator"/>
    <n v="2"/>
    <n v="0.05"/>
    <n v="1290.07"/>
    <n v="407.16"/>
    <x v="2"/>
    <b v="0"/>
    <b v="0"/>
    <b v="0"/>
    <m/>
  </r>
  <r>
    <n v="335"/>
    <s v="ORD-2025-0335"/>
    <d v="2025-07-18T00:00:00"/>
    <x v="7"/>
    <d v="2025-07-22T00:00:00"/>
    <s v="Standard"/>
    <s v="CUST-0005"/>
    <s v="Kiran Joshi"/>
    <x v="2"/>
    <x v="9"/>
    <s v="South"/>
    <s v="Furniture"/>
    <s v="Desk Lamp"/>
    <n v="3"/>
    <n v="0.1"/>
    <n v="3656.1"/>
    <n v="880.91"/>
    <x v="2"/>
    <b v="0"/>
    <b v="0"/>
    <b v="0"/>
    <m/>
  </r>
  <r>
    <n v="336"/>
    <s v="ORD-2025-0336"/>
    <d v="2025-03-24T00:00:00"/>
    <x v="11"/>
    <d v="2025-03-29T00:00:00"/>
    <s v="Standard"/>
    <s v="CUST-0070"/>
    <s v="Priya Nair"/>
    <x v="1"/>
    <x v="9"/>
    <s v="South"/>
    <s v="Electronics"/>
    <s v="Bluetooth Speaker"/>
    <n v="1"/>
    <n v="0.05"/>
    <n v="1886.61"/>
    <n v="494.36"/>
    <x v="1"/>
    <b v="0"/>
    <b v="0"/>
    <b v="0"/>
    <m/>
  </r>
  <r>
    <n v="337"/>
    <s v="ORD-2025-0337"/>
    <d v="2025-02-23T00:00:00"/>
    <x v="3"/>
    <d v="2025-02-26T00:00:00"/>
    <s v="Same Day"/>
    <s v="CUST-0046"/>
    <s v="Rahul Verma"/>
    <x v="2"/>
    <x v="7"/>
    <s v="South"/>
    <s v="Electronics"/>
    <s v="Wireless Mouse"/>
    <n v="1"/>
    <n v="0"/>
    <n v="801.55"/>
    <n v="166.57"/>
    <x v="1"/>
    <b v="0"/>
    <b v="0"/>
    <b v="0"/>
    <m/>
  </r>
  <r>
    <n v="338"/>
    <s v="ORD-2025-0338"/>
    <d v="2025-01-29T00:00:00"/>
    <x v="1"/>
    <d v="2025-02-01T00:00:00"/>
    <s v="Express"/>
    <s v="CUST-0108"/>
    <s v="Pooja Das"/>
    <x v="1"/>
    <x v="3"/>
    <s v="South"/>
    <s v="Office Supplies"/>
    <s v="Notebook"/>
    <n v="3"/>
    <n v="0.15"/>
    <n v="452.79"/>
    <n v="38.229999999999997"/>
    <x v="1"/>
    <b v="0"/>
    <b v="0"/>
    <b v="0"/>
    <m/>
  </r>
  <r>
    <n v="339"/>
    <s v="ORD-2025-0339"/>
    <d v="2025-06-20T00:00:00"/>
    <x v="8"/>
    <d v="2025-06-25T00:00:00"/>
    <s v="Standard"/>
    <s v="CUST-0111"/>
    <s v="Kiran Joshi"/>
    <x v="2"/>
    <x v="11"/>
    <s v="West"/>
    <s v="Home &amp; Kitchen"/>
    <s v="Lunch Box"/>
    <n v="5"/>
    <n v="0"/>
    <n v="3555.71"/>
    <n v="852.33"/>
    <x v="1"/>
    <b v="0"/>
    <b v="0"/>
    <b v="0"/>
    <m/>
  </r>
  <r>
    <n v="340"/>
    <s v="ORD-2025-0340"/>
    <d v="2025-10-26T00:00:00"/>
    <x v="9"/>
    <d v="2025-10-31T00:00:00"/>
    <s v="Standard"/>
    <s v="CUST-0039"/>
    <s v="Manish Yadav"/>
    <x v="1"/>
    <x v="5"/>
    <s v="North"/>
    <s v="Electronics"/>
    <s v="Keyboard"/>
    <n v="1"/>
    <n v="0.1"/>
    <n v="1173.94"/>
    <n v="346.21"/>
    <x v="3"/>
    <b v="0"/>
    <b v="0"/>
    <b v="0"/>
    <m/>
  </r>
  <r>
    <n v="341"/>
    <s v="ORD-2025-0341"/>
    <d v="2025-10-02T00:00:00"/>
    <x v="9"/>
    <d v="2025-10-06T00:00:00"/>
    <s v="Express"/>
    <s v="CUST-0232"/>
    <s v="Kavya Iyer"/>
    <x v="1"/>
    <x v="5"/>
    <s v="North"/>
    <s v="Electronics"/>
    <s v="Keyboard"/>
    <n v="3"/>
    <n v="0"/>
    <n v="3822.09"/>
    <n v="927.68"/>
    <x v="2"/>
    <b v="0"/>
    <b v="0"/>
    <b v="0"/>
    <m/>
  </r>
  <r>
    <n v="342"/>
    <s v="ORD-2025-0342"/>
    <d v="2025-06-03T00:00:00"/>
    <x v="8"/>
    <d v="2025-06-07T00:00:00"/>
    <s v="Standard"/>
    <s v="CUST-0088"/>
    <s v="Divya Rao"/>
    <x v="0"/>
    <x v="2"/>
    <s v="West"/>
    <s v="Office Supplies"/>
    <s v="Desk Organizer"/>
    <n v="2"/>
    <n v="0"/>
    <n v="887.28"/>
    <n v="165.24"/>
    <x v="2"/>
    <b v="0"/>
    <b v="0"/>
    <b v="0"/>
    <m/>
  </r>
  <r>
    <n v="343"/>
    <s v="ORD-2025-0343"/>
    <d v="2025-11-01T00:00:00"/>
    <x v="2"/>
    <d v="2025-11-03T00:00:00"/>
    <s v="Standard"/>
    <s v="CUST-0023"/>
    <s v="Ishita Roy"/>
    <x v="1"/>
    <x v="7"/>
    <s v="South"/>
    <s v="Furniture"/>
    <s v="Office Chair"/>
    <n v="3"/>
    <n v="0.05"/>
    <n v="15534.67"/>
    <n v="2222.48"/>
    <x v="0"/>
    <b v="0"/>
    <b v="0"/>
    <b v="0"/>
    <m/>
  </r>
  <r>
    <n v="344"/>
    <s v="ORD-2025-0344"/>
    <d v="2025-02-04T00:00:00"/>
    <x v="3"/>
    <d v="2025-02-08T00:00:00"/>
    <s v="Standard"/>
    <s v="CUST-0093"/>
    <s v="Kiran Joshi"/>
    <x v="0"/>
    <x v="6"/>
    <s v="South"/>
    <s v="Office Supplies"/>
    <s v="Calculator"/>
    <n v="1"/>
    <n v="0"/>
    <n v="682.35"/>
    <n v="220.62"/>
    <x v="0"/>
    <b v="0"/>
    <b v="0"/>
    <b v="0"/>
    <m/>
  </r>
  <r>
    <n v="345"/>
    <s v="ORD-2025-0345"/>
    <d v="2025-09-01T00:00:00"/>
    <x v="5"/>
    <d v="2025-09-03T00:00:00"/>
    <s v="Same Day"/>
    <s v="CUST-0022"/>
    <s v="Nikhil Jain"/>
    <x v="2"/>
    <x v="0"/>
    <s v="East"/>
    <s v="Office Supplies"/>
    <s v="Pen Set"/>
    <n v="3"/>
    <n v="0.1"/>
    <n v="309.79000000000002"/>
    <n v="28"/>
    <x v="1"/>
    <b v="0"/>
    <b v="0"/>
    <b v="0"/>
    <m/>
  </r>
  <r>
    <n v="346"/>
    <s v="ORD-2025-0346"/>
    <d v="2025-01-01T00:00:00"/>
    <x v="1"/>
    <d v="2025-01-05T00:00:00"/>
    <s v="Express"/>
    <s v="CUST-0171"/>
    <s v="Sneha Reddy"/>
    <x v="1"/>
    <x v="3"/>
    <s v="South"/>
    <s v="Office Supplies"/>
    <s v="Calculator"/>
    <n v="2"/>
    <n v="0.05"/>
    <n v="1221.6300000000001"/>
    <n v="373.34"/>
    <x v="3"/>
    <b v="0"/>
    <b v="0"/>
    <b v="0"/>
    <m/>
  </r>
  <r>
    <n v="347"/>
    <s v="ORD-2025-0347"/>
    <d v="2025-09-01T00:00:00"/>
    <x v="5"/>
    <d v="2025-09-04T00:00:00"/>
    <s v="Standard"/>
    <s v="CUST-0156"/>
    <s v="Divya Rao"/>
    <x v="1"/>
    <x v="10"/>
    <s v="North"/>
    <s v="Home &amp; Kitchen"/>
    <s v="Lunch Box"/>
    <n v="1"/>
    <n v="0.2"/>
    <n v="569.17999999999995"/>
    <n v="52.93"/>
    <x v="4"/>
    <b v="0"/>
    <b v="0"/>
    <b v="0"/>
    <m/>
  </r>
  <r>
    <n v="348"/>
    <s v="ORD-2025-0348"/>
    <d v="2025-02-08T00:00:00"/>
    <x v="3"/>
    <d v="2025-02-09T00:00:00"/>
    <s v="Standard"/>
    <s v="CUST-0108"/>
    <s v="Pooja Das"/>
    <x v="2"/>
    <x v="9"/>
    <s v="South"/>
    <s v="Office Supplies"/>
    <s v="Calculator"/>
    <n v="2"/>
    <n v="0.05"/>
    <n v="1275.56"/>
    <n v="448.71"/>
    <x v="2"/>
    <b v="0"/>
    <b v="0"/>
    <b v="0"/>
    <m/>
  </r>
  <r>
    <n v="349"/>
    <s v="ORD-2025-0349"/>
    <d v="2025-03-31T00:00:00"/>
    <x v="11"/>
    <d v="2025-04-05T00:00:00"/>
    <s v="Express"/>
    <s v="CUST-0019"/>
    <s v="Arjun Patel"/>
    <x v="0"/>
    <x v="9"/>
    <s v="South"/>
    <s v="Electronics"/>
    <s v="Power Bank"/>
    <n v="1"/>
    <n v="0.25"/>
    <n v="889.73"/>
    <n v="1.67"/>
    <x v="0"/>
    <b v="0"/>
    <b v="0"/>
    <b v="0"/>
    <m/>
  </r>
  <r>
    <n v="350"/>
    <s v="ORD-2025-0350"/>
    <d v="2025-12-16T00:00:00"/>
    <x v="4"/>
    <d v="2025-12-19T00:00:00"/>
    <s v="Standard"/>
    <s v="CUST-0029"/>
    <s v="Aarav Sharma"/>
    <x v="1"/>
    <x v="9"/>
    <s v="South"/>
    <s v="Electronics"/>
    <s v="Keyboard"/>
    <n v="1"/>
    <n v="0.15"/>
    <n v="1086.69"/>
    <n v="54.28"/>
    <x v="1"/>
    <b v="0"/>
    <b v="0"/>
    <b v="0"/>
    <m/>
  </r>
  <r>
    <n v="351"/>
    <s v="ORD-2025-0351"/>
    <d v="2025-06-20T00:00:00"/>
    <x v="8"/>
    <d v="2025-06-22T00:00:00"/>
    <s v="Standard"/>
    <s v="CUST-0187"/>
    <s v="Aditya Kumar"/>
    <x v="2"/>
    <x v="1"/>
    <s v="East"/>
    <s v="Furniture"/>
    <s v="Folding Chair"/>
    <n v="1"/>
    <n v="0.1"/>
    <n v="1600.19"/>
    <n v="406.97"/>
    <x v="3"/>
    <b v="0"/>
    <b v="0"/>
    <b v="0"/>
    <m/>
  </r>
  <r>
    <n v="352"/>
    <s v="ORD-2025-0352"/>
    <d v="2025-05-14T00:00:00"/>
    <x v="0"/>
    <d v="2025-05-16T00:00:00"/>
    <s v="Standard"/>
    <s v="CUST-0144"/>
    <s v="Meera Shah"/>
    <x v="0"/>
    <x v="10"/>
    <s v="North"/>
    <s v="Office Supplies"/>
    <s v="Calculator"/>
    <n v="2"/>
    <n v="0.2"/>
    <n v="1069.58"/>
    <n v="107.95"/>
    <x v="3"/>
    <b v="0"/>
    <b v="0"/>
    <b v="0"/>
    <m/>
  </r>
  <r>
    <n v="353"/>
    <s v="ORD-2025-0353"/>
    <d v="2025-08-03T00:00:00"/>
    <x v="6"/>
    <d v="2025-08-08T00:00:00"/>
    <s v="Standard"/>
    <s v="CUST-0039"/>
    <s v="Sanjay Menon"/>
    <x v="1"/>
    <x v="4"/>
    <s v="North"/>
    <s v="Electronics"/>
    <s v="Wireless Mouse"/>
    <n v="1"/>
    <n v="0.2"/>
    <n v="656.06"/>
    <n v="77.040000000000006"/>
    <x v="1"/>
    <b v="0"/>
    <b v="0"/>
    <b v="0"/>
    <m/>
  </r>
  <r>
    <n v="354"/>
    <s v="ORD-2025-0354"/>
    <d v="2025-04-21T00:00:00"/>
    <x v="10"/>
    <d v="2025-04-26T00:00:00"/>
    <s v="Standard"/>
    <s v="CUST-0122"/>
    <s v="Shreya Kapoor"/>
    <x v="0"/>
    <x v="1"/>
    <s v="East"/>
    <s v="Electronics"/>
    <s v="Keyboard"/>
    <n v="1"/>
    <n v="0.1"/>
    <n v="1221.99"/>
    <n v="187.06"/>
    <x v="1"/>
    <b v="0"/>
    <b v="0"/>
    <b v="0"/>
    <m/>
  </r>
  <r>
    <n v="355"/>
    <s v="ORD-2025-0355"/>
    <d v="2025-11-29T00:00:00"/>
    <x v="2"/>
    <d v="2025-12-04T00:00:00"/>
    <s v="Standard"/>
    <s v="CUST-0169"/>
    <s v="Nikhil Jain"/>
    <x v="1"/>
    <x v="6"/>
    <s v="South"/>
    <s v="Electronics"/>
    <s v="Power Bank"/>
    <n v="4"/>
    <n v="0.1"/>
    <n v="4121.6000000000004"/>
    <n v="1054.07"/>
    <x v="1"/>
    <b v="0"/>
    <b v="0"/>
    <b v="0"/>
    <m/>
  </r>
  <r>
    <n v="356"/>
    <s v="ORD-2025-0356"/>
    <d v="2025-07-07T00:00:00"/>
    <x v="7"/>
    <d v="2025-07-09T00:00:00"/>
    <s v="Standard"/>
    <s v="CUST-0023"/>
    <s v="Aditya Kumar"/>
    <x v="1"/>
    <x v="4"/>
    <s v="North"/>
    <s v="Home &amp; Kitchen"/>
    <s v="Water Bottle"/>
    <n v="4"/>
    <n v="0.25"/>
    <n v="1535.44"/>
    <n v="26.24"/>
    <x v="2"/>
    <b v="0"/>
    <b v="0"/>
    <b v="0"/>
    <m/>
  </r>
  <r>
    <n v="357"/>
    <s v="ORD-2025-0357"/>
    <d v="2025-11-15T00:00:00"/>
    <x v="2"/>
    <d v="2025-11-16T00:00:00"/>
    <s v="Express"/>
    <s v="CUST-0137"/>
    <s v="Kavya Iyer"/>
    <x v="1"/>
    <x v="0"/>
    <s v="East"/>
    <s v="Electronics"/>
    <s v="Power Bank"/>
    <n v="2"/>
    <n v="0"/>
    <n v="2291.39"/>
    <n v="645.80999999999995"/>
    <x v="3"/>
    <b v="0"/>
    <b v="0"/>
    <b v="0"/>
    <m/>
  </r>
  <r>
    <n v="358"/>
    <s v="ORD-2025-0358"/>
    <d v="2025-01-06T00:00:00"/>
    <x v="1"/>
    <d v="2025-01-11T00:00:00"/>
    <s v="Standard"/>
    <s v="CUST-0111"/>
    <s v="Ishita Roy"/>
    <x v="1"/>
    <x v="3"/>
    <s v="South"/>
    <s v="Electronics"/>
    <s v="Wireless Mouse"/>
    <n v="1"/>
    <n v="0.25"/>
    <n v="583.49"/>
    <n v="72.61"/>
    <x v="3"/>
    <b v="0"/>
    <b v="0"/>
    <b v="0"/>
    <m/>
  </r>
  <r>
    <n v="359"/>
    <s v="ORD-2025-0359"/>
    <d v="2025-05-27T00:00:00"/>
    <x v="0"/>
    <d v="2025-05-30T00:00:00"/>
    <s v="Same Day"/>
    <s v="CUST-0045"/>
    <s v="Pooja Das"/>
    <x v="0"/>
    <x v="3"/>
    <s v="South"/>
    <s v="Office Supplies"/>
    <s v="File Folder"/>
    <n v="2"/>
    <n v="0.1"/>
    <n v="159.16"/>
    <n v="22.82"/>
    <x v="2"/>
    <b v="0"/>
    <b v="0"/>
    <b v="0"/>
    <m/>
  </r>
  <r>
    <n v="360"/>
    <s v="ORD-2025-0360"/>
    <d v="2025-07-06T00:00:00"/>
    <x v="7"/>
    <d v="2025-07-07T00:00:00"/>
    <s v="Express"/>
    <s v="CUST-0177"/>
    <s v="Arjun Patel"/>
    <x v="1"/>
    <x v="3"/>
    <s v="South"/>
    <s v="Furniture"/>
    <s v="Bookshelf"/>
    <n v="3"/>
    <n v="0.05"/>
    <n v="13543.11"/>
    <n v="2769.96"/>
    <x v="1"/>
    <b v="0"/>
    <b v="0"/>
    <b v="0"/>
    <m/>
  </r>
  <r>
    <n v="361"/>
    <s v="ORD-2025-0361"/>
    <d v="2025-01-28T00:00:00"/>
    <x v="1"/>
    <d v="2025-01-31T00:00:00"/>
    <s v="Standard"/>
    <s v="CUST-0247"/>
    <s v="Kavya Iyer"/>
    <x v="0"/>
    <x v="2"/>
    <s v="West"/>
    <s v="Office Supplies"/>
    <s v="Calculator"/>
    <n v="2"/>
    <n v="0"/>
    <n v="1286.48"/>
    <n v="445.9"/>
    <x v="3"/>
    <b v="0"/>
    <b v="0"/>
    <b v="0"/>
    <m/>
  </r>
  <r>
    <n v="362"/>
    <s v="ORD-2025-0362"/>
    <d v="2025-06-07T00:00:00"/>
    <x v="8"/>
    <d v="2025-06-12T00:00:00"/>
    <s v="Standard"/>
    <s v="CUST-0057"/>
    <s v="Vikram Rao"/>
    <x v="1"/>
    <x v="2"/>
    <s v="West"/>
    <s v="Office Supplies"/>
    <s v="Desk Organizer"/>
    <n v="2"/>
    <n v="0.1"/>
    <n v="817.6"/>
    <n v="155.99"/>
    <x v="3"/>
    <b v="0"/>
    <b v="0"/>
    <b v="0"/>
    <m/>
  </r>
  <r>
    <n v="363"/>
    <s v="ORD-2025-0363"/>
    <d v="2025-12-06T00:00:00"/>
    <x v="4"/>
    <d v="2025-12-09T00:00:00"/>
    <s v="Standard"/>
    <s v="CUST-0031"/>
    <s v="Kavya Iyer"/>
    <x v="1"/>
    <x v="10"/>
    <s v="North"/>
    <s v="Electronics"/>
    <s v="Bluetooth Speaker"/>
    <n v="1"/>
    <n v="0.1"/>
    <n v="1668.28"/>
    <n v="226.96"/>
    <x v="3"/>
    <b v="0"/>
    <b v="0"/>
    <b v="0"/>
    <m/>
  </r>
  <r>
    <n v="364"/>
    <s v="ORD-2025-0364"/>
    <d v="2025-01-25T00:00:00"/>
    <x v="1"/>
    <d v="2025-01-27T00:00:00"/>
    <s v="Standard"/>
    <s v="CUST-0038"/>
    <s v="Ananya Singh"/>
    <x v="0"/>
    <x v="11"/>
    <s v="West"/>
    <s v="Electronics"/>
    <s v="Power Bank"/>
    <n v="2"/>
    <n v="0.1"/>
    <n v="2051.69"/>
    <n v="326.93"/>
    <x v="3"/>
    <b v="0"/>
    <b v="0"/>
    <b v="0"/>
    <m/>
  </r>
  <r>
    <n v="365"/>
    <s v="ORD-2025-0365"/>
    <d v="2025-08-29T00:00:00"/>
    <x v="6"/>
    <d v="2025-09-02T00:00:00"/>
    <s v="Express"/>
    <s v="CUST-0228"/>
    <s v="Kiran Joshi"/>
    <x v="0"/>
    <x v="6"/>
    <s v="South"/>
    <s v="Home &amp; Kitchen"/>
    <s v="Electric Kettle"/>
    <n v="1"/>
    <n v="0"/>
    <n v="1782.34"/>
    <n v="479.37"/>
    <x v="1"/>
    <b v="0"/>
    <b v="0"/>
    <b v="0"/>
    <m/>
  </r>
  <r>
    <n v="366"/>
    <s v="ORD-2025-0366"/>
    <d v="2025-07-01T00:00:00"/>
    <x v="7"/>
    <d v="2025-07-04T00:00:00"/>
    <s v="Standard"/>
    <s v="CUST-0080"/>
    <s v="Pooja Das"/>
    <x v="1"/>
    <x v="6"/>
    <s v="South"/>
    <s v="Furniture"/>
    <s v="Study Table"/>
    <n v="3"/>
    <n v="0.1"/>
    <n v="18435.72"/>
    <n v="4042.61"/>
    <x v="1"/>
    <b v="0"/>
    <b v="0"/>
    <b v="0"/>
    <m/>
  </r>
  <r>
    <n v="367"/>
    <s v="ORD-2025-0367"/>
    <d v="2025-12-27T00:00:00"/>
    <x v="4"/>
    <d v="2025-12-30T00:00:00"/>
    <s v="Standard"/>
    <s v="CUST-0244"/>
    <s v="Ishita Roy"/>
    <x v="0"/>
    <x v="11"/>
    <s v="West"/>
    <s v="Office Supplies"/>
    <s v="Calculator"/>
    <n v="2"/>
    <n v="0"/>
    <n v="1246.4100000000001"/>
    <n v="395.73"/>
    <x v="3"/>
    <b v="0"/>
    <b v="0"/>
    <b v="0"/>
    <m/>
  </r>
  <r>
    <n v="368"/>
    <s v="ORD-2025-0368"/>
    <d v="2025-07-28T00:00:00"/>
    <x v="7"/>
    <d v="2025-07-31T00:00:00"/>
    <s v="Express"/>
    <s v="CUST-0079"/>
    <s v="Ishita Roy"/>
    <x v="2"/>
    <x v="10"/>
    <s v="North"/>
    <s v="Home &amp; Kitchen"/>
    <s v="Storage Box"/>
    <n v="3"/>
    <n v="0.15"/>
    <n v="2305.61"/>
    <n v="252.11"/>
    <x v="4"/>
    <b v="0"/>
    <b v="0"/>
    <b v="0"/>
    <m/>
  </r>
  <r>
    <n v="369"/>
    <s v="ORD-2025-0369"/>
    <d v="2025-03-08T00:00:00"/>
    <x v="11"/>
    <d v="2025-03-09T00:00:00"/>
    <s v="Same Day"/>
    <s v="CUST-0042"/>
    <s v="Kiran Joshi"/>
    <x v="0"/>
    <x v="5"/>
    <s v="North"/>
    <s v="Electronics"/>
    <s v="Power Bank"/>
    <n v="1"/>
    <n v="0"/>
    <n v="1155.55"/>
    <n v="411.95"/>
    <x v="3"/>
    <b v="0"/>
    <b v="0"/>
    <b v="0"/>
    <m/>
  </r>
  <r>
    <n v="370"/>
    <s v="ORD-2025-0370"/>
    <d v="2025-09-03T00:00:00"/>
    <x v="5"/>
    <d v="2025-09-07T00:00:00"/>
    <s v="Express"/>
    <s v="CUST-0151"/>
    <s v="Meera Shah"/>
    <x v="0"/>
    <x v="10"/>
    <s v="North"/>
    <s v="Office Supplies"/>
    <s v="File Folder"/>
    <n v="1"/>
    <n v="0.1"/>
    <n v="78.650000000000006"/>
    <n v="5.27"/>
    <x v="0"/>
    <b v="0"/>
    <b v="0"/>
    <b v="0"/>
    <m/>
  </r>
  <r>
    <n v="371"/>
    <s v="ORD-2025-0371"/>
    <d v="2025-05-10T00:00:00"/>
    <x v="0"/>
    <d v="2025-05-11T00:00:00"/>
    <s v="Standard"/>
    <s v="CUST-0070"/>
    <s v="Rahul Verma"/>
    <x v="0"/>
    <x v="7"/>
    <s v="South"/>
    <s v="Electronics"/>
    <s v="Keyboard"/>
    <n v="2"/>
    <n v="0"/>
    <n v="2657.57"/>
    <n v="748.01"/>
    <x v="3"/>
    <b v="0"/>
    <b v="0"/>
    <b v="0"/>
    <m/>
  </r>
  <r>
    <n v="372"/>
    <s v="ORD-2025-0372"/>
    <d v="2025-11-14T00:00:00"/>
    <x v="2"/>
    <d v="2025-11-15T00:00:00"/>
    <s v="Express"/>
    <s v="CUST-0183"/>
    <s v="Meera Shah"/>
    <x v="0"/>
    <x v="6"/>
    <s v="South"/>
    <s v="Furniture"/>
    <s v="Folding Chair"/>
    <n v="2"/>
    <n v="0"/>
    <n v="3551.31"/>
    <n v="779.93"/>
    <x v="0"/>
    <b v="0"/>
    <b v="0"/>
    <b v="0"/>
    <m/>
  </r>
  <r>
    <n v="373"/>
    <s v="ORD-2025-0373"/>
    <d v="2025-08-20T00:00:00"/>
    <x v="6"/>
    <d v="2025-08-23T00:00:00"/>
    <s v="Express"/>
    <s v="CUST-0042"/>
    <s v="Nikhil Jain"/>
    <x v="0"/>
    <x v="9"/>
    <s v="South"/>
    <s v="Office Supplies"/>
    <s v="Desk Organizer"/>
    <n v="1"/>
    <n v="0.1"/>
    <n v="394.82"/>
    <n v="87.3"/>
    <x v="4"/>
    <b v="0"/>
    <b v="0"/>
    <b v="0"/>
    <m/>
  </r>
  <r>
    <n v="374"/>
    <s v="ORD-2025-0374"/>
    <d v="2025-08-03T00:00:00"/>
    <x v="6"/>
    <d v="2025-08-08T00:00:00"/>
    <s v="Express"/>
    <s v="CUST-0075"/>
    <s v="Manish Yadav"/>
    <x v="0"/>
    <x v="7"/>
    <s v="South"/>
    <s v="Home &amp; Kitchen"/>
    <s v="Coffee Mug"/>
    <n v="1"/>
    <n v="0.15"/>
    <n v="249.78"/>
    <n v="61.18"/>
    <x v="1"/>
    <b v="0"/>
    <b v="0"/>
    <b v="0"/>
    <m/>
  </r>
  <r>
    <n v="375"/>
    <s v="ORD-2025-0375"/>
    <d v="2025-07-03T00:00:00"/>
    <x v="7"/>
    <d v="2025-07-06T00:00:00"/>
    <s v="Standard"/>
    <s v="CUST-0059"/>
    <s v="Vikram Rao"/>
    <x v="0"/>
    <x v="6"/>
    <s v="South"/>
    <s v="Electronics"/>
    <s v="Power Bank"/>
    <n v="5"/>
    <n v="0.05"/>
    <n v="5872.91"/>
    <n v="1022.06"/>
    <x v="2"/>
    <b v="0"/>
    <b v="0"/>
    <b v="0"/>
    <m/>
  </r>
  <r>
    <n v="376"/>
    <s v="ORD-2025-0376"/>
    <d v="2025-04-14T00:00:00"/>
    <x v="10"/>
    <d v="2025-04-17T00:00:00"/>
    <s v="Standard"/>
    <s v="CUST-0087"/>
    <s v="Rohan Mehta"/>
    <x v="2"/>
    <x v="6"/>
    <s v="South"/>
    <s v="Furniture"/>
    <s v="Desk Lamp"/>
    <n v="4"/>
    <n v="0"/>
    <n v="5434.74"/>
    <n v="1986.97"/>
    <x v="2"/>
    <b v="0"/>
    <b v="0"/>
    <b v="0"/>
    <m/>
  </r>
  <r>
    <n v="377"/>
    <s v="ORD-2025-0377"/>
    <d v="2025-08-15T00:00:00"/>
    <x v="6"/>
    <d v="2025-08-20T00:00:00"/>
    <s v="Same Day"/>
    <s v="CUST-0099"/>
    <s v="Shreya Kapoor"/>
    <x v="0"/>
    <x v="8"/>
    <s v="West"/>
    <s v="Furniture"/>
    <s v="Desk Lamp"/>
    <n v="2"/>
    <n v="0.1"/>
    <n v="2450.7199999999998"/>
    <n v="355.44"/>
    <x v="2"/>
    <b v="0"/>
    <b v="0"/>
    <b v="0"/>
    <m/>
  </r>
  <r>
    <n v="378"/>
    <s v="ORD-2025-0378"/>
    <d v="2025-02-19T00:00:00"/>
    <x v="3"/>
    <d v="2025-02-21T00:00:00"/>
    <s v="Express"/>
    <s v="CUST-0036"/>
    <s v="Kavya Iyer"/>
    <x v="1"/>
    <x v="1"/>
    <s v="East"/>
    <s v="Home &amp; Kitchen"/>
    <s v="Water Bottle"/>
    <n v="3"/>
    <n v="0"/>
    <n v="1429.22"/>
    <n v="213.23"/>
    <x v="2"/>
    <b v="0"/>
    <b v="0"/>
    <b v="0"/>
    <m/>
  </r>
  <r>
    <n v="379"/>
    <s v="ORD-2025-0379"/>
    <d v="2025-09-13T00:00:00"/>
    <x v="5"/>
    <d v="2025-09-17T00:00:00"/>
    <s v="Standard"/>
    <s v="CUST-0236"/>
    <s v="Meera Shah"/>
    <x v="0"/>
    <x v="10"/>
    <s v="North"/>
    <s v="Home &amp; Kitchen"/>
    <s v="Coffee Mug"/>
    <n v="5"/>
    <n v="0.1"/>
    <n v="1351.45"/>
    <n v="132.79"/>
    <x v="3"/>
    <b v="0"/>
    <b v="0"/>
    <b v="0"/>
    <m/>
  </r>
  <r>
    <n v="380"/>
    <s v="ORD-2025-0380"/>
    <d v="2025-02-07T00:00:00"/>
    <x v="3"/>
    <d v="2025-02-10T00:00:00"/>
    <s v="Express"/>
    <s v="CUST-0056"/>
    <s v="Shreya Kapoor"/>
    <x v="0"/>
    <x v="2"/>
    <s v="West"/>
    <s v="Office Supplies"/>
    <s v="Calculator"/>
    <n v="2"/>
    <n v="0.1"/>
    <n v="1140.75"/>
    <n v="315.68"/>
    <x v="2"/>
    <b v="0"/>
    <b v="0"/>
    <b v="0"/>
    <m/>
  </r>
  <r>
    <n v="381"/>
    <s v="ORD-2025-0381"/>
    <d v="2025-12-02T00:00:00"/>
    <x v="4"/>
    <d v="2025-12-04T00:00:00"/>
    <s v="Express"/>
    <s v="CUST-0094"/>
    <s v="Ananya Singh"/>
    <x v="0"/>
    <x v="5"/>
    <s v="North"/>
    <s v="Electronics"/>
    <s v="Keyboard"/>
    <n v="3"/>
    <n v="0"/>
    <n v="3720.1"/>
    <n v="578.48"/>
    <x v="4"/>
    <b v="0"/>
    <b v="0"/>
    <b v="0"/>
    <m/>
  </r>
  <r>
    <n v="382"/>
    <s v="ORD-2025-0382"/>
    <d v="2025-07-04T00:00:00"/>
    <x v="7"/>
    <d v="2025-07-06T00:00:00"/>
    <s v="Express"/>
    <s v="CUST-0022"/>
    <s v="Priya Nair"/>
    <x v="0"/>
    <x v="4"/>
    <s v="North"/>
    <s v="Electronics"/>
    <s v="Bluetooth Speaker"/>
    <n v="2"/>
    <n v="0.1"/>
    <n v="3247.37"/>
    <n v="197.57"/>
    <x v="1"/>
    <b v="0"/>
    <b v="0"/>
    <b v="0"/>
    <m/>
  </r>
  <r>
    <n v="383"/>
    <s v="ORD-2025-0383"/>
    <d v="2025-08-04T00:00:00"/>
    <x v="6"/>
    <d v="2025-08-08T00:00:00"/>
    <s v="Standard"/>
    <s v="CUST-0032"/>
    <s v="Aarav Sharma"/>
    <x v="1"/>
    <x v="2"/>
    <s v="West"/>
    <s v="Electronics"/>
    <s v="Keyboard"/>
    <n v="4"/>
    <n v="0.1"/>
    <n v="4682.2"/>
    <n v="1098.17"/>
    <x v="1"/>
    <b v="0"/>
    <b v="0"/>
    <b v="0"/>
    <m/>
  </r>
  <r>
    <n v="384"/>
    <s v="ORD-2025-0384"/>
    <d v="2025-04-23T00:00:00"/>
    <x v="10"/>
    <d v="2025-04-28T00:00:00"/>
    <s v="Express"/>
    <s v="CUST-0171"/>
    <s v="Vikram Rao"/>
    <x v="2"/>
    <x v="2"/>
    <s v="West"/>
    <s v="Electronics"/>
    <s v="Keyboard"/>
    <n v="3"/>
    <n v="0.05"/>
    <n v="3547.09"/>
    <n v="778.5"/>
    <x v="4"/>
    <b v="0"/>
    <b v="0"/>
    <b v="0"/>
    <m/>
  </r>
  <r>
    <n v="385"/>
    <s v="ORD-2025-0385"/>
    <d v="2025-03-12T00:00:00"/>
    <x v="11"/>
    <d v="2025-03-14T00:00:00"/>
    <s v="Standard"/>
    <s v="CUST-0193"/>
    <s v="Sneha Reddy"/>
    <x v="2"/>
    <x v="5"/>
    <s v="North"/>
    <s v="Home &amp; Kitchen"/>
    <s v="Lunch Box"/>
    <n v="2"/>
    <n v="0"/>
    <n v="1466.07"/>
    <n v="388.33"/>
    <x v="4"/>
    <b v="0"/>
    <b v="0"/>
    <b v="0"/>
    <m/>
  </r>
  <r>
    <n v="386"/>
    <s v="ORD-2025-0386"/>
    <d v="2025-11-28T00:00:00"/>
    <x v="2"/>
    <d v="2025-11-30T00:00:00"/>
    <s v="Standard"/>
    <s v="CUST-0216"/>
    <s v="Ananya Singh"/>
    <x v="2"/>
    <x v="5"/>
    <s v="North"/>
    <s v="Electronics"/>
    <s v="Power Bank"/>
    <n v="1"/>
    <n v="0"/>
    <n v="1167.2"/>
    <n v="227.46"/>
    <x v="0"/>
    <b v="0"/>
    <b v="0"/>
    <b v="0"/>
    <m/>
  </r>
  <r>
    <n v="387"/>
    <s v="ORD-2025-0387"/>
    <d v="2025-04-09T00:00:00"/>
    <x v="10"/>
    <d v="2025-04-14T00:00:00"/>
    <s v="Standard"/>
    <s v="CUST-0169"/>
    <s v="Neha Gupta"/>
    <x v="0"/>
    <x v="11"/>
    <s v="West"/>
    <s v="Electronics"/>
    <s v="Bluetooth Speaker"/>
    <n v="2"/>
    <n v="0.05"/>
    <n v="3743.73"/>
    <n v="701.3"/>
    <x v="0"/>
    <b v="0"/>
    <b v="0"/>
    <b v="0"/>
    <m/>
  </r>
  <r>
    <n v="388"/>
    <s v="ORD-2025-0388"/>
    <d v="2025-07-26T00:00:00"/>
    <x v="7"/>
    <d v="2025-07-29T00:00:00"/>
    <s v="Standard"/>
    <s v="CUST-0035"/>
    <s v="Ishita Roy"/>
    <x v="0"/>
    <x v="9"/>
    <s v="South"/>
    <s v="Electronics"/>
    <s v="Keyboard"/>
    <n v="1"/>
    <n v="0.15"/>
    <n v="1119.05"/>
    <n v="281.49"/>
    <x v="4"/>
    <b v="0"/>
    <b v="0"/>
    <b v="0"/>
    <m/>
  </r>
  <r>
    <n v="389"/>
    <s v="ORD-2025-0389"/>
    <d v="2025-01-16T00:00:00"/>
    <x v="1"/>
    <d v="2025-01-20T00:00:00"/>
    <s v="Standard"/>
    <s v="CUST-0220"/>
    <s v="Aarav Sharma"/>
    <x v="2"/>
    <x v="9"/>
    <s v="South"/>
    <s v="Office Supplies"/>
    <s v="Calculator"/>
    <n v="5"/>
    <n v="0"/>
    <n v="3230.52"/>
    <n v="901.67"/>
    <x v="3"/>
    <b v="0"/>
    <b v="0"/>
    <b v="0"/>
    <m/>
  </r>
  <r>
    <n v="390"/>
    <s v="ORD-2025-0390"/>
    <d v="2025-04-18T00:00:00"/>
    <x v="10"/>
    <d v="2025-04-20T00:00:00"/>
    <s v="Standard"/>
    <s v="CUST-0071"/>
    <s v="Manish Yadav"/>
    <x v="1"/>
    <x v="2"/>
    <s v="West"/>
    <s v="Electronics"/>
    <s v="Bluetooth Speaker"/>
    <n v="5"/>
    <n v="0.1"/>
    <n v="8440.44"/>
    <n v="1806.62"/>
    <x v="1"/>
    <b v="0"/>
    <b v="0"/>
    <b v="0"/>
    <m/>
  </r>
  <r>
    <n v="391"/>
    <s v="ORD-2025-0391"/>
    <d v="2025-05-09T00:00:00"/>
    <x v="0"/>
    <d v="2025-05-14T00:00:00"/>
    <s v="Standard"/>
    <s v="CUST-0097"/>
    <s v="Kiran Joshi"/>
    <x v="2"/>
    <x v="11"/>
    <s v="West"/>
    <s v="Office Supplies"/>
    <s v="File Folder"/>
    <n v="3"/>
    <n v="0.1"/>
    <n v="240.61"/>
    <n v="30.38"/>
    <x v="0"/>
    <b v="0"/>
    <b v="0"/>
    <b v="0"/>
    <m/>
  </r>
  <r>
    <n v="392"/>
    <s v="ORD-2025-0392"/>
    <d v="2025-11-13T00:00:00"/>
    <x v="2"/>
    <d v="2025-11-15T00:00:00"/>
    <s v="Same Day"/>
    <s v="CUST-0119"/>
    <s v="Divya Rao"/>
    <x v="1"/>
    <x v="2"/>
    <s v="West"/>
    <s v="Office Supplies"/>
    <s v="File Folder"/>
    <n v="2"/>
    <n v="0.2"/>
    <n v="147.79"/>
    <n v="32.28"/>
    <x v="1"/>
    <b v="0"/>
    <b v="0"/>
    <b v="0"/>
    <m/>
  </r>
  <r>
    <n v="393"/>
    <s v="ORD-2025-0393"/>
    <d v="2025-03-12T00:00:00"/>
    <x v="11"/>
    <d v="2025-03-15T00:00:00"/>
    <s v="Same Day"/>
    <s v="CUST-0105"/>
    <s v="Aarav Sharma"/>
    <x v="1"/>
    <x v="3"/>
    <s v="South"/>
    <s v="Furniture"/>
    <s v="Folding Chair"/>
    <n v="2"/>
    <n v="0.1"/>
    <n v="3343.75"/>
    <n v="611.74"/>
    <x v="2"/>
    <b v="0"/>
    <b v="0"/>
    <b v="0"/>
    <m/>
  </r>
  <r>
    <n v="394"/>
    <s v="ORD-2025-0394"/>
    <d v="2025-05-06T00:00:00"/>
    <x v="0"/>
    <d v="2025-05-10T00:00:00"/>
    <s v="Standard"/>
    <s v="CUST-0170"/>
    <s v="Manish Yadav"/>
    <x v="1"/>
    <x v="2"/>
    <s v="West"/>
    <s v="Home &amp; Kitchen"/>
    <s v="Coffee Mug"/>
    <n v="3"/>
    <n v="0.15"/>
    <n v="734.41"/>
    <n v="142.97999999999999"/>
    <x v="2"/>
    <b v="0"/>
    <b v="0"/>
    <b v="0"/>
    <m/>
  </r>
  <r>
    <n v="395"/>
    <s v="ORD-2025-0395"/>
    <d v="2025-05-10T00:00:00"/>
    <x v="0"/>
    <d v="2025-05-14T00:00:00"/>
    <s v="Standard"/>
    <s v="CUST-0188"/>
    <s v="Aarav Sharma"/>
    <x v="2"/>
    <x v="1"/>
    <s v="East"/>
    <s v="Furniture"/>
    <s v="Bookshelf"/>
    <n v="1"/>
    <n v="0.1"/>
    <n v="4146.26"/>
    <n v="914.9"/>
    <x v="2"/>
    <b v="0"/>
    <b v="0"/>
    <b v="0"/>
    <m/>
  </r>
  <r>
    <n v="396"/>
    <s v="ORD-2025-0396"/>
    <d v="2025-04-30T00:00:00"/>
    <x v="10"/>
    <d v="2025-05-01T00:00:00"/>
    <s v="Standard"/>
    <s v="CUST-0121"/>
    <s v="Rohan Mehta"/>
    <x v="0"/>
    <x v="11"/>
    <s v="West"/>
    <s v="Office Supplies"/>
    <s v="Calculator"/>
    <n v="1"/>
    <n v="0.1"/>
    <n v="561"/>
    <n v="39.590000000000003"/>
    <x v="1"/>
    <b v="0"/>
    <b v="0"/>
    <b v="0"/>
    <m/>
  </r>
  <r>
    <n v="397"/>
    <s v="ORD-2025-0397"/>
    <d v="2025-06-01T00:00:00"/>
    <x v="8"/>
    <d v="2025-06-03T00:00:00"/>
    <s v="Standard"/>
    <s v="CUST-0101"/>
    <s v="Kiran Joshi"/>
    <x v="0"/>
    <x v="0"/>
    <s v="East"/>
    <s v="Furniture"/>
    <s v="Study Table"/>
    <n v="1"/>
    <n v="0.1"/>
    <n v="6320.87"/>
    <n v="1707.89"/>
    <x v="1"/>
    <b v="0"/>
    <b v="0"/>
    <b v="0"/>
    <m/>
  </r>
  <r>
    <n v="398"/>
    <s v="ORD-2025-0398"/>
    <d v="2025-02-16T00:00:00"/>
    <x v="3"/>
    <d v="2025-02-19T00:00:00"/>
    <s v="Standard"/>
    <s v="CUST-0220"/>
    <s v="Arjun Patel"/>
    <x v="2"/>
    <x v="3"/>
    <s v="South"/>
    <s v="Home &amp; Kitchen"/>
    <s v="Storage Box"/>
    <n v="2"/>
    <n v="0.1"/>
    <n v="1546.11"/>
    <n v="318.42"/>
    <x v="1"/>
    <b v="0"/>
    <b v="0"/>
    <b v="0"/>
    <m/>
  </r>
  <r>
    <n v="399"/>
    <s v="ORD-2025-0399"/>
    <d v="2025-06-30T00:00:00"/>
    <x v="8"/>
    <d v="2025-07-03T00:00:00"/>
    <s v="Standard"/>
    <s v="CUST-0161"/>
    <s v="Pooja Das"/>
    <x v="2"/>
    <x v="5"/>
    <s v="North"/>
    <s v="Office Supplies"/>
    <s v="Pen Set"/>
    <n v="1"/>
    <n v="0.1"/>
    <n v="106.4"/>
    <n v="10.17"/>
    <x v="1"/>
    <b v="0"/>
    <b v="0"/>
    <b v="0"/>
    <m/>
  </r>
  <r>
    <n v="400"/>
    <s v="ORD-2025-0400"/>
    <d v="2025-04-28T00:00:00"/>
    <x v="10"/>
    <d v="2025-05-02T00:00:00"/>
    <s v="Standard"/>
    <s v="CUST-0049"/>
    <s v="Neha Gupta"/>
    <x v="0"/>
    <x v="6"/>
    <s v="South"/>
    <s v="Office Supplies"/>
    <s v="Pen Set"/>
    <n v="5"/>
    <n v="0.15"/>
    <n v="525.55999999999995"/>
    <n v="52.16"/>
    <x v="1"/>
    <b v="0"/>
    <b v="0"/>
    <b v="0"/>
    <m/>
  </r>
  <r>
    <n v="401"/>
    <s v="ORD-2025-0401"/>
    <d v="2025-08-21T00:00:00"/>
    <x v="6"/>
    <d v="2025-08-24T00:00:00"/>
    <s v="Standard"/>
    <s v="CUST-0121"/>
    <s v="Kiran Joshi"/>
    <x v="0"/>
    <x v="11"/>
    <s v="West"/>
    <s v="Furniture"/>
    <s v="Desk Lamp"/>
    <n v="2"/>
    <n v="0"/>
    <n v="2497.42"/>
    <n v="576.75"/>
    <x v="1"/>
    <b v="0"/>
    <b v="0"/>
    <b v="0"/>
    <m/>
  </r>
  <r>
    <n v="402"/>
    <s v="ORD-2025-0402"/>
    <d v="2025-02-18T00:00:00"/>
    <x v="3"/>
    <d v="2025-02-22T00:00:00"/>
    <s v="Express"/>
    <s v="CUST-0126"/>
    <s v="Priya Nair"/>
    <x v="1"/>
    <x v="0"/>
    <s v="East"/>
    <s v="Office Supplies"/>
    <s v="Pen Set"/>
    <n v="2"/>
    <n v="0.2"/>
    <n v="200.87"/>
    <n v="26.36"/>
    <x v="3"/>
    <b v="0"/>
    <b v="0"/>
    <b v="0"/>
    <m/>
  </r>
  <r>
    <n v="403"/>
    <s v="ORD-2025-0403"/>
    <d v="2025-10-06T00:00:00"/>
    <x v="9"/>
    <d v="2025-10-07T00:00:00"/>
    <s v="Standard"/>
    <s v="CUST-0187"/>
    <s v="Meera Shah"/>
    <x v="1"/>
    <x v="5"/>
    <s v="North"/>
    <s v="Office Supplies"/>
    <s v="Pen Set"/>
    <n v="5"/>
    <n v="0"/>
    <n v="620.35"/>
    <n v="182.27"/>
    <x v="2"/>
    <b v="0"/>
    <b v="0"/>
    <b v="0"/>
    <m/>
  </r>
  <r>
    <n v="404"/>
    <s v="ORD-2025-0404"/>
    <d v="2025-05-14T00:00:00"/>
    <x v="0"/>
    <d v="2025-05-19T00:00:00"/>
    <s v="Standard"/>
    <s v="CUST-0123"/>
    <s v="Manish Yadav"/>
    <x v="0"/>
    <x v="6"/>
    <s v="South"/>
    <s v="Home &amp; Kitchen"/>
    <s v="Storage Box"/>
    <n v="1"/>
    <n v="0.1"/>
    <n v="841.25"/>
    <n v="262.41000000000003"/>
    <x v="3"/>
    <b v="0"/>
    <b v="0"/>
    <b v="0"/>
    <m/>
  </r>
  <r>
    <n v="405"/>
    <s v="ORD-2025-0405"/>
    <d v="2025-05-15T00:00:00"/>
    <x v="0"/>
    <d v="2025-05-18T00:00:00"/>
    <s v="Express"/>
    <s v="CUST-0069"/>
    <s v="Arjun Patel"/>
    <x v="0"/>
    <x v="0"/>
    <s v="East"/>
    <s v="Furniture"/>
    <s v="Desk Lamp"/>
    <n v="4"/>
    <n v="0"/>
    <n v="5289.73"/>
    <n v="1783.34"/>
    <x v="1"/>
    <b v="0"/>
    <b v="0"/>
    <b v="0"/>
    <m/>
  </r>
  <r>
    <n v="406"/>
    <s v="ORD-2025-0406"/>
    <d v="2025-11-24T00:00:00"/>
    <x v="2"/>
    <d v="2025-11-26T00:00:00"/>
    <s v="Same Day"/>
    <s v="CUST-0014"/>
    <s v="Neha Gupta"/>
    <x v="2"/>
    <x v="8"/>
    <s v="West"/>
    <s v="Electronics"/>
    <s v="Keyboard"/>
    <n v="3"/>
    <n v="0.2"/>
    <n v="3169.64"/>
    <n v="414.15"/>
    <x v="3"/>
    <b v="0"/>
    <b v="0"/>
    <b v="0"/>
    <m/>
  </r>
  <r>
    <n v="407"/>
    <s v="ORD-2025-0407"/>
    <d v="2025-08-11T00:00:00"/>
    <x v="6"/>
    <d v="2025-08-14T00:00:00"/>
    <s v="Standard"/>
    <s v="CUST-0098"/>
    <s v="Neha Gupta"/>
    <x v="1"/>
    <x v="5"/>
    <s v="North"/>
    <s v="Electronics"/>
    <s v="Wireless Mouse"/>
    <n v="3"/>
    <n v="0"/>
    <n v="2392.75"/>
    <n v="879.14"/>
    <x v="0"/>
    <b v="0"/>
    <b v="0"/>
    <b v="0"/>
    <m/>
  </r>
  <r>
    <n v="408"/>
    <s v="ORD-2025-0408"/>
    <d v="2025-09-19T00:00:00"/>
    <x v="5"/>
    <d v="2025-09-24T00:00:00"/>
    <s v="Express"/>
    <s v="CUST-0073"/>
    <s v="Priya Nair"/>
    <x v="0"/>
    <x v="3"/>
    <s v="South"/>
    <s v="Furniture"/>
    <s v="Bookshelf"/>
    <n v="1"/>
    <n v="0.15"/>
    <n v="3974.31"/>
    <n v="549.54999999999995"/>
    <x v="1"/>
    <b v="0"/>
    <b v="0"/>
    <b v="0"/>
    <m/>
  </r>
  <r>
    <n v="409"/>
    <s v="ORD-2025-0409"/>
    <d v="2025-12-28T00:00:00"/>
    <x v="4"/>
    <d v="2026-01-01T00:00:00"/>
    <s v="Express"/>
    <s v="CUST-0086"/>
    <s v="Pooja Das"/>
    <x v="0"/>
    <x v="8"/>
    <s v="West"/>
    <s v="Office Supplies"/>
    <s v="Pen Set"/>
    <n v="3"/>
    <n v="0"/>
    <n v="360.24"/>
    <n v="75.41"/>
    <x v="0"/>
    <b v="0"/>
    <b v="0"/>
    <b v="0"/>
    <m/>
  </r>
  <r>
    <n v="410"/>
    <s v="ORD-2025-0410"/>
    <d v="2025-07-08T00:00:00"/>
    <x v="7"/>
    <d v="2025-07-12T00:00:00"/>
    <s v="Standard"/>
    <s v="CUST-0134"/>
    <s v="Nikhil Jain"/>
    <x v="1"/>
    <x v="9"/>
    <s v="South"/>
    <s v="Home &amp; Kitchen"/>
    <s v="Water Bottle"/>
    <n v="3"/>
    <n v="0.2"/>
    <n v="1175.56"/>
    <n v="-7.73"/>
    <x v="1"/>
    <b v="0"/>
    <b v="0"/>
    <b v="0"/>
    <m/>
  </r>
  <r>
    <n v="411"/>
    <s v="ORD-2025-0411"/>
    <d v="2025-02-08T00:00:00"/>
    <x v="3"/>
    <d v="2025-02-09T00:00:00"/>
    <s v="Standard"/>
    <s v="CUST-0096"/>
    <s v="Pooja Das"/>
    <x v="0"/>
    <x v="10"/>
    <s v="North"/>
    <s v="Office Supplies"/>
    <s v="Calculator"/>
    <n v="1"/>
    <n v="0.05"/>
    <n v="613.12"/>
    <n v="200.38"/>
    <x v="1"/>
    <b v="0"/>
    <b v="0"/>
    <b v="0"/>
    <m/>
  </r>
  <r>
    <n v="412"/>
    <s v="ORD-2025-0412"/>
    <d v="2025-11-27T00:00:00"/>
    <x v="2"/>
    <d v="2025-11-29T00:00:00"/>
    <s v="Standard"/>
    <s v="CUST-0031"/>
    <s v="Vikram Rao"/>
    <x v="0"/>
    <x v="5"/>
    <s v="North"/>
    <s v="Office Supplies"/>
    <s v="File Folder"/>
    <n v="1"/>
    <n v="0.1"/>
    <n v="80.209999999999994"/>
    <n v="-250"/>
    <x v="4"/>
    <b v="0"/>
    <b v="0"/>
    <b v="0"/>
    <m/>
  </r>
  <r>
    <n v="413"/>
    <s v="ORD-2025-0413"/>
    <d v="2025-09-03T00:00:00"/>
    <x v="5"/>
    <d v="2025-09-05T00:00:00"/>
    <s v="Standard"/>
    <s v="CUST-0172"/>
    <s v="Neha Gupta"/>
    <x v="0"/>
    <x v="8"/>
    <s v="West"/>
    <s v="Electronics"/>
    <s v="Wireless Mouse"/>
    <n v="1"/>
    <n v="0.1"/>
    <n v="707.05"/>
    <n v="161.25"/>
    <x v="0"/>
    <b v="0"/>
    <b v="0"/>
    <b v="0"/>
    <m/>
  </r>
  <r>
    <n v="414"/>
    <s v="ORD-2025-0414"/>
    <d v="2025-03-30T00:00:00"/>
    <x v="11"/>
    <d v="2025-04-03T00:00:00"/>
    <s v="Standard"/>
    <s v="CUST-0186"/>
    <s v="Divya Rao"/>
    <x v="0"/>
    <x v="7"/>
    <s v="South"/>
    <s v="Home &amp; Kitchen"/>
    <s v="Coffee Mug"/>
    <n v="2"/>
    <n v="0.05"/>
    <n v="587.88"/>
    <n v="135.16999999999999"/>
    <x v="0"/>
    <b v="0"/>
    <b v="0"/>
    <b v="0"/>
    <m/>
  </r>
  <r>
    <n v="415"/>
    <s v="ORD-2025-0415"/>
    <d v="2025-07-01T00:00:00"/>
    <x v="7"/>
    <d v="2025-07-06T00:00:00"/>
    <s v="Standard"/>
    <s v="CUST-0186"/>
    <s v="Pooja Das"/>
    <x v="2"/>
    <x v="4"/>
    <s v="North"/>
    <s v="Electronics"/>
    <s v="Keyboard"/>
    <n v="2"/>
    <n v="0"/>
    <n v="2550.56"/>
    <n v="825.32"/>
    <x v="2"/>
    <b v="0"/>
    <b v="0"/>
    <b v="0"/>
    <m/>
  </r>
  <r>
    <n v="416"/>
    <s v="ORD-2025-0416"/>
    <d v="2025-10-09T00:00:00"/>
    <x v="9"/>
    <d v="2025-10-11T00:00:00"/>
    <s v="Standard"/>
    <s v="CUST-0188"/>
    <s v="Rohan Mehta"/>
    <x v="0"/>
    <x v="11"/>
    <s v="West"/>
    <s v="Office Supplies"/>
    <s v="Calculator"/>
    <n v="3"/>
    <n v="0"/>
    <n v="1964.75"/>
    <n v="706.57"/>
    <x v="4"/>
    <b v="0"/>
    <b v="0"/>
    <b v="0"/>
    <m/>
  </r>
  <r>
    <n v="417"/>
    <s v="ORD-2025-0417"/>
    <d v="2025-06-27T00:00:00"/>
    <x v="8"/>
    <d v="2025-06-29T00:00:00"/>
    <s v="Standard"/>
    <s v="CUST-0099"/>
    <s v="Sanjay Menon"/>
    <x v="0"/>
    <x v="7"/>
    <s v="South"/>
    <s v="Furniture"/>
    <s v="Study Table"/>
    <n v="2"/>
    <n v="0"/>
    <n v="13964.86"/>
    <n v="3411.06"/>
    <x v="2"/>
    <b v="0"/>
    <b v="0"/>
    <b v="0"/>
    <m/>
  </r>
  <r>
    <n v="418"/>
    <s v="ORD-2025-0418"/>
    <d v="2025-08-09T00:00:00"/>
    <x v="6"/>
    <d v="2025-08-14T00:00:00"/>
    <s v="Same Day"/>
    <s v="CUST-0168"/>
    <s v="Kiran Joshi"/>
    <x v="0"/>
    <x v="1"/>
    <s v="East"/>
    <s v="Office Supplies"/>
    <s v="Desk Organizer"/>
    <n v="2"/>
    <n v="0"/>
    <n v="897.17"/>
    <n v="312.54000000000002"/>
    <x v="1"/>
    <b v="0"/>
    <b v="0"/>
    <b v="0"/>
    <m/>
  </r>
  <r>
    <n v="419"/>
    <s v="ORD-2025-0419"/>
    <d v="2025-10-27T00:00:00"/>
    <x v="9"/>
    <d v="2025-10-31T00:00:00"/>
    <s v="Standard"/>
    <s v="CUST-0009"/>
    <s v="Pooja Das"/>
    <x v="0"/>
    <x v="10"/>
    <s v="North"/>
    <s v="Home &amp; Kitchen"/>
    <s v="Storage Box"/>
    <n v="2"/>
    <n v="0"/>
    <n v="1776.81"/>
    <n v="553.52"/>
    <x v="2"/>
    <b v="0"/>
    <b v="0"/>
    <b v="0"/>
    <m/>
  </r>
  <r>
    <n v="420"/>
    <s v="ORD-2025-0420"/>
    <d v="2025-04-13T00:00:00"/>
    <x v="10"/>
    <d v="2025-04-15T00:00:00"/>
    <s v="Standard"/>
    <s v="CUST-0166"/>
    <s v="Sneha Reddy"/>
    <x v="1"/>
    <x v="8"/>
    <s v="West"/>
    <s v="Furniture"/>
    <s v="Bookshelf"/>
    <n v="5"/>
    <n v="0"/>
    <n v="22967.68"/>
    <n v="4971.5"/>
    <x v="1"/>
    <b v="0"/>
    <b v="0"/>
    <b v="0"/>
    <m/>
  </r>
  <r>
    <n v="421"/>
    <s v="ORD-2025-0421"/>
    <d v="2025-06-15T00:00:00"/>
    <x v="8"/>
    <d v="2025-06-20T00:00:00"/>
    <s v="Standard"/>
    <s v="CUST-0246"/>
    <s v="Sneha Reddy"/>
    <x v="2"/>
    <x v="6"/>
    <s v="South"/>
    <s v="Furniture"/>
    <s v="Folding Chair"/>
    <n v="1"/>
    <n v="0.15"/>
    <n v="1513.72"/>
    <n v="311.18"/>
    <x v="1"/>
    <b v="0"/>
    <b v="0"/>
    <b v="0"/>
    <m/>
  </r>
  <r>
    <n v="422"/>
    <s v="ORD-2025-0422"/>
    <d v="2025-03-02T00:00:00"/>
    <x v="11"/>
    <d v="2025-03-07T00:00:00"/>
    <s v="Standard"/>
    <s v="CUST-0247"/>
    <s v="Priya Nair"/>
    <x v="1"/>
    <x v="3"/>
    <s v="South"/>
    <s v="Office Supplies"/>
    <s v="File Folder"/>
    <n v="3"/>
    <n v="0.1"/>
    <n v="235.24"/>
    <n v="16.66"/>
    <x v="1"/>
    <b v="0"/>
    <b v="0"/>
    <b v="0"/>
    <m/>
  </r>
  <r>
    <n v="423"/>
    <s v="ORD-2025-0423"/>
    <d v="2025-03-17T00:00:00"/>
    <x v="11"/>
    <d v="2025-03-21T00:00:00"/>
    <s v="Standard"/>
    <s v="CUST-0218"/>
    <s v="Nikhil Jain"/>
    <x v="0"/>
    <x v="3"/>
    <s v="South"/>
    <s v="Furniture"/>
    <s v="Folding Chair"/>
    <n v="3"/>
    <n v="0"/>
    <n v="5289.02"/>
    <n v="1430.91"/>
    <x v="1"/>
    <b v="0"/>
    <b v="0"/>
    <b v="0"/>
    <m/>
  </r>
  <r>
    <n v="424"/>
    <s v="ORD-2025-0424"/>
    <d v="2025-10-21T00:00:00"/>
    <x v="9"/>
    <d v="2025-10-25T00:00:00"/>
    <s v="Standard"/>
    <s v="CUST-0130"/>
    <s v="Nikhil Jain"/>
    <x v="1"/>
    <x v="11"/>
    <s v="West"/>
    <s v="Furniture"/>
    <s v="Study Table"/>
    <n v="1"/>
    <n v="0.1"/>
    <n v="6425.77"/>
    <n v="1511.45"/>
    <x v="2"/>
    <b v="0"/>
    <b v="0"/>
    <b v="0"/>
    <m/>
  </r>
  <r>
    <n v="425"/>
    <s v="ORD-2025-0425"/>
    <d v="2025-03-21T00:00:00"/>
    <x v="11"/>
    <d v="2025-03-22T00:00:00"/>
    <s v="Standard"/>
    <s v="CUST-0192"/>
    <s v="Pooja Das"/>
    <x v="0"/>
    <x v="0"/>
    <s v="East"/>
    <s v="Electronics"/>
    <s v="Bluetooth Speaker"/>
    <n v="2"/>
    <n v="0.2"/>
    <n v="3128.88"/>
    <n v="117.55"/>
    <x v="2"/>
    <b v="0"/>
    <b v="0"/>
    <b v="0"/>
    <m/>
  </r>
  <r>
    <n v="426"/>
    <s v="ORD-2025-0426"/>
    <d v="2025-03-17T00:00:00"/>
    <x v="11"/>
    <d v="2025-03-22T00:00:00"/>
    <s v="Standard"/>
    <s v="CUST-0087"/>
    <s v="Shreya Kapoor"/>
    <x v="0"/>
    <x v="4"/>
    <s v="North"/>
    <s v="Furniture"/>
    <s v="Study Table"/>
    <n v="5"/>
    <n v="0.1"/>
    <n v="31234.6"/>
    <n v="3394.33"/>
    <x v="0"/>
    <b v="0"/>
    <b v="0"/>
    <b v="0"/>
    <m/>
  </r>
  <r>
    <n v="427"/>
    <s v="ORD-2025-0427"/>
    <d v="2025-02-14T00:00:00"/>
    <x v="3"/>
    <d v="2025-02-16T00:00:00"/>
    <s v="Express"/>
    <s v="CUST-0019"/>
    <s v="Kiran Joshi"/>
    <x v="0"/>
    <x v="3"/>
    <s v="South"/>
    <s v="Office Supplies"/>
    <s v="Notebook"/>
    <n v="4"/>
    <n v="0.15"/>
    <n v="592.15"/>
    <n v="71.849999999999994"/>
    <x v="1"/>
    <b v="0"/>
    <b v="0"/>
    <b v="0"/>
    <m/>
  </r>
  <r>
    <n v="428"/>
    <s v="ORD-2025-0428"/>
    <d v="2025-02-11T00:00:00"/>
    <x v="3"/>
    <d v="2025-02-12T00:00:00"/>
    <s v="Standard"/>
    <s v="CUST-0102"/>
    <s v="Manish Yadav"/>
    <x v="0"/>
    <x v="3"/>
    <s v="South"/>
    <s v="Electronics"/>
    <s v="Bluetooth Speaker"/>
    <n v="3"/>
    <n v="0"/>
    <n v="5514.22"/>
    <n v="966.71"/>
    <x v="1"/>
    <b v="0"/>
    <b v="0"/>
    <b v="0"/>
    <m/>
  </r>
  <r>
    <n v="429"/>
    <s v="ORD-2025-0429"/>
    <d v="2025-02-27T00:00:00"/>
    <x v="3"/>
    <d v="2025-02-28T00:00:00"/>
    <s v="Same Day"/>
    <s v="CUST-0171"/>
    <s v="Manish Yadav"/>
    <x v="1"/>
    <x v="8"/>
    <s v="West"/>
    <s v="Home &amp; Kitchen"/>
    <s v="Electric Kettle"/>
    <n v="1"/>
    <n v="0"/>
    <n v="1743.01"/>
    <n v="478.53"/>
    <x v="1"/>
    <b v="0"/>
    <b v="0"/>
    <b v="0"/>
    <m/>
  </r>
  <r>
    <n v="430"/>
    <s v="ORD-2025-0430"/>
    <d v="2025-09-23T00:00:00"/>
    <x v="5"/>
    <d v="2025-09-24T00:00:00"/>
    <s v="Express"/>
    <s v="CUST-0127"/>
    <s v="Divya Rao"/>
    <x v="2"/>
    <x v="0"/>
    <s v="East"/>
    <s v="Home &amp; Kitchen"/>
    <s v="Water Bottle"/>
    <n v="2"/>
    <n v="0.1"/>
    <n v="933.58"/>
    <n v="247.79"/>
    <x v="3"/>
    <b v="0"/>
    <b v="0"/>
    <b v="0"/>
    <m/>
  </r>
  <r>
    <n v="431"/>
    <s v="ORD-2025-0431"/>
    <d v="2025-07-17T00:00:00"/>
    <x v="7"/>
    <d v="2025-07-18T00:00:00"/>
    <s v="Same Day"/>
    <s v="CUST-0131"/>
    <s v="Neha Gupta"/>
    <x v="1"/>
    <x v="1"/>
    <s v="East"/>
    <s v="Office Supplies"/>
    <s v="Notebook"/>
    <n v="1"/>
    <n v="0.1"/>
    <n v="158.41999999999999"/>
    <n v="32.24"/>
    <x v="1"/>
    <b v="0"/>
    <b v="0"/>
    <b v="0"/>
    <m/>
  </r>
  <r>
    <n v="432"/>
    <s v="ORD-2025-0432"/>
    <d v="2025-06-21T00:00:00"/>
    <x v="8"/>
    <d v="2025-06-26T00:00:00"/>
    <s v="Express"/>
    <s v="CUST-0198"/>
    <s v="Manish Yadav"/>
    <x v="0"/>
    <x v="11"/>
    <s v="West"/>
    <s v="Electronics"/>
    <s v="Power Bank"/>
    <n v="1"/>
    <n v="0"/>
    <n v="1243.32"/>
    <n v="386.7"/>
    <x v="1"/>
    <b v="0"/>
    <b v="0"/>
    <b v="0"/>
    <m/>
  </r>
  <r>
    <n v="433"/>
    <s v="ORD-2025-0433"/>
    <d v="2025-04-28T00:00:00"/>
    <x v="10"/>
    <d v="2025-04-30T00:00:00"/>
    <s v="Standard"/>
    <s v="CUST-0175"/>
    <s v="Priya Nair"/>
    <x v="0"/>
    <x v="3"/>
    <s v="South"/>
    <s v="Home &amp; Kitchen"/>
    <s v="Electric Kettle"/>
    <n v="4"/>
    <n v="0.15"/>
    <n v="6398.42"/>
    <n v="1163.27"/>
    <x v="2"/>
    <b v="0"/>
    <b v="0"/>
    <b v="0"/>
    <m/>
  </r>
  <r>
    <n v="434"/>
    <s v="ORD-2025-0434"/>
    <d v="2025-02-08T00:00:00"/>
    <x v="3"/>
    <d v="2025-02-12T00:00:00"/>
    <s v="Standard"/>
    <s v="CUST-0158"/>
    <s v="Pooja Das"/>
    <x v="2"/>
    <x v="8"/>
    <s v="West"/>
    <s v="Furniture"/>
    <s v="Study Table"/>
    <n v="5"/>
    <n v="0"/>
    <n v="33584.629999999997"/>
    <n v="11497.84"/>
    <x v="1"/>
    <b v="0"/>
    <b v="0"/>
    <b v="0"/>
    <m/>
  </r>
  <r>
    <n v="435"/>
    <s v="ORD-2025-0435"/>
    <d v="2025-07-29T00:00:00"/>
    <x v="7"/>
    <d v="2025-07-30T00:00:00"/>
    <s v="Standard"/>
    <s v="CUST-0129"/>
    <s v="Sanjay Menon"/>
    <x v="0"/>
    <x v="3"/>
    <s v="South"/>
    <s v="Electronics"/>
    <s v="Power Bank"/>
    <n v="1"/>
    <n v="0.15"/>
    <n v="1055.01"/>
    <n v="115.67"/>
    <x v="1"/>
    <b v="0"/>
    <b v="0"/>
    <b v="0"/>
    <m/>
  </r>
  <r>
    <n v="436"/>
    <s v="ORD-2025-0436"/>
    <d v="2025-03-17T00:00:00"/>
    <x v="11"/>
    <d v="2025-03-21T00:00:00"/>
    <s v="Standard"/>
    <s v="CUST-0047"/>
    <s v="Vikram Rao"/>
    <x v="0"/>
    <x v="6"/>
    <s v="South"/>
    <s v="Electronics"/>
    <s v="USB-C Hub"/>
    <n v="2"/>
    <n v="0.05"/>
    <n v="2773.56"/>
    <n v="780.26"/>
    <x v="3"/>
    <b v="0"/>
    <b v="0"/>
    <b v="0"/>
    <m/>
  </r>
  <r>
    <n v="437"/>
    <s v="ORD-2025-0437"/>
    <d v="2025-03-23T00:00:00"/>
    <x v="11"/>
    <d v="2025-03-27T00:00:00"/>
    <s v="Express"/>
    <s v="CUST-0164"/>
    <s v="Ishita Roy"/>
    <x v="0"/>
    <x v="1"/>
    <s v="East"/>
    <s v="Home &amp; Kitchen"/>
    <s v="Lunch Box"/>
    <n v="4"/>
    <n v="0"/>
    <n v="2782.05"/>
    <n v="530.80999999999995"/>
    <x v="1"/>
    <b v="0"/>
    <b v="0"/>
    <b v="0"/>
    <m/>
  </r>
  <r>
    <n v="438"/>
    <s v="ORD-2025-0438"/>
    <d v="2025-08-08T00:00:00"/>
    <x v="6"/>
    <d v="2025-08-12T00:00:00"/>
    <s v="Express"/>
    <s v="CUST-0194"/>
    <s v="Aditya Kumar"/>
    <x v="0"/>
    <x v="10"/>
    <s v="North"/>
    <s v="Furniture"/>
    <s v="Office Chair"/>
    <n v="5"/>
    <n v="0.25"/>
    <n v="21317.11"/>
    <n v="2494.09"/>
    <x v="1"/>
    <b v="0"/>
    <b v="0"/>
    <b v="0"/>
    <m/>
  </r>
  <r>
    <n v="439"/>
    <s v="ORD-2025-0439"/>
    <d v="2025-08-05T00:00:00"/>
    <x v="6"/>
    <d v="2025-08-06T00:00:00"/>
    <s v="Same Day"/>
    <s v="CUST-0108"/>
    <s v="Ishita Roy"/>
    <x v="0"/>
    <x v="11"/>
    <s v="West"/>
    <s v="Electronics"/>
    <s v="Power Bank"/>
    <n v="1"/>
    <n v="0.2"/>
    <n v="982.92"/>
    <n v="228.05"/>
    <x v="2"/>
    <b v="0"/>
    <b v="0"/>
    <b v="0"/>
    <m/>
  </r>
  <r>
    <n v="440"/>
    <s v="ORD-2025-0440"/>
    <d v="2025-01-17T00:00:00"/>
    <x v="1"/>
    <d v="2025-01-21T00:00:00"/>
    <s v="Express"/>
    <s v="CUST-0247"/>
    <s v="Vikram Rao"/>
    <x v="1"/>
    <x v="5"/>
    <s v="North"/>
    <s v="Office Supplies"/>
    <s v="Pen Set"/>
    <n v="2"/>
    <n v="0.1"/>
    <n v="213.95"/>
    <n v="65.02"/>
    <x v="1"/>
    <b v="0"/>
    <b v="0"/>
    <b v="0"/>
    <m/>
  </r>
  <r>
    <n v="441"/>
    <s v="ORD-2025-0441"/>
    <d v="2025-03-19T00:00:00"/>
    <x v="11"/>
    <d v="2025-03-21T00:00:00"/>
    <s v="Same Day"/>
    <s v="CUST-0086"/>
    <s v="Neha Gupta"/>
    <x v="0"/>
    <x v="6"/>
    <s v="South"/>
    <s v="Furniture"/>
    <s v="Study Table"/>
    <n v="1"/>
    <n v="0.2"/>
    <n v="5552.95"/>
    <n v="780.1"/>
    <x v="1"/>
    <b v="0"/>
    <b v="0"/>
    <b v="0"/>
    <m/>
  </r>
  <r>
    <n v="442"/>
    <s v="ORD-2025-0442"/>
    <d v="2025-05-18T00:00:00"/>
    <x v="0"/>
    <d v="2025-05-19T00:00:00"/>
    <s v="Express"/>
    <s v="CUST-0137"/>
    <s v="Kiran Joshi"/>
    <x v="0"/>
    <x v="2"/>
    <s v="West"/>
    <s v="Office Supplies"/>
    <s v="Notebook"/>
    <n v="1"/>
    <n v="0.2"/>
    <n v="140.69999999999999"/>
    <n v="1.73"/>
    <x v="1"/>
    <b v="0"/>
    <b v="0"/>
    <b v="0"/>
    <m/>
  </r>
  <r>
    <n v="443"/>
    <s v="ORD-2025-0443"/>
    <d v="2025-06-17T00:00:00"/>
    <x v="8"/>
    <d v="2025-06-20T00:00:00"/>
    <s v="Express"/>
    <s v="CUST-0068"/>
    <s v="Meera Shah"/>
    <x v="2"/>
    <x v="6"/>
    <s v="South"/>
    <s v="Home &amp; Kitchen"/>
    <s v="Lunch Box"/>
    <n v="3"/>
    <n v="0"/>
    <n v="2048.1"/>
    <n v="535.77"/>
    <x v="1"/>
    <b v="0"/>
    <b v="0"/>
    <b v="0"/>
    <m/>
  </r>
  <r>
    <n v="444"/>
    <s v="ORD-2025-0444"/>
    <d v="2025-03-18T00:00:00"/>
    <x v="11"/>
    <d v="2025-03-22T00:00:00"/>
    <s v="Express"/>
    <s v="CUST-0022"/>
    <s v="Sanjay Menon"/>
    <x v="0"/>
    <x v="6"/>
    <s v="South"/>
    <s v="Furniture"/>
    <s v="Office Chair"/>
    <n v="2"/>
    <n v="0.25"/>
    <n v="8022.36"/>
    <n v="816.42"/>
    <x v="4"/>
    <b v="0"/>
    <b v="0"/>
    <b v="0"/>
    <m/>
  </r>
  <r>
    <n v="445"/>
    <s v="ORD-2025-0445"/>
    <d v="2025-01-13T00:00:00"/>
    <x v="1"/>
    <d v="2025-01-14T00:00:00"/>
    <s v="Standard"/>
    <s v="CUST-0202"/>
    <s v="Aarav Sharma"/>
    <x v="0"/>
    <x v="10"/>
    <s v="North"/>
    <s v="Home &amp; Kitchen"/>
    <s v="Storage Box"/>
    <n v="4"/>
    <n v="0.2"/>
    <n v="2763"/>
    <n v="124.27"/>
    <x v="3"/>
    <b v="0"/>
    <b v="0"/>
    <b v="0"/>
    <m/>
  </r>
  <r>
    <n v="446"/>
    <s v="ORD-2025-0446"/>
    <d v="2025-11-23T00:00:00"/>
    <x v="2"/>
    <d v="2025-11-28T00:00:00"/>
    <s v="Standard"/>
    <s v="CUST-0200"/>
    <s v="Aditya Kumar"/>
    <x v="0"/>
    <x v="6"/>
    <s v="South"/>
    <s v="Furniture"/>
    <s v="Bookshelf"/>
    <n v="1"/>
    <n v="0.1"/>
    <n v="4167.79"/>
    <n v="735.35"/>
    <x v="1"/>
    <b v="0"/>
    <b v="0"/>
    <b v="0"/>
    <m/>
  </r>
  <r>
    <n v="447"/>
    <s v="ORD-2025-0447"/>
    <d v="2025-07-18T00:00:00"/>
    <x v="7"/>
    <d v="2025-07-19T00:00:00"/>
    <s v="Standard"/>
    <s v="CUST-0238"/>
    <s v="Ananya Singh"/>
    <x v="0"/>
    <x v="4"/>
    <s v="North"/>
    <s v="Home &amp; Kitchen"/>
    <s v="Storage Box"/>
    <n v="1"/>
    <n v="0.1"/>
    <n v="805.47"/>
    <n v="218.68"/>
    <x v="0"/>
    <b v="0"/>
    <b v="0"/>
    <b v="0"/>
    <m/>
  </r>
  <r>
    <n v="448"/>
    <s v="ORD-2025-0448"/>
    <d v="2025-02-21T00:00:00"/>
    <x v="3"/>
    <d v="2025-02-22T00:00:00"/>
    <s v="Standard"/>
    <s v="CUST-0166"/>
    <s v="Arjun Patel"/>
    <x v="0"/>
    <x v="9"/>
    <s v="South"/>
    <s v="Furniture"/>
    <s v="Desk Lamp"/>
    <n v="4"/>
    <n v="0.1"/>
    <n v="4656.93"/>
    <n v="885.98"/>
    <x v="1"/>
    <b v="0"/>
    <b v="0"/>
    <b v="0"/>
    <m/>
  </r>
  <r>
    <n v="449"/>
    <s v="ORD-2025-0449"/>
    <d v="2025-08-13T00:00:00"/>
    <x v="6"/>
    <d v="2025-08-16T00:00:00"/>
    <s v="Express"/>
    <s v="CUST-0208"/>
    <s v="Arjun Patel"/>
    <x v="1"/>
    <x v="0"/>
    <s v="East"/>
    <s v="Office Supplies"/>
    <s v="Pen Set"/>
    <n v="3"/>
    <n v="0.15"/>
    <n v="305.64999999999998"/>
    <n v="44.71"/>
    <x v="4"/>
    <b v="0"/>
    <b v="0"/>
    <b v="0"/>
    <m/>
  </r>
  <r>
    <n v="450"/>
    <s v="ORD-2025-0450"/>
    <d v="2025-05-08T00:00:00"/>
    <x v="0"/>
    <d v="2025-05-10T00:00:00"/>
    <s v="Standard"/>
    <s v="CUST-0220"/>
    <s v="Priya Nair"/>
    <x v="2"/>
    <x v="0"/>
    <s v="East"/>
    <s v="Home &amp; Kitchen"/>
    <s v="Electric Kettle"/>
    <n v="1"/>
    <n v="0.1"/>
    <n v="1683.77"/>
    <n v="520.34"/>
    <x v="3"/>
    <b v="0"/>
    <b v="0"/>
    <b v="0"/>
    <m/>
  </r>
  <r>
    <n v="451"/>
    <s v="ORD-2025-0451"/>
    <d v="2025-06-28T00:00:00"/>
    <x v="8"/>
    <d v="2025-07-02T00:00:00"/>
    <s v="Express"/>
    <s v="CUST-0011"/>
    <s v="Aarav Sharma"/>
    <x v="2"/>
    <x v="4"/>
    <s v="North"/>
    <s v="Office Supplies"/>
    <s v="Desk Organizer"/>
    <n v="4"/>
    <n v="0.2"/>
    <n v="1434.82"/>
    <n v="34.75"/>
    <x v="1"/>
    <b v="0"/>
    <b v="0"/>
    <b v="0"/>
    <m/>
  </r>
  <r>
    <n v="452"/>
    <s v="ORD-2025-0452"/>
    <d v="2025-05-03T00:00:00"/>
    <x v="0"/>
    <d v="2025-05-04T00:00:00"/>
    <s v="Standard"/>
    <s v="CUST-0129"/>
    <s v="Aditya Kumar"/>
    <x v="0"/>
    <x v="0"/>
    <s v="East"/>
    <s v="Electronics"/>
    <s v="Keyboard"/>
    <n v="1"/>
    <n v="0.15"/>
    <n v="1105.72"/>
    <n v="160.26"/>
    <x v="1"/>
    <b v="0"/>
    <b v="0"/>
    <b v="0"/>
    <m/>
  </r>
  <r>
    <n v="453"/>
    <s v="ORD-2025-0453"/>
    <d v="2025-09-22T00:00:00"/>
    <x v="5"/>
    <d v="2025-09-24T00:00:00"/>
    <s v="Same Day"/>
    <s v="CUST-0114"/>
    <s v="Pooja Das"/>
    <x v="0"/>
    <x v="1"/>
    <s v="East"/>
    <s v="Office Supplies"/>
    <s v="Pen Set"/>
    <n v="2"/>
    <n v="0.2"/>
    <n v="191.3"/>
    <n v="4.8499999999999996"/>
    <x v="0"/>
    <b v="0"/>
    <b v="0"/>
    <b v="0"/>
    <m/>
  </r>
  <r>
    <n v="454"/>
    <s v="ORD-2025-0454"/>
    <d v="2025-07-08T00:00:00"/>
    <x v="7"/>
    <d v="2025-07-13T00:00:00"/>
    <s v="Standard"/>
    <s v="CUST-0072"/>
    <s v="Arjun Patel"/>
    <x v="0"/>
    <x v="6"/>
    <s v="South"/>
    <s v="Office Supplies"/>
    <s v="Notebook"/>
    <n v="2"/>
    <n v="0.05"/>
    <n v="347.55"/>
    <n v="72.849999999999994"/>
    <x v="2"/>
    <b v="0"/>
    <b v="0"/>
    <b v="0"/>
    <m/>
  </r>
  <r>
    <n v="455"/>
    <s v="ORD-2025-0455"/>
    <d v="2025-07-27T00:00:00"/>
    <x v="7"/>
    <d v="2025-07-30T00:00:00"/>
    <s v="Express"/>
    <s v="CUST-0186"/>
    <s v="Ananya Singh"/>
    <x v="2"/>
    <x v="6"/>
    <s v="South"/>
    <s v="Electronics"/>
    <s v="Power Bank"/>
    <n v="4"/>
    <n v="0.2"/>
    <n v="3674.49"/>
    <n v="57.57"/>
    <x v="4"/>
    <b v="0"/>
    <b v="0"/>
    <b v="0"/>
    <m/>
  </r>
  <r>
    <n v="456"/>
    <s v="ORD-2025-0456"/>
    <d v="2025-12-07T00:00:00"/>
    <x v="4"/>
    <d v="2025-12-11T00:00:00"/>
    <s v="Express"/>
    <s v="CUST-0093"/>
    <s v="Divya Rao"/>
    <x v="1"/>
    <x v="2"/>
    <s v="West"/>
    <s v="Electronics"/>
    <s v="Power Bank"/>
    <n v="1"/>
    <n v="0"/>
    <n v="1200.68"/>
    <n v="312.04000000000002"/>
    <x v="2"/>
    <b v="0"/>
    <b v="0"/>
    <b v="0"/>
    <m/>
  </r>
  <r>
    <n v="457"/>
    <s v="ORD-2025-0457"/>
    <d v="2025-11-23T00:00:00"/>
    <x v="2"/>
    <d v="2025-11-24T00:00:00"/>
    <s v="Standard"/>
    <s v="CUST-0166"/>
    <s v="Meera Shah"/>
    <x v="2"/>
    <x v="7"/>
    <s v="South"/>
    <s v="Home &amp; Kitchen"/>
    <s v="Storage Box"/>
    <n v="1"/>
    <n v="0.1"/>
    <n v="836.64"/>
    <n v="276.11"/>
    <x v="3"/>
    <b v="0"/>
    <b v="0"/>
    <b v="0"/>
    <m/>
  </r>
  <r>
    <n v="458"/>
    <s v="ORD-2025-0458"/>
    <d v="2025-11-01T00:00:00"/>
    <x v="2"/>
    <d v="2025-11-04T00:00:00"/>
    <s v="Express"/>
    <s v="CUST-0042"/>
    <s v="Vikram Rao"/>
    <x v="1"/>
    <x v="10"/>
    <s v="North"/>
    <s v="Electronics"/>
    <s v="Bluetooth Speaker"/>
    <n v="5"/>
    <n v="0.1"/>
    <n v="8834.68"/>
    <n v="1588.82"/>
    <x v="1"/>
    <b v="0"/>
    <b v="0"/>
    <b v="0"/>
    <m/>
  </r>
  <r>
    <n v="459"/>
    <s v="ORD-2025-0459"/>
    <d v="2025-03-28T00:00:00"/>
    <x v="11"/>
    <d v="2025-03-30T00:00:00"/>
    <s v="Standard"/>
    <s v="CUST-0006"/>
    <s v="Ananya Singh"/>
    <x v="1"/>
    <x v="4"/>
    <s v="North"/>
    <s v="Furniture"/>
    <s v="Study Table"/>
    <n v="3"/>
    <n v="0.1"/>
    <n v="18921.560000000001"/>
    <n v="4461.76"/>
    <x v="1"/>
    <b v="0"/>
    <b v="0"/>
    <b v="0"/>
    <m/>
  </r>
  <r>
    <n v="460"/>
    <s v="ORD-2025-0460"/>
    <d v="2025-01-24T00:00:00"/>
    <x v="1"/>
    <d v="2025-01-28T00:00:00"/>
    <s v="Same Day"/>
    <s v="CUST-0116"/>
    <s v="Kiran Joshi"/>
    <x v="1"/>
    <x v="1"/>
    <s v="East"/>
    <s v="Furniture"/>
    <s v="Study Table"/>
    <n v="3"/>
    <n v="0.1"/>
    <n v="19162.71"/>
    <n v="4825.28"/>
    <x v="1"/>
    <b v="0"/>
    <b v="0"/>
    <b v="0"/>
    <m/>
  </r>
  <r>
    <n v="461"/>
    <s v="ORD-2025-0461"/>
    <d v="2025-11-29T00:00:00"/>
    <x v="2"/>
    <d v="2025-11-30T00:00:00"/>
    <s v="Same Day"/>
    <s v="CUST-0228"/>
    <s v="Divya Rao"/>
    <x v="0"/>
    <x v="10"/>
    <s v="North"/>
    <s v="Furniture"/>
    <s v="Bookshelf"/>
    <n v="1"/>
    <n v="0.1"/>
    <n v="3938.21"/>
    <n v="239.56"/>
    <x v="2"/>
    <b v="0"/>
    <b v="0"/>
    <b v="0"/>
    <m/>
  </r>
  <r>
    <n v="462"/>
    <s v="ORD-2025-0462"/>
    <d v="2025-04-25T00:00:00"/>
    <x v="10"/>
    <d v="2025-04-29T00:00:00"/>
    <s v="Same Day"/>
    <s v="CUST-0210"/>
    <s v="Priya Nair"/>
    <x v="0"/>
    <x v="3"/>
    <s v="South"/>
    <s v="Electronics"/>
    <s v="Wireless Mouse"/>
    <n v="2"/>
    <n v="0.15"/>
    <n v="1351.23"/>
    <n v="230.88"/>
    <x v="1"/>
    <b v="0"/>
    <b v="0"/>
    <b v="0"/>
    <m/>
  </r>
  <r>
    <n v="463"/>
    <s v="ORD-2025-0463"/>
    <d v="2025-01-26T00:00:00"/>
    <x v="1"/>
    <d v="2025-01-27T00:00:00"/>
    <s v="Same Day"/>
    <s v="CUST-0199"/>
    <s v="Sneha Reddy"/>
    <x v="0"/>
    <x v="2"/>
    <s v="West"/>
    <s v="Furniture"/>
    <s v="Bookshelf"/>
    <n v="4"/>
    <n v="0.05"/>
    <n v="16783.23"/>
    <n v="2962.08"/>
    <x v="2"/>
    <b v="0"/>
    <b v="0"/>
    <b v="0"/>
    <m/>
  </r>
  <r>
    <n v="464"/>
    <s v="ORD-2025-0464"/>
    <d v="2025-10-13T00:00:00"/>
    <x v="9"/>
    <d v="2025-10-17T00:00:00"/>
    <s v="Standard"/>
    <s v="CUST-0065"/>
    <s v="Arjun Patel"/>
    <x v="0"/>
    <x v="9"/>
    <s v="South"/>
    <s v="Electronics"/>
    <s v="Power Bank"/>
    <n v="2"/>
    <n v="0"/>
    <n v="2312.6"/>
    <n v="775.64"/>
    <x v="1"/>
    <b v="0"/>
    <b v="0"/>
    <b v="0"/>
    <m/>
  </r>
  <r>
    <n v="465"/>
    <s v="ORD-2025-0465"/>
    <d v="2025-10-19T00:00:00"/>
    <x v="9"/>
    <d v="2025-10-23T00:00:00"/>
    <s v="Express"/>
    <s v="CUST-0022"/>
    <s v="Priya Nair"/>
    <x v="1"/>
    <x v="8"/>
    <s v="West"/>
    <s v="Furniture"/>
    <s v="Desk Lamp"/>
    <n v="1"/>
    <n v="0"/>
    <n v="1340.76"/>
    <n v="443.39"/>
    <x v="2"/>
    <b v="0"/>
    <b v="0"/>
    <b v="0"/>
    <m/>
  </r>
  <r>
    <n v="466"/>
    <s v="ORD-2025-0466"/>
    <d v="2025-07-07T00:00:00"/>
    <x v="7"/>
    <d v="2025-07-10T00:00:00"/>
    <s v="Standard"/>
    <s v="CUST-0244"/>
    <s v="Divya Rao"/>
    <x v="1"/>
    <x v="11"/>
    <s v="West"/>
    <s v="Furniture"/>
    <s v="Folding Chair"/>
    <n v="1"/>
    <n v="0.1"/>
    <n v="1672.92"/>
    <n v="200.75"/>
    <x v="0"/>
    <b v="0"/>
    <b v="0"/>
    <b v="0"/>
    <m/>
  </r>
  <r>
    <n v="467"/>
    <s v="ORD-2025-0467"/>
    <d v="2025-07-30T00:00:00"/>
    <x v="7"/>
    <d v="2025-08-02T00:00:00"/>
    <s v="Express"/>
    <s v="CUST-0135"/>
    <s v="Meera Shah"/>
    <x v="0"/>
    <x v="6"/>
    <s v="South"/>
    <s v="Home &amp; Kitchen"/>
    <s v="Coffee Mug"/>
    <n v="3"/>
    <n v="0"/>
    <n v="933.79"/>
    <n v="308.97000000000003"/>
    <x v="1"/>
    <b v="0"/>
    <b v="0"/>
    <b v="0"/>
    <m/>
  </r>
  <r>
    <n v="468"/>
    <s v="ORD-2025-0468"/>
    <d v="2025-12-28T00:00:00"/>
    <x v="4"/>
    <d v="2025-12-29T00:00:00"/>
    <s v="Express"/>
    <s v="CUST-0062"/>
    <s v="Ishita Roy"/>
    <x v="1"/>
    <x v="5"/>
    <s v="North"/>
    <s v="Home &amp; Kitchen"/>
    <s v="Coffee Mug"/>
    <n v="4"/>
    <n v="0.25"/>
    <n v="908.13"/>
    <n v="53.21"/>
    <x v="1"/>
    <b v="0"/>
    <b v="0"/>
    <b v="0"/>
    <m/>
  </r>
  <r>
    <n v="469"/>
    <s v="ORD-2025-0469"/>
    <d v="2025-06-21T00:00:00"/>
    <x v="8"/>
    <d v="2025-06-24T00:00:00"/>
    <s v="Standard"/>
    <s v="CUST-0064"/>
    <s v="Ananya Singh"/>
    <x v="0"/>
    <x v="7"/>
    <s v="South"/>
    <s v="Furniture"/>
    <s v="Folding Chair"/>
    <n v="2"/>
    <n v="0"/>
    <n v="3652.79"/>
    <n v="1130.45"/>
    <x v="0"/>
    <b v="0"/>
    <b v="0"/>
    <b v="0"/>
    <m/>
  </r>
  <r>
    <n v="470"/>
    <s v="ORD-2025-0470"/>
    <d v="2025-12-19T00:00:00"/>
    <x v="4"/>
    <d v="2025-12-23T00:00:00"/>
    <s v="Express"/>
    <s v="CUST-0133"/>
    <s v="Arjun Patel"/>
    <x v="2"/>
    <x v="4"/>
    <s v="North"/>
    <s v="Electronics"/>
    <s v="Keyboard"/>
    <n v="3"/>
    <n v="0"/>
    <n v="3794.43"/>
    <n v="1312.85"/>
    <x v="0"/>
    <b v="0"/>
    <b v="0"/>
    <b v="0"/>
    <m/>
  </r>
  <r>
    <n v="471"/>
    <s v="ORD-2025-0471"/>
    <d v="2025-07-04T00:00:00"/>
    <x v="7"/>
    <d v="2025-07-09T00:00:00"/>
    <s v="Same Day"/>
    <s v="CUST-0174"/>
    <s v="Sneha Reddy"/>
    <x v="0"/>
    <x v="3"/>
    <s v="South"/>
    <s v="Electronics"/>
    <s v="Bluetooth Speaker"/>
    <n v="1"/>
    <n v="0.2"/>
    <n v="1456.67"/>
    <n v="149.31"/>
    <x v="1"/>
    <b v="0"/>
    <b v="0"/>
    <b v="0"/>
    <m/>
  </r>
  <r>
    <n v="472"/>
    <s v="ORD-2025-0472"/>
    <d v="2025-03-05T00:00:00"/>
    <x v="11"/>
    <d v="2025-03-09T00:00:00"/>
    <s v="Standard"/>
    <s v="CUST-0069"/>
    <s v="Neha Gupta"/>
    <x v="1"/>
    <x v="3"/>
    <s v="South"/>
    <s v="Home &amp; Kitchen"/>
    <s v="Water Bottle"/>
    <n v="1"/>
    <n v="0"/>
    <n v="513.29999999999995"/>
    <n v="179.6"/>
    <x v="2"/>
    <b v="0"/>
    <b v="0"/>
    <b v="0"/>
    <m/>
  </r>
  <r>
    <n v="473"/>
    <s v="ORD-2025-0473"/>
    <d v="2025-02-24T00:00:00"/>
    <x v="3"/>
    <d v="2025-02-27T00:00:00"/>
    <s v="Express"/>
    <s v="CUST-0053"/>
    <s v="Ananya Singh"/>
    <x v="1"/>
    <x v="3"/>
    <s v="South"/>
    <s v="Electronics"/>
    <s v="Wireless Mouse"/>
    <n v="2"/>
    <n v="0"/>
    <n v="1677.3"/>
    <n v="534.88"/>
    <x v="3"/>
    <b v="0"/>
    <b v="0"/>
    <b v="0"/>
    <m/>
  </r>
  <r>
    <n v="474"/>
    <s v="ORD-2025-0474"/>
    <d v="2025-05-26T00:00:00"/>
    <x v="0"/>
    <d v="2025-05-31T00:00:00"/>
    <s v="Express"/>
    <s v="CUST-0181"/>
    <s v="Ishita Roy"/>
    <x v="0"/>
    <x v="7"/>
    <s v="South"/>
    <s v="Home &amp; Kitchen"/>
    <s v="Water Bottle"/>
    <n v="2"/>
    <n v="0.1"/>
    <n v="909.59"/>
    <n v="285.08"/>
    <x v="1"/>
    <b v="0"/>
    <b v="0"/>
    <b v="0"/>
    <m/>
  </r>
  <r>
    <n v="475"/>
    <s v="ORD-2025-0475"/>
    <d v="2025-10-08T00:00:00"/>
    <x v="9"/>
    <d v="2025-10-11T00:00:00"/>
    <s v="Standard"/>
    <s v="CUST-0215"/>
    <s v="Kavya Iyer"/>
    <x v="1"/>
    <x v="4"/>
    <s v="North"/>
    <s v="Furniture"/>
    <s v="Study Table"/>
    <n v="5"/>
    <n v="0"/>
    <n v="34668.75"/>
    <n v="7636.08"/>
    <x v="3"/>
    <b v="0"/>
    <b v="0"/>
    <b v="0"/>
    <m/>
  </r>
  <r>
    <n v="476"/>
    <s v="ORD-2025-0476"/>
    <d v="2025-10-16T00:00:00"/>
    <x v="9"/>
    <d v="2025-10-19T00:00:00"/>
    <s v="Same Day"/>
    <s v="CUST-0135"/>
    <s v="Pooja Das"/>
    <x v="0"/>
    <x v="5"/>
    <s v="North"/>
    <s v="Office Supplies"/>
    <s v="Pen Set"/>
    <n v="3"/>
    <n v="0.15"/>
    <n v="317.57"/>
    <n v="74.989999999999995"/>
    <x v="3"/>
    <b v="0"/>
    <b v="0"/>
    <b v="0"/>
    <m/>
  </r>
  <r>
    <n v="477"/>
    <s v="ORD-2025-0477"/>
    <d v="2025-06-10T00:00:00"/>
    <x v="8"/>
    <d v="2025-06-13T00:00:00"/>
    <s v="Standard"/>
    <s v="CUST-0030"/>
    <s v="Divya Rao"/>
    <x v="1"/>
    <x v="5"/>
    <s v="North"/>
    <s v="Electronics"/>
    <s v="Wireless Mouse"/>
    <n v="2"/>
    <n v="0.15"/>
    <n v="1351.25"/>
    <n v="204.56"/>
    <x v="3"/>
    <b v="0"/>
    <b v="0"/>
    <b v="0"/>
    <m/>
  </r>
  <r>
    <n v="478"/>
    <s v="ORD-2025-0478"/>
    <d v="2025-02-19T00:00:00"/>
    <x v="3"/>
    <d v="2025-02-21T00:00:00"/>
    <s v="Standard"/>
    <s v="CUST-0074"/>
    <s v="Nikhil Jain"/>
    <x v="0"/>
    <x v="11"/>
    <s v="West"/>
    <s v="Office Supplies"/>
    <s v="Notebook"/>
    <n v="1"/>
    <n v="0.2"/>
    <n v="147.15"/>
    <n v="14.45"/>
    <x v="1"/>
    <b v="0"/>
    <b v="0"/>
    <b v="0"/>
    <m/>
  </r>
  <r>
    <n v="479"/>
    <s v="ORD-2025-0479"/>
    <d v="2025-02-20T00:00:00"/>
    <x v="3"/>
    <d v="2025-02-22T00:00:00"/>
    <s v="Standard"/>
    <s v="CUST-0183"/>
    <s v="Rohan Mehta"/>
    <x v="0"/>
    <x v="2"/>
    <s v="West"/>
    <s v="Home &amp; Kitchen"/>
    <s v="Coffee Mug"/>
    <n v="4"/>
    <n v="0.1"/>
    <n v="1122.68"/>
    <n v="271.44"/>
    <x v="3"/>
    <b v="0"/>
    <b v="0"/>
    <b v="0"/>
    <m/>
  </r>
  <r>
    <n v="480"/>
    <s v="ORD-2025-0480"/>
    <d v="2025-04-30T00:00:00"/>
    <x v="10"/>
    <d v="2025-05-03T00:00:00"/>
    <s v="Standard"/>
    <s v="CUST-0067"/>
    <s v="Ishita Roy"/>
    <x v="2"/>
    <x v="5"/>
    <s v="North"/>
    <s v="Home &amp; Kitchen"/>
    <s v="Lunch Box"/>
    <n v="2"/>
    <n v="0.1"/>
    <n v="1279.1400000000001"/>
    <n v="332.58"/>
    <x v="1"/>
    <b v="0"/>
    <b v="0"/>
    <b v="0"/>
    <m/>
  </r>
  <r>
    <n v="481"/>
    <s v="ORD-2025-0481"/>
    <d v="2025-04-01T00:00:00"/>
    <x v="10"/>
    <d v="2025-04-05T00:00:00"/>
    <s v="Standard"/>
    <s v="CUST-0130"/>
    <s v="Arjun Patel"/>
    <x v="0"/>
    <x v="4"/>
    <s v="North"/>
    <s v="Furniture"/>
    <s v="Bookshelf"/>
    <n v="3"/>
    <n v="0.15"/>
    <n v="11861.73"/>
    <n v="844.91"/>
    <x v="0"/>
    <b v="0"/>
    <b v="0"/>
    <b v="0"/>
    <m/>
  </r>
  <r>
    <n v="482"/>
    <s v="ORD-2025-0482"/>
    <d v="2025-05-23T00:00:00"/>
    <x v="0"/>
    <d v="2025-05-27T00:00:00"/>
    <s v="Standard"/>
    <s v="CUST-0177"/>
    <s v="Manish Yadav"/>
    <x v="0"/>
    <x v="0"/>
    <s v="East"/>
    <s v="Office Supplies"/>
    <s v="File Folder"/>
    <n v="3"/>
    <n v="0"/>
    <n v="262.08"/>
    <n v="44.73"/>
    <x v="1"/>
    <b v="0"/>
    <b v="0"/>
    <b v="0"/>
    <m/>
  </r>
  <r>
    <n v="483"/>
    <s v="ORD-2025-0483"/>
    <d v="2025-11-30T00:00:00"/>
    <x v="2"/>
    <d v="2025-12-01T00:00:00"/>
    <s v="Express"/>
    <s v="CUST-0146"/>
    <s v="Rohan Mehta"/>
    <x v="1"/>
    <x v="10"/>
    <s v="North"/>
    <s v="Furniture"/>
    <s v="Bookshelf"/>
    <n v="1"/>
    <n v="0"/>
    <n v="4383.54"/>
    <n v="1420.31"/>
    <x v="1"/>
    <b v="0"/>
    <b v="0"/>
    <b v="0"/>
    <m/>
  </r>
  <r>
    <n v="484"/>
    <s v="ORD-2025-0484"/>
    <d v="2025-02-13T00:00:00"/>
    <x v="3"/>
    <d v="2025-02-17T00:00:00"/>
    <s v="Express"/>
    <s v="CUST-0250"/>
    <s v="Shreya Kapoor"/>
    <x v="0"/>
    <x v="5"/>
    <s v="North"/>
    <s v="Electronics"/>
    <s v="Bluetooth Speaker"/>
    <n v="1"/>
    <n v="0.1"/>
    <n v="1637.43"/>
    <n v="204.69"/>
    <x v="4"/>
    <b v="0"/>
    <b v="0"/>
    <b v="0"/>
    <m/>
  </r>
  <r>
    <n v="485"/>
    <s v="ORD-2025-0485"/>
    <d v="2025-12-13T00:00:00"/>
    <x v="4"/>
    <d v="2025-12-14T00:00:00"/>
    <s v="Standard"/>
    <s v="CUST-0174"/>
    <s v="Arjun Patel"/>
    <x v="2"/>
    <x v="4"/>
    <s v="North"/>
    <s v="Electronics"/>
    <s v="Power Bank"/>
    <n v="4"/>
    <n v="0"/>
    <n v="4737.01"/>
    <n v="837.93"/>
    <x v="3"/>
    <b v="0"/>
    <b v="0"/>
    <b v="0"/>
    <m/>
  </r>
  <r>
    <n v="486"/>
    <s v="ORD-2025-0486"/>
    <d v="2025-01-02T00:00:00"/>
    <x v="1"/>
    <d v="2025-01-07T00:00:00"/>
    <s v="Standard"/>
    <s v="CUST-0093"/>
    <s v="Shreya Kapoor"/>
    <x v="0"/>
    <x v="3"/>
    <s v="South"/>
    <s v="Office Supplies"/>
    <s v="Notebook"/>
    <n v="3"/>
    <n v="0"/>
    <n v="557.41999999999996"/>
    <n v="221.19"/>
    <x v="1"/>
    <b v="0"/>
    <b v="0"/>
    <b v="0"/>
    <m/>
  </r>
  <r>
    <n v="487"/>
    <s v="ORD-2025-0487"/>
    <d v="2025-11-19T00:00:00"/>
    <x v="2"/>
    <d v="2025-11-20T00:00:00"/>
    <s v="Standard"/>
    <s v="CUST-0048"/>
    <s v="Manish Yadav"/>
    <x v="1"/>
    <x v="4"/>
    <s v="North"/>
    <s v="Furniture"/>
    <s v="Study Table"/>
    <n v="3"/>
    <n v="0.1"/>
    <n v="18966.32"/>
    <n v="2336.94"/>
    <x v="2"/>
    <b v="0"/>
    <b v="0"/>
    <b v="0"/>
    <m/>
  </r>
  <r>
    <n v="488"/>
    <s v="ORD-2025-0488"/>
    <d v="2025-11-05T00:00:00"/>
    <x v="2"/>
    <d v="2025-11-09T00:00:00"/>
    <s v="Express"/>
    <s v="CUST-0200"/>
    <s v="Ishita Roy"/>
    <x v="1"/>
    <x v="4"/>
    <s v="North"/>
    <s v="Furniture"/>
    <s v="Folding Chair"/>
    <n v="3"/>
    <n v="0.2"/>
    <n v="4318.41"/>
    <n v="481.19"/>
    <x v="4"/>
    <b v="0"/>
    <b v="0"/>
    <b v="0"/>
    <m/>
  </r>
  <r>
    <n v="489"/>
    <s v="ORD-2025-0489"/>
    <d v="2025-09-11T00:00:00"/>
    <x v="5"/>
    <d v="2025-09-15T00:00:00"/>
    <s v="Standard"/>
    <s v="CUST-0077"/>
    <s v="Ishita Roy"/>
    <x v="1"/>
    <x v="5"/>
    <s v="North"/>
    <s v="Electronics"/>
    <s v="Power Bank"/>
    <n v="4"/>
    <n v="0"/>
    <n v="4618.0200000000004"/>
    <n v="953.88"/>
    <x v="1"/>
    <b v="0"/>
    <b v="0"/>
    <b v="0"/>
    <m/>
  </r>
  <r>
    <n v="490"/>
    <s v="ORD-2025-0490"/>
    <d v="2025-09-20T00:00:00"/>
    <x v="5"/>
    <d v="2025-09-24T00:00:00"/>
    <s v="Standard"/>
    <s v="CUST-0218"/>
    <s v="Ishita Roy"/>
    <x v="0"/>
    <x v="5"/>
    <s v="North"/>
    <s v="Electronics"/>
    <s v="Wireless Mouse"/>
    <n v="4"/>
    <n v="0"/>
    <n v="3225.91"/>
    <n v="1163.1400000000001"/>
    <x v="4"/>
    <b v="0"/>
    <b v="0"/>
    <b v="0"/>
    <m/>
  </r>
  <r>
    <n v="491"/>
    <s v="ORD-2025-0491"/>
    <d v="2025-07-05T00:00:00"/>
    <x v="7"/>
    <d v="2025-07-10T00:00:00"/>
    <s v="Standard"/>
    <s v="CUST-0077"/>
    <s v="Ishita Roy"/>
    <x v="0"/>
    <x v="4"/>
    <s v="North"/>
    <s v="Furniture"/>
    <s v="Office Chair"/>
    <n v="1"/>
    <n v="0.1"/>
    <n v="4896.7299999999996"/>
    <n v="554.5"/>
    <x v="4"/>
    <b v="0"/>
    <b v="0"/>
    <b v="0"/>
    <m/>
  </r>
  <r>
    <n v="492"/>
    <s v="ORD-2025-0492"/>
    <d v="2025-01-17T00:00:00"/>
    <x v="1"/>
    <d v="2025-01-20T00:00:00"/>
    <s v="Standard"/>
    <s v="CUST-0084"/>
    <s v="Sneha Reddy"/>
    <x v="2"/>
    <x v="4"/>
    <s v="North"/>
    <s v="Home &amp; Kitchen"/>
    <s v="Coffee Mug"/>
    <n v="1"/>
    <n v="0.1"/>
    <n v="262.06"/>
    <n v="29.2"/>
    <x v="2"/>
    <b v="0"/>
    <b v="0"/>
    <b v="0"/>
    <m/>
  </r>
  <r>
    <n v="493"/>
    <s v="ORD-2025-0493"/>
    <d v="2025-01-16T00:00:00"/>
    <x v="1"/>
    <d v="2025-01-20T00:00:00"/>
    <s v="Standard"/>
    <s v="CUST-0240"/>
    <s v="Nikhil Jain"/>
    <x v="0"/>
    <x v="9"/>
    <s v="South"/>
    <s v="Electronics"/>
    <s v="Keyboard"/>
    <n v="1"/>
    <n v="0.05"/>
    <n v="1209.18"/>
    <n v="229.12"/>
    <x v="3"/>
    <b v="0"/>
    <b v="0"/>
    <b v="0"/>
    <m/>
  </r>
  <r>
    <n v="494"/>
    <s v="ORD-2025-0494"/>
    <d v="2025-09-16T00:00:00"/>
    <x v="5"/>
    <d v="2025-09-20T00:00:00"/>
    <s v="Standard"/>
    <s v="CUST-0198"/>
    <s v="Kiran Joshi"/>
    <x v="1"/>
    <x v="3"/>
    <s v="South"/>
    <s v="Electronics"/>
    <s v="Wireless Mouse"/>
    <n v="1"/>
    <n v="0.15"/>
    <n v="697.89"/>
    <n v="148.38"/>
    <x v="1"/>
    <b v="0"/>
    <b v="0"/>
    <b v="0"/>
    <m/>
  </r>
  <r>
    <n v="495"/>
    <s v="ORD-2025-0495"/>
    <d v="2025-01-31T00:00:00"/>
    <x v="1"/>
    <d v="2025-02-03T00:00:00"/>
    <s v="Standard"/>
    <s v="CUST-0232"/>
    <s v="Sneha Reddy"/>
    <x v="0"/>
    <x v="11"/>
    <s v="West"/>
    <s v="Home &amp; Kitchen"/>
    <s v="Coffee Mug"/>
    <n v="1"/>
    <n v="0.2"/>
    <n v="248.91"/>
    <n v="55.96"/>
    <x v="1"/>
    <b v="0"/>
    <b v="0"/>
    <b v="0"/>
    <m/>
  </r>
  <r>
    <n v="496"/>
    <s v="ORD-2025-0496"/>
    <d v="2025-02-06T00:00:00"/>
    <x v="3"/>
    <d v="2025-02-08T00:00:00"/>
    <s v="Standard"/>
    <s v="CUST-0182"/>
    <s v="Neha Gupta"/>
    <x v="0"/>
    <x v="4"/>
    <s v="North"/>
    <s v="Home &amp; Kitchen"/>
    <s v="Lunch Box"/>
    <n v="1"/>
    <n v="0"/>
    <n v="698.55"/>
    <n v="201.76"/>
    <x v="1"/>
    <b v="0"/>
    <b v="0"/>
    <b v="0"/>
    <m/>
  </r>
  <r>
    <n v="497"/>
    <s v="ORD-2025-0497"/>
    <d v="2025-04-10T00:00:00"/>
    <x v="10"/>
    <d v="2025-04-13T00:00:00"/>
    <s v="Standard"/>
    <s v="CUST-0207"/>
    <s v="Ishita Roy"/>
    <x v="0"/>
    <x v="0"/>
    <s v="East"/>
    <s v="Electronics"/>
    <s v="Bluetooth Speaker"/>
    <n v="3"/>
    <n v="0.15"/>
    <n v="4673.58"/>
    <n v="817.08"/>
    <x v="1"/>
    <b v="0"/>
    <b v="0"/>
    <b v="0"/>
    <m/>
  </r>
  <r>
    <n v="498"/>
    <s v="ORD-2025-0498"/>
    <d v="2025-02-28T00:00:00"/>
    <x v="3"/>
    <d v="2025-03-02T00:00:00"/>
    <s v="Same Day"/>
    <s v="CUST-0136"/>
    <s v="Aditya Kumar"/>
    <x v="1"/>
    <x v="7"/>
    <s v="South"/>
    <s v="Furniture"/>
    <s v="Desk Lamp"/>
    <n v="3"/>
    <n v="0"/>
    <n v="3909.8"/>
    <n v="1126.31"/>
    <x v="1"/>
    <b v="0"/>
    <b v="0"/>
    <b v="0"/>
    <m/>
  </r>
  <r>
    <n v="499"/>
    <s v="ORD-2025-0499"/>
    <d v="2025-12-30T00:00:00"/>
    <x v="4"/>
    <d v="2026-01-03T00:00:00"/>
    <s v="Standard"/>
    <s v="CUST-0075"/>
    <s v="Vikram Rao"/>
    <x v="0"/>
    <x v="6"/>
    <s v="South"/>
    <s v="Office Supplies"/>
    <s v="Pen Set"/>
    <n v="5"/>
    <n v="0"/>
    <n v="580.4"/>
    <n v="121.43"/>
    <x v="2"/>
    <b v="0"/>
    <b v="0"/>
    <b v="0"/>
    <m/>
  </r>
  <r>
    <n v="500"/>
    <s v="ORD-2025-0500"/>
    <d v="2025-05-31T00:00:00"/>
    <x v="0"/>
    <d v="2025-06-05T00:00:00"/>
    <s v="Standard"/>
    <s v="CUST-0121"/>
    <s v="Manish Yadav"/>
    <x v="1"/>
    <x v="1"/>
    <s v="East"/>
    <s v="Home &amp; Kitchen"/>
    <s v="Electric Kettle"/>
    <n v="4"/>
    <n v="0"/>
    <n v="7475.74"/>
    <n v="2925.46"/>
    <x v="2"/>
    <b v="0"/>
    <b v="0"/>
    <b v="0"/>
    <m/>
  </r>
  <r>
    <n v="501"/>
    <s v="ORD-2025-0501"/>
    <d v="2025-08-14T00:00:00"/>
    <x v="6"/>
    <d v="2025-08-17T00:00:00"/>
    <s v="Standard"/>
    <s v="CUST-0143"/>
    <s v="Nikhil Jain"/>
    <x v="0"/>
    <x v="9"/>
    <s v="South"/>
    <s v="Office Supplies"/>
    <s v="Desk Organizer"/>
    <n v="1"/>
    <n v="0.2"/>
    <n v="373.77"/>
    <n v="43.32"/>
    <x v="1"/>
    <b v="0"/>
    <b v="0"/>
    <b v="0"/>
    <m/>
  </r>
  <r>
    <n v="502"/>
    <s v="ORD-2025-0502"/>
    <d v="2025-12-04T00:00:00"/>
    <x v="4"/>
    <d v="2025-12-09T00:00:00"/>
    <s v="Same Day"/>
    <s v="CUST-0207"/>
    <s v="Aditya Kumar"/>
    <x v="1"/>
    <x v="11"/>
    <s v="West"/>
    <s v="Office Supplies"/>
    <s v="Notebook"/>
    <n v="1"/>
    <n v="0"/>
    <n v="172.82"/>
    <n v="54.06"/>
    <x v="1"/>
    <b v="0"/>
    <b v="0"/>
    <b v="0"/>
    <m/>
  </r>
  <r>
    <n v="503"/>
    <s v="ORD-2025-0503"/>
    <d v="2025-07-18T00:00:00"/>
    <x v="7"/>
    <d v="2025-07-23T00:00:00"/>
    <s v="Standard"/>
    <s v="CUST-0093"/>
    <s v="Neha Gupta"/>
    <x v="0"/>
    <x v="4"/>
    <s v="North"/>
    <s v="Home &amp; Kitchen"/>
    <s v="Storage Box"/>
    <n v="5"/>
    <n v="0.1"/>
    <n v="4215.43"/>
    <n v="843.95"/>
    <x v="1"/>
    <b v="0"/>
    <b v="0"/>
    <b v="0"/>
    <m/>
  </r>
  <r>
    <n v="504"/>
    <s v="ORD-2025-0504"/>
    <d v="2025-04-10T00:00:00"/>
    <x v="10"/>
    <d v="2025-04-15T00:00:00"/>
    <s v="Standard"/>
    <s v="CUST-0063"/>
    <s v="Sanjay Menon"/>
    <x v="0"/>
    <x v="11"/>
    <s v="West"/>
    <s v="Office Supplies"/>
    <s v="Pen Set"/>
    <n v="1"/>
    <n v="0.1"/>
    <n v="103.73"/>
    <n v="22.9"/>
    <x v="2"/>
    <b v="0"/>
    <b v="0"/>
    <b v="0"/>
    <m/>
  </r>
  <r>
    <n v="505"/>
    <s v="ORD-2025-0505"/>
    <d v="2025-02-22T00:00:00"/>
    <x v="3"/>
    <d v="2025-02-24T00:00:00"/>
    <s v="Standard"/>
    <s v="CUST-0153"/>
    <s v="Vikram Rao"/>
    <x v="0"/>
    <x v="2"/>
    <s v="West"/>
    <s v="Office Supplies"/>
    <s v="File Folder"/>
    <n v="2"/>
    <n v="0"/>
    <n v="188.21"/>
    <n v="74.08"/>
    <x v="1"/>
    <b v="0"/>
    <b v="0"/>
    <b v="0"/>
    <m/>
  </r>
  <r>
    <n v="506"/>
    <s v="ORD-2025-0506"/>
    <d v="2025-12-26T00:00:00"/>
    <x v="4"/>
    <d v="2025-12-29T00:00:00"/>
    <s v="Standard"/>
    <s v="CUST-0034"/>
    <s v="Neha Gupta"/>
    <x v="1"/>
    <x v="5"/>
    <s v="North"/>
    <s v="Office Supplies"/>
    <s v="Pen Set"/>
    <n v="4"/>
    <n v="0.1"/>
    <n v="427.28"/>
    <n v="65.760000000000005"/>
    <x v="3"/>
    <b v="0"/>
    <b v="0"/>
    <b v="0"/>
    <m/>
  </r>
  <r>
    <n v="507"/>
    <s v="ORD-2025-0507"/>
    <d v="2025-10-08T00:00:00"/>
    <x v="9"/>
    <d v="2025-10-11T00:00:00"/>
    <s v="Standard"/>
    <s v="CUST-0074"/>
    <s v="Sneha Reddy"/>
    <x v="0"/>
    <x v="5"/>
    <s v="North"/>
    <s v="Office Supplies"/>
    <s v="Notebook"/>
    <n v="1"/>
    <n v="0"/>
    <n v="187.05"/>
    <n v="65.11"/>
    <x v="2"/>
    <b v="0"/>
    <b v="0"/>
    <b v="0"/>
    <m/>
  </r>
  <r>
    <n v="508"/>
    <s v="ORD-2025-0508"/>
    <d v="2025-12-23T00:00:00"/>
    <x v="4"/>
    <d v="2025-12-24T00:00:00"/>
    <s v="Standard"/>
    <s v="CUST-0006"/>
    <s v="Aditya Kumar"/>
    <x v="0"/>
    <x v="5"/>
    <s v="North"/>
    <s v="Furniture"/>
    <s v="Office Chair"/>
    <n v="2"/>
    <n v="0.1"/>
    <n v="9860.6299999999992"/>
    <n v="1055.57"/>
    <x v="0"/>
    <b v="0"/>
    <b v="0"/>
    <b v="0"/>
    <m/>
  </r>
  <r>
    <n v="509"/>
    <s v="ORD-2025-0509"/>
    <d v="2025-07-21T00:00:00"/>
    <x v="7"/>
    <d v="2025-07-23T00:00:00"/>
    <s v="Express"/>
    <s v="CUST-0097"/>
    <s v="Sanjay Menon"/>
    <x v="2"/>
    <x v="4"/>
    <s v="North"/>
    <s v="Home &amp; Kitchen"/>
    <s v="Coffee Mug"/>
    <n v="3"/>
    <n v="0.1"/>
    <n v="844.57"/>
    <n v="149.38"/>
    <x v="3"/>
    <b v="0"/>
    <b v="0"/>
    <b v="0"/>
    <m/>
  </r>
  <r>
    <n v="510"/>
    <s v="ORD-2025-0510"/>
    <d v="2025-02-09T00:00:00"/>
    <x v="3"/>
    <d v="2025-02-14T00:00:00"/>
    <s v="Standard"/>
    <s v="CUST-0137"/>
    <s v="Rahul Verma"/>
    <x v="2"/>
    <x v="9"/>
    <s v="South"/>
    <s v="Home &amp; Kitchen"/>
    <s v="Lunch Box"/>
    <n v="3"/>
    <n v="0"/>
    <n v="2013.64"/>
    <n v="488.93"/>
    <x v="2"/>
    <b v="0"/>
    <b v="0"/>
    <b v="0"/>
    <m/>
  </r>
  <r>
    <n v="511"/>
    <s v="ORD-2025-0511"/>
    <d v="2025-06-01T00:00:00"/>
    <x v="8"/>
    <d v="2025-06-03T00:00:00"/>
    <s v="Standard"/>
    <s v="CUST-0235"/>
    <s v="Rahul Verma"/>
    <x v="1"/>
    <x v="4"/>
    <s v="North"/>
    <s v="Home &amp; Kitchen"/>
    <s v="Coffee Mug"/>
    <n v="1"/>
    <n v="0.15"/>
    <n v="249.36"/>
    <n v="17.16"/>
    <x v="1"/>
    <b v="0"/>
    <b v="0"/>
    <b v="0"/>
    <m/>
  </r>
  <r>
    <n v="512"/>
    <s v="ORD-2025-0512"/>
    <d v="2025-08-24T00:00:00"/>
    <x v="6"/>
    <d v="2025-08-25T00:00:00"/>
    <s v="Express"/>
    <s v="CUST-0221"/>
    <s v="Rohan Mehta"/>
    <x v="0"/>
    <x v="1"/>
    <s v="East"/>
    <s v="Office Supplies"/>
    <s v="Desk Organizer"/>
    <n v="2"/>
    <n v="0.1"/>
    <n v="841.48"/>
    <n v="196.39"/>
    <x v="1"/>
    <b v="0"/>
    <b v="0"/>
    <b v="0"/>
    <m/>
  </r>
  <r>
    <n v="513"/>
    <s v="ORD-2025-0513"/>
    <d v="2025-04-25T00:00:00"/>
    <x v="10"/>
    <d v="2025-04-26T00:00:00"/>
    <s v="Standard"/>
    <s v="CUST-0136"/>
    <s v="Neha Gupta"/>
    <x v="1"/>
    <x v="8"/>
    <s v="West"/>
    <s v="Furniture"/>
    <s v="Study Table"/>
    <n v="1"/>
    <n v="0.15"/>
    <n v="5865.86"/>
    <n v="1419.08"/>
    <x v="1"/>
    <b v="0"/>
    <b v="0"/>
    <b v="0"/>
    <m/>
  </r>
  <r>
    <n v="514"/>
    <s v="ORD-2025-0514"/>
    <d v="2025-04-28T00:00:00"/>
    <x v="10"/>
    <d v="2025-05-02T00:00:00"/>
    <s v="Express"/>
    <s v="CUST-0104"/>
    <s v="Aarav Sharma"/>
    <x v="0"/>
    <x v="4"/>
    <s v="North"/>
    <s v="Furniture"/>
    <s v="Study Table"/>
    <n v="1"/>
    <n v="0.25"/>
    <n v="5253.82"/>
    <n v="574.11"/>
    <x v="3"/>
    <b v="0"/>
    <b v="0"/>
    <b v="0"/>
    <m/>
  </r>
  <r>
    <n v="515"/>
    <s v="ORD-2025-0515"/>
    <d v="2025-07-15T00:00:00"/>
    <x v="7"/>
    <d v="2025-07-19T00:00:00"/>
    <s v="Same Day"/>
    <s v="CUST-0225"/>
    <s v="Vikram Rao"/>
    <x v="0"/>
    <x v="7"/>
    <s v="South"/>
    <s v="Electronics"/>
    <s v="Bluetooth Speaker"/>
    <n v="3"/>
    <n v="0.2"/>
    <n v="4363.03"/>
    <n v="519.07000000000005"/>
    <x v="1"/>
    <b v="0"/>
    <b v="0"/>
    <b v="0"/>
    <m/>
  </r>
  <r>
    <n v="516"/>
    <s v="ORD-2025-0516"/>
    <d v="2025-11-29T00:00:00"/>
    <x v="2"/>
    <d v="2025-12-03T00:00:00"/>
    <s v="Standard"/>
    <s v="CUST-0159"/>
    <s v="Ishita Roy"/>
    <x v="1"/>
    <x v="5"/>
    <s v="North"/>
    <s v="Furniture"/>
    <s v="Study Table"/>
    <n v="2"/>
    <n v="0.1"/>
    <n v="13037.22"/>
    <n v="1821.97"/>
    <x v="1"/>
    <b v="0"/>
    <b v="0"/>
    <b v="0"/>
    <m/>
  </r>
  <r>
    <n v="517"/>
    <s v="ORD-2025-0517"/>
    <d v="2025-01-23T00:00:00"/>
    <x v="1"/>
    <d v="2025-01-26T00:00:00"/>
    <s v="Standard"/>
    <s v="CUST-0229"/>
    <s v="Divya Rao"/>
    <x v="0"/>
    <x v="7"/>
    <s v="South"/>
    <s v="Electronics"/>
    <s v="Wireless Mouse"/>
    <n v="4"/>
    <n v="0.1"/>
    <n v="2883.81"/>
    <n v="443.28"/>
    <x v="1"/>
    <b v="0"/>
    <b v="0"/>
    <b v="0"/>
    <m/>
  </r>
  <r>
    <n v="518"/>
    <s v="ORD-2025-0518"/>
    <d v="2025-11-23T00:00:00"/>
    <x v="2"/>
    <d v="2025-11-26T00:00:00"/>
    <s v="Express"/>
    <s v="CUST-0086"/>
    <s v="Kavya Iyer"/>
    <x v="0"/>
    <x v="4"/>
    <s v="North"/>
    <s v="Electronics"/>
    <s v="Bluetooth Speaker"/>
    <n v="2"/>
    <n v="0.2"/>
    <n v="3187.84"/>
    <n v="630.94000000000005"/>
    <x v="2"/>
    <b v="0"/>
    <b v="0"/>
    <b v="0"/>
    <m/>
  </r>
  <r>
    <n v="519"/>
    <s v="ORD-2025-0519"/>
    <d v="2025-08-28T00:00:00"/>
    <x v="6"/>
    <d v="2025-09-01T00:00:00"/>
    <s v="Express"/>
    <s v="CUST-0221"/>
    <s v="Ishita Roy"/>
    <x v="2"/>
    <x v="1"/>
    <s v="East"/>
    <s v="Furniture"/>
    <s v="Study Table"/>
    <n v="1"/>
    <n v="0.1"/>
    <n v="6523.95"/>
    <n v="1226.81"/>
    <x v="1"/>
    <b v="0"/>
    <b v="0"/>
    <b v="0"/>
    <m/>
  </r>
  <r>
    <n v="520"/>
    <s v="ORD-2025-0520"/>
    <d v="2025-11-28T00:00:00"/>
    <x v="2"/>
    <d v="2025-11-29T00:00:00"/>
    <s v="Express"/>
    <s v="CUST-0096"/>
    <s v="Vikram Rao"/>
    <x v="1"/>
    <x v="4"/>
    <s v="North"/>
    <s v="Home &amp; Kitchen"/>
    <s v="Electric Kettle"/>
    <n v="3"/>
    <n v="0"/>
    <n v="5194.9399999999996"/>
    <n v="1513.1"/>
    <x v="3"/>
    <b v="0"/>
    <b v="0"/>
    <b v="0"/>
    <m/>
  </r>
  <r>
    <n v="521"/>
    <s v="ORD-2025-0521"/>
    <d v="2025-07-01T00:00:00"/>
    <x v="7"/>
    <d v="2025-07-02T00:00:00"/>
    <s v="Express"/>
    <s v="CUST-0096"/>
    <s v="Shreya Kapoor"/>
    <x v="1"/>
    <x v="7"/>
    <s v="South"/>
    <s v="Home &amp; Kitchen"/>
    <s v="Lunch Box"/>
    <n v="1"/>
    <n v="0.05"/>
    <n v="641.27"/>
    <n v="75.42"/>
    <x v="0"/>
    <b v="0"/>
    <b v="0"/>
    <b v="0"/>
    <m/>
  </r>
  <r>
    <n v="522"/>
    <s v="ORD-2025-0522"/>
    <d v="2025-05-13T00:00:00"/>
    <x v="0"/>
    <d v="2025-05-14T00:00:00"/>
    <s v="Express"/>
    <s v="CUST-0022"/>
    <s v="Kavya Iyer"/>
    <x v="1"/>
    <x v="8"/>
    <s v="West"/>
    <s v="Home &amp; Kitchen"/>
    <s v="Storage Box"/>
    <n v="3"/>
    <n v="0.1"/>
    <n v="2537.6"/>
    <n v="393.93"/>
    <x v="1"/>
    <b v="0"/>
    <b v="0"/>
    <b v="0"/>
    <m/>
  </r>
  <r>
    <n v="523"/>
    <s v="ORD-2025-0523"/>
    <d v="2025-10-14T00:00:00"/>
    <x v="9"/>
    <d v="2025-10-18T00:00:00"/>
    <s v="Express"/>
    <s v="CUST-0113"/>
    <s v="Meera Shah"/>
    <x v="1"/>
    <x v="3"/>
    <s v="South"/>
    <s v="Furniture"/>
    <s v="Study Table"/>
    <n v="5"/>
    <n v="0.1"/>
    <n v="31658.29"/>
    <n v="4074.56"/>
    <x v="1"/>
    <b v="0"/>
    <b v="0"/>
    <b v="0"/>
    <m/>
  </r>
  <r>
    <n v="524"/>
    <s v="ORD-2025-0524"/>
    <d v="2025-05-08T00:00:00"/>
    <x v="0"/>
    <d v="2025-05-12T00:00:00"/>
    <s v="Standard"/>
    <s v="CUST-0146"/>
    <s v="Kiran Joshi"/>
    <x v="0"/>
    <x v="11"/>
    <s v="West"/>
    <s v="Furniture"/>
    <s v="Bookshelf"/>
    <n v="3"/>
    <n v="0.25"/>
    <n v="10744.27"/>
    <n v="-426.33"/>
    <x v="1"/>
    <b v="0"/>
    <b v="0"/>
    <b v="0"/>
    <m/>
  </r>
  <r>
    <n v="525"/>
    <s v="ORD-2025-0525"/>
    <d v="2025-11-22T00:00:00"/>
    <x v="2"/>
    <d v="2025-11-25T00:00:00"/>
    <s v="Express"/>
    <s v="CUST-0145"/>
    <s v="Kavya Iyer"/>
    <x v="0"/>
    <x v="2"/>
    <s v="West"/>
    <s v="Home &amp; Kitchen"/>
    <s v="Storage Box"/>
    <n v="1"/>
    <n v="0.1"/>
    <n v="812.91"/>
    <n v="138.66999999999999"/>
    <x v="2"/>
    <b v="0"/>
    <b v="0"/>
    <b v="0"/>
    <m/>
  </r>
  <r>
    <n v="526"/>
    <s v="ORD-2025-0526"/>
    <d v="2025-10-30T00:00:00"/>
    <x v="9"/>
    <d v="2025-11-01T00:00:00"/>
    <s v="Standard"/>
    <s v="CUST-0113"/>
    <s v="Pooja Das"/>
    <x v="0"/>
    <x v="3"/>
    <s v="South"/>
    <s v="Furniture"/>
    <s v="Bookshelf"/>
    <n v="2"/>
    <n v="0.1"/>
    <n v="8271.91"/>
    <n v="1029.9000000000001"/>
    <x v="2"/>
    <b v="0"/>
    <b v="0"/>
    <b v="0"/>
    <m/>
  </r>
  <r>
    <n v="527"/>
    <s v="ORD-2025-0527"/>
    <d v="2025-11-07T00:00:00"/>
    <x v="2"/>
    <d v="2025-11-08T00:00:00"/>
    <s v="Same Day"/>
    <s v="CUST-0071"/>
    <s v="Aarav Sharma"/>
    <x v="2"/>
    <x v="7"/>
    <s v="South"/>
    <s v="Electronics"/>
    <s v="Wireless Mouse"/>
    <n v="2"/>
    <n v="0.2"/>
    <n v="1233.05"/>
    <n v="74.72"/>
    <x v="4"/>
    <b v="0"/>
    <b v="0"/>
    <b v="0"/>
    <m/>
  </r>
  <r>
    <n v="528"/>
    <s v="ORD-2025-0528"/>
    <d v="2025-01-23T00:00:00"/>
    <x v="1"/>
    <d v="2025-01-26T00:00:00"/>
    <s v="Express"/>
    <s v="CUST-0140"/>
    <s v="Priya Nair"/>
    <x v="1"/>
    <x v="7"/>
    <s v="South"/>
    <s v="Electronics"/>
    <s v="Bluetooth Speaker"/>
    <n v="3"/>
    <n v="0.2"/>
    <n v="4641.08"/>
    <n v="1049.31"/>
    <x v="3"/>
    <b v="0"/>
    <b v="0"/>
    <b v="0"/>
    <m/>
  </r>
  <r>
    <n v="529"/>
    <s v="ORD-2025-0529"/>
    <d v="2025-02-03T00:00:00"/>
    <x v="3"/>
    <d v="2025-02-07T00:00:00"/>
    <s v="Standard"/>
    <s v="CUST-0077"/>
    <s v="Arjun Patel"/>
    <x v="2"/>
    <x v="3"/>
    <s v="South"/>
    <s v="Electronics"/>
    <s v="Power Bank"/>
    <n v="1"/>
    <n v="0.1"/>
    <n v="1048"/>
    <n v="114.57"/>
    <x v="1"/>
    <b v="0"/>
    <b v="0"/>
    <b v="0"/>
    <m/>
  </r>
  <r>
    <n v="530"/>
    <s v="ORD-2025-0530"/>
    <d v="2025-03-02T00:00:00"/>
    <x v="11"/>
    <d v="2025-03-04T00:00:00"/>
    <s v="Express"/>
    <s v="CUST-0157"/>
    <s v="Aditya Kumar"/>
    <x v="0"/>
    <x v="8"/>
    <s v="West"/>
    <s v="Home &amp; Kitchen"/>
    <s v="Electric Kettle"/>
    <n v="2"/>
    <n v="0.2"/>
    <n v="2756.19"/>
    <n v="345.27"/>
    <x v="2"/>
    <b v="0"/>
    <b v="0"/>
    <b v="0"/>
    <m/>
  </r>
  <r>
    <n v="531"/>
    <s v="ORD-2025-0531"/>
    <d v="2025-06-02T00:00:00"/>
    <x v="8"/>
    <d v="2025-06-03T00:00:00"/>
    <s v="Standard"/>
    <s v="CUST-0092"/>
    <s v="Aditya Kumar"/>
    <x v="0"/>
    <x v="4"/>
    <s v="North"/>
    <s v="Electronics"/>
    <s v="Wireless Mouse"/>
    <n v="5"/>
    <n v="0.05"/>
    <n v="3817.69"/>
    <n v="939.07"/>
    <x v="3"/>
    <b v="0"/>
    <b v="0"/>
    <b v="0"/>
    <m/>
  </r>
  <r>
    <n v="532"/>
    <s v="ORD-2025-0532"/>
    <d v="2025-04-03T00:00:00"/>
    <x v="10"/>
    <d v="2025-04-07T00:00:00"/>
    <s v="Standard"/>
    <s v="CUST-0153"/>
    <s v="Priya Nair"/>
    <x v="1"/>
    <x v="6"/>
    <s v="South"/>
    <s v="Furniture"/>
    <s v="Desk Lamp"/>
    <n v="3"/>
    <n v="0.15"/>
    <n v="3463.22"/>
    <n v="859.91"/>
    <x v="1"/>
    <b v="0"/>
    <b v="0"/>
    <b v="0"/>
    <m/>
  </r>
  <r>
    <n v="533"/>
    <s v="ORD-2025-0533"/>
    <d v="2025-03-30T00:00:00"/>
    <x v="11"/>
    <d v="2025-04-01T00:00:00"/>
    <s v="Standard"/>
    <s v="CUST-0228"/>
    <s v="Nikhil Jain"/>
    <x v="0"/>
    <x v="8"/>
    <s v="West"/>
    <s v="Office Supplies"/>
    <s v="File Folder"/>
    <n v="2"/>
    <n v="0.05"/>
    <n v="172.06"/>
    <n v="60.25"/>
    <x v="2"/>
    <b v="0"/>
    <b v="0"/>
    <b v="0"/>
    <m/>
  </r>
  <r>
    <n v="534"/>
    <s v="ORD-2025-0534"/>
    <d v="2025-10-02T00:00:00"/>
    <x v="9"/>
    <d v="2025-10-03T00:00:00"/>
    <s v="Standard"/>
    <s v="CUST-0150"/>
    <s v="Meera Shah"/>
    <x v="0"/>
    <x v="1"/>
    <s v="East"/>
    <s v="Home &amp; Kitchen"/>
    <s v="Storage Box"/>
    <n v="4"/>
    <n v="0.1"/>
    <n v="3369.93"/>
    <n v="511.98"/>
    <x v="2"/>
    <b v="0"/>
    <b v="0"/>
    <b v="0"/>
    <m/>
  </r>
  <r>
    <n v="535"/>
    <s v="ORD-2025-0535"/>
    <d v="2025-11-19T00:00:00"/>
    <x v="2"/>
    <d v="2025-11-22T00:00:00"/>
    <s v="Standard"/>
    <s v="CUST-0206"/>
    <s v="Pooja Das"/>
    <x v="0"/>
    <x v="0"/>
    <s v="East"/>
    <s v="Electronics"/>
    <s v="Power Bank"/>
    <n v="2"/>
    <n v="0"/>
    <n v="2482.9899999999998"/>
    <n v="637.01"/>
    <x v="0"/>
    <b v="0"/>
    <b v="0"/>
    <b v="0"/>
    <m/>
  </r>
  <r>
    <n v="536"/>
    <s v="ORD-2025-0536"/>
    <d v="2025-07-22T00:00:00"/>
    <x v="7"/>
    <d v="2025-07-23T00:00:00"/>
    <s v="Standard"/>
    <s v="CUST-0198"/>
    <s v="Sneha Reddy"/>
    <x v="2"/>
    <x v="8"/>
    <s v="West"/>
    <s v="Furniture"/>
    <s v="Office Chair"/>
    <n v="2"/>
    <n v="0.05"/>
    <n v="10472.43"/>
    <n v="3396.87"/>
    <x v="1"/>
    <b v="0"/>
    <b v="0"/>
    <b v="0"/>
    <m/>
  </r>
  <r>
    <n v="537"/>
    <s v="ORD-2025-0537"/>
    <d v="2025-01-22T00:00:00"/>
    <x v="1"/>
    <d v="2025-01-23T00:00:00"/>
    <s v="Standard"/>
    <s v="CUST-0051"/>
    <s v="Divya Rao"/>
    <x v="0"/>
    <x v="4"/>
    <s v="North"/>
    <s v="Home &amp; Kitchen"/>
    <s v="Coffee Mug"/>
    <n v="1"/>
    <n v="0"/>
    <n v="290.02"/>
    <n v="82.44"/>
    <x v="2"/>
    <b v="0"/>
    <b v="0"/>
    <b v="0"/>
    <m/>
  </r>
  <r>
    <n v="538"/>
    <s v="ORD-2025-0538"/>
    <d v="2025-09-24T00:00:00"/>
    <x v="5"/>
    <d v="2025-09-28T00:00:00"/>
    <s v="Standard"/>
    <s v="CUST-0052"/>
    <s v="Aarav Sharma"/>
    <x v="2"/>
    <x v="1"/>
    <s v="East"/>
    <s v="Home &amp; Kitchen"/>
    <s v="Water Bottle"/>
    <n v="5"/>
    <n v="0.05"/>
    <n v="2383.4899999999998"/>
    <n v="487.53"/>
    <x v="0"/>
    <b v="0"/>
    <b v="0"/>
    <b v="0"/>
    <m/>
  </r>
  <r>
    <n v="539"/>
    <s v="ORD-2025-0539"/>
    <d v="2025-08-18T00:00:00"/>
    <x v="6"/>
    <d v="2025-08-21T00:00:00"/>
    <s v="Standard"/>
    <s v="CUST-0203"/>
    <s v="Sanjay Menon"/>
    <x v="0"/>
    <x v="2"/>
    <s v="West"/>
    <s v="Electronics"/>
    <s v="Wireless Mouse"/>
    <n v="1"/>
    <n v="0.1"/>
    <n v="726.43"/>
    <n v="119.6"/>
    <x v="2"/>
    <b v="0"/>
    <b v="0"/>
    <b v="0"/>
    <m/>
  </r>
  <r>
    <n v="540"/>
    <s v="ORD-2025-0540"/>
    <d v="2025-03-23T00:00:00"/>
    <x v="11"/>
    <d v="2025-03-27T00:00:00"/>
    <s v="Standard"/>
    <s v="CUST-0043"/>
    <s v="Vikram Rao"/>
    <x v="0"/>
    <x v="3"/>
    <s v="South"/>
    <s v="Electronics"/>
    <s v="Wireless Mouse"/>
    <n v="2"/>
    <n v="0"/>
    <n v="1583.42"/>
    <n v="455.58"/>
    <x v="1"/>
    <b v="0"/>
    <b v="0"/>
    <b v="0"/>
    <m/>
  </r>
  <r>
    <n v="541"/>
    <s v="ORD-2025-0541"/>
    <d v="2025-05-28T00:00:00"/>
    <x v="0"/>
    <d v="2025-06-02T00:00:00"/>
    <s v="Standard"/>
    <s v="CUST-0022"/>
    <s v="Shreya Kapoor"/>
    <x v="0"/>
    <x v="10"/>
    <s v="North"/>
    <s v="Electronics"/>
    <s v="Keyboard"/>
    <n v="2"/>
    <n v="0.05"/>
    <n v="2565.2199999999998"/>
    <n v="561.23"/>
    <x v="1"/>
    <b v="0"/>
    <b v="0"/>
    <b v="0"/>
    <m/>
  </r>
  <r>
    <n v="542"/>
    <s v="ORD-2025-0542"/>
    <d v="2025-11-07T00:00:00"/>
    <x v="2"/>
    <d v="2025-11-12T00:00:00"/>
    <s v="Express"/>
    <s v="CUST-0194"/>
    <s v="Divya Rao"/>
    <x v="0"/>
    <x v="8"/>
    <s v="West"/>
    <s v="Office Supplies"/>
    <s v="File Folder"/>
    <n v="1"/>
    <n v="0.2"/>
    <n v="72.77"/>
    <n v="7.55"/>
    <x v="4"/>
    <b v="0"/>
    <b v="0"/>
    <b v="0"/>
    <m/>
  </r>
  <r>
    <n v="543"/>
    <s v="ORD-2025-0543"/>
    <d v="2025-02-23T00:00:00"/>
    <x v="3"/>
    <d v="2025-02-25T00:00:00"/>
    <s v="Standard"/>
    <s v="CUST-0187"/>
    <s v="Neha Gupta"/>
    <x v="0"/>
    <x v="0"/>
    <s v="East"/>
    <s v="Home &amp; Kitchen"/>
    <s v="Lunch Box"/>
    <n v="2"/>
    <n v="0.1"/>
    <n v="1239.54"/>
    <n v="220.82"/>
    <x v="2"/>
    <b v="0"/>
    <b v="0"/>
    <b v="0"/>
    <m/>
  </r>
  <r>
    <n v="544"/>
    <s v="ORD-2025-0544"/>
    <d v="2025-05-02T00:00:00"/>
    <x v="0"/>
    <d v="2025-05-04T00:00:00"/>
    <s v="Express"/>
    <s v="CUST-0052"/>
    <s v="Rohan Mehta"/>
    <x v="0"/>
    <x v="5"/>
    <s v="North"/>
    <s v="Home &amp; Kitchen"/>
    <s v="Coffee Mug"/>
    <n v="3"/>
    <n v="0.05"/>
    <n v="834.66"/>
    <n v="176.04"/>
    <x v="4"/>
    <b v="0"/>
    <b v="0"/>
    <b v="0"/>
    <m/>
  </r>
  <r>
    <n v="545"/>
    <s v="ORD-2025-0545"/>
    <d v="2025-02-14T00:00:00"/>
    <x v="3"/>
    <d v="2025-02-18T00:00:00"/>
    <s v="Standard"/>
    <s v="CUST-0106"/>
    <s v="Aditya Kumar"/>
    <x v="0"/>
    <x v="8"/>
    <s v="West"/>
    <s v="Home &amp; Kitchen"/>
    <s v="Storage Box"/>
    <n v="1"/>
    <n v="0"/>
    <n v="898.84"/>
    <n v="262.58999999999997"/>
    <x v="1"/>
    <b v="0"/>
    <b v="0"/>
    <b v="0"/>
    <m/>
  </r>
  <r>
    <n v="546"/>
    <s v="ORD-2025-0546"/>
    <d v="2025-06-14T00:00:00"/>
    <x v="8"/>
    <d v="2025-06-19T00:00:00"/>
    <s v="Standard"/>
    <s v="CUST-0189"/>
    <s v="Aarav Sharma"/>
    <x v="2"/>
    <x v="9"/>
    <s v="South"/>
    <s v="Furniture"/>
    <s v="Folding Chair"/>
    <n v="4"/>
    <n v="0.2"/>
    <n v="5812.1"/>
    <n v="1221.55"/>
    <x v="3"/>
    <b v="0"/>
    <b v="0"/>
    <b v="0"/>
    <m/>
  </r>
  <r>
    <n v="547"/>
    <s v="ORD-2025-0547"/>
    <d v="2025-02-06T00:00:00"/>
    <x v="3"/>
    <d v="2025-02-10T00:00:00"/>
    <s v="Express"/>
    <s v="CUST-0088"/>
    <s v="Priya Nair"/>
    <x v="0"/>
    <x v="4"/>
    <s v="North"/>
    <s v="Electronics"/>
    <s v="Bluetooth Speaker"/>
    <n v="2"/>
    <n v="0"/>
    <n v="3877.3"/>
    <n v="1387.42"/>
    <x v="2"/>
    <b v="0"/>
    <b v="0"/>
    <b v="0"/>
    <m/>
  </r>
  <r>
    <n v="548"/>
    <s v="ORD-2025-0548"/>
    <d v="2025-02-11T00:00:00"/>
    <x v="3"/>
    <d v="2025-02-16T00:00:00"/>
    <s v="Same Day"/>
    <s v="CUST-0069"/>
    <s v="Rohan Mehta"/>
    <x v="0"/>
    <x v="4"/>
    <s v="North"/>
    <s v="Home &amp; Kitchen"/>
    <s v="Lunch Box"/>
    <n v="4"/>
    <n v="0.15"/>
    <n v="2360.89"/>
    <n v="209.31"/>
    <x v="3"/>
    <b v="0"/>
    <b v="0"/>
    <b v="0"/>
    <m/>
  </r>
  <r>
    <n v="549"/>
    <s v="ORD-2025-0549"/>
    <d v="2025-06-11T00:00:00"/>
    <x v="8"/>
    <d v="2025-06-12T00:00:00"/>
    <s v="Standard"/>
    <s v="CUST-0070"/>
    <s v="Arjun Patel"/>
    <x v="0"/>
    <x v="4"/>
    <s v="North"/>
    <s v="Furniture"/>
    <s v="Desk Lamp"/>
    <n v="1"/>
    <n v="0"/>
    <n v="1271.31"/>
    <n v="393.07"/>
    <x v="2"/>
    <b v="0"/>
    <b v="0"/>
    <b v="0"/>
    <m/>
  </r>
  <r>
    <n v="550"/>
    <s v="ORD-2025-0550"/>
    <d v="2025-02-05T00:00:00"/>
    <x v="3"/>
    <d v="2025-02-10T00:00:00"/>
    <s v="Standard"/>
    <s v="CUST-0208"/>
    <s v="Manish Yadav"/>
    <x v="0"/>
    <x v="7"/>
    <s v="South"/>
    <s v="Home &amp; Kitchen"/>
    <s v="Storage Box"/>
    <n v="2"/>
    <n v="0.05"/>
    <n v="1771.3"/>
    <n v="427.8"/>
    <x v="2"/>
    <b v="0"/>
    <b v="0"/>
    <b v="0"/>
    <m/>
  </r>
  <r>
    <n v="551"/>
    <s v="ORD-2025-0551"/>
    <d v="2025-10-22T00:00:00"/>
    <x v="9"/>
    <d v="2025-10-27T00:00:00"/>
    <s v="Express"/>
    <s v="CUST-0138"/>
    <s v="Rohan Mehta"/>
    <x v="2"/>
    <x v="5"/>
    <s v="North"/>
    <s v="Office Supplies"/>
    <s v="Pen Set"/>
    <n v="1"/>
    <n v="0.05"/>
    <n v="114.04"/>
    <n v="32.06"/>
    <x v="4"/>
    <b v="0"/>
    <b v="0"/>
    <b v="0"/>
    <m/>
  </r>
  <r>
    <n v="552"/>
    <s v="ORD-2025-0552"/>
    <d v="2025-01-01T00:00:00"/>
    <x v="1"/>
    <d v="2025-01-06T00:00:00"/>
    <s v="Same Day"/>
    <s v="CUST-0240"/>
    <s v="Kiran Joshi"/>
    <x v="0"/>
    <x v="5"/>
    <s v="North"/>
    <s v="Furniture"/>
    <s v="Folding Chair"/>
    <n v="1"/>
    <n v="0.05"/>
    <n v="1703.48"/>
    <n v="485.35"/>
    <x v="3"/>
    <b v="0"/>
    <b v="0"/>
    <b v="0"/>
    <m/>
  </r>
  <r>
    <n v="553"/>
    <s v="ORD-2025-0553"/>
    <d v="2025-05-03T00:00:00"/>
    <x v="0"/>
    <d v="2025-05-04T00:00:00"/>
    <s v="Standard"/>
    <s v="CUST-0059"/>
    <s v="Ishita Roy"/>
    <x v="1"/>
    <x v="1"/>
    <s v="East"/>
    <s v="Electronics"/>
    <s v="Bluetooth Speaker"/>
    <n v="1"/>
    <n v="0.1"/>
    <n v="1750.03"/>
    <n v="410.73"/>
    <x v="1"/>
    <b v="0"/>
    <b v="0"/>
    <b v="0"/>
    <m/>
  </r>
  <r>
    <n v="554"/>
    <s v="ORD-2025-0554"/>
    <d v="2025-12-22T00:00:00"/>
    <x v="4"/>
    <d v="2025-12-24T00:00:00"/>
    <s v="Standard"/>
    <s v="CUST-0202"/>
    <s v="Priya Nair"/>
    <x v="2"/>
    <x v="4"/>
    <s v="North"/>
    <s v="Electronics"/>
    <s v="USB-C Hub"/>
    <n v="2"/>
    <n v="0"/>
    <n v="3105.78"/>
    <n v="821.43"/>
    <x v="0"/>
    <b v="0"/>
    <b v="0"/>
    <b v="0"/>
    <m/>
  </r>
  <r>
    <n v="555"/>
    <s v="ORD-2025-0555"/>
    <d v="2025-01-01T00:00:00"/>
    <x v="1"/>
    <d v="2025-01-06T00:00:00"/>
    <s v="Standard"/>
    <s v="CUST-0172"/>
    <s v="Kavya Iyer"/>
    <x v="2"/>
    <x v="3"/>
    <s v="South"/>
    <s v="Electronics"/>
    <s v="Keyboard"/>
    <n v="2"/>
    <n v="0"/>
    <n v="2543.42"/>
    <n v="489.47"/>
    <x v="1"/>
    <b v="0"/>
    <b v="0"/>
    <b v="0"/>
    <m/>
  </r>
  <r>
    <n v="556"/>
    <s v="ORD-2025-0556"/>
    <d v="2025-10-04T00:00:00"/>
    <x v="9"/>
    <d v="2025-10-06T00:00:00"/>
    <s v="Standard"/>
    <s v="CUST-0201"/>
    <s v="Meera Shah"/>
    <x v="0"/>
    <x v="0"/>
    <s v="East"/>
    <s v="Office Supplies"/>
    <s v="Desk Organizer"/>
    <n v="1"/>
    <n v="0.25"/>
    <n v="326.26"/>
    <n v="36.36"/>
    <x v="3"/>
    <b v="0"/>
    <b v="0"/>
    <b v="0"/>
    <m/>
  </r>
  <r>
    <n v="557"/>
    <s v="ORD-2025-0557"/>
    <d v="2025-12-25T00:00:00"/>
    <x v="4"/>
    <d v="2025-12-26T00:00:00"/>
    <s v="Standard"/>
    <s v="CUST-0221"/>
    <s v="Aditya Kumar"/>
    <x v="1"/>
    <x v="11"/>
    <s v="West"/>
    <s v="Office Supplies"/>
    <s v="Calculator"/>
    <n v="1"/>
    <n v="0"/>
    <n v="662.34"/>
    <n v="181.02"/>
    <x v="0"/>
    <b v="0"/>
    <b v="0"/>
    <b v="0"/>
    <m/>
  </r>
  <r>
    <n v="558"/>
    <s v="ORD-2025-0558"/>
    <d v="2025-01-26T00:00:00"/>
    <x v="1"/>
    <d v="2025-01-28T00:00:00"/>
    <s v="Standard"/>
    <s v="CUST-0066"/>
    <s v="Priya Nair"/>
    <x v="1"/>
    <x v="10"/>
    <s v="North"/>
    <s v="Furniture"/>
    <s v="Study Table"/>
    <n v="4"/>
    <n v="0.25"/>
    <n v="21064.95"/>
    <n v="2008.83"/>
    <x v="0"/>
    <b v="0"/>
    <b v="0"/>
    <b v="0"/>
    <m/>
  </r>
  <r>
    <n v="559"/>
    <s v="ORD-2025-0559"/>
    <d v="2025-11-11T00:00:00"/>
    <x v="2"/>
    <d v="2025-11-12T00:00:00"/>
    <s v="Standard"/>
    <s v="CUST-0122"/>
    <s v="Arjun Patel"/>
    <x v="1"/>
    <x v="8"/>
    <s v="West"/>
    <s v="Office Supplies"/>
    <s v="Calculator"/>
    <n v="1"/>
    <n v="0.05"/>
    <n v="616.16"/>
    <n v="189.68"/>
    <x v="1"/>
    <b v="0"/>
    <b v="0"/>
    <b v="0"/>
    <m/>
  </r>
  <r>
    <n v="560"/>
    <s v="ORD-2025-0560"/>
    <d v="2025-02-14T00:00:00"/>
    <x v="3"/>
    <d v="2025-02-15T00:00:00"/>
    <s v="Standard"/>
    <s v="CUST-0195"/>
    <s v="Ishita Roy"/>
    <x v="2"/>
    <x v="5"/>
    <s v="North"/>
    <s v="Office Supplies"/>
    <s v="Desk Organizer"/>
    <n v="1"/>
    <n v="0.2"/>
    <n v="347.38"/>
    <n v="22.48"/>
    <x v="2"/>
    <b v="0"/>
    <b v="0"/>
    <b v="0"/>
    <m/>
  </r>
  <r>
    <n v="561"/>
    <s v="ORD-2025-0561"/>
    <d v="2025-10-08T00:00:00"/>
    <x v="9"/>
    <d v="2025-10-13T00:00:00"/>
    <s v="Express"/>
    <s v="CUST-0195"/>
    <s v="Pooja Das"/>
    <x v="0"/>
    <x v="10"/>
    <s v="North"/>
    <s v="Office Supplies"/>
    <s v="Pen Set"/>
    <n v="1"/>
    <n v="0.05"/>
    <n v="110.58"/>
    <n v="35.270000000000003"/>
    <x v="1"/>
    <b v="0"/>
    <b v="0"/>
    <b v="0"/>
    <m/>
  </r>
  <r>
    <n v="562"/>
    <s v="ORD-2025-0562"/>
    <d v="2025-06-14T00:00:00"/>
    <x v="8"/>
    <d v="2025-06-17T00:00:00"/>
    <s v="Standard"/>
    <s v="CUST-0180"/>
    <s v="Kavya Iyer"/>
    <x v="1"/>
    <x v="4"/>
    <s v="North"/>
    <s v="Home &amp; Kitchen"/>
    <s v="Lunch Box"/>
    <n v="2"/>
    <n v="0.1"/>
    <n v="1311.93"/>
    <n v="263.86"/>
    <x v="3"/>
    <b v="0"/>
    <b v="0"/>
    <b v="0"/>
    <m/>
  </r>
  <r>
    <n v="563"/>
    <s v="ORD-2025-0563"/>
    <d v="2025-11-20T00:00:00"/>
    <x v="2"/>
    <d v="2025-11-23T00:00:00"/>
    <s v="Express"/>
    <s v="CUST-0077"/>
    <s v="Divya Rao"/>
    <x v="1"/>
    <x v="0"/>
    <s v="East"/>
    <s v="Electronics"/>
    <s v="USB-C Hub"/>
    <n v="1"/>
    <n v="0.1"/>
    <n v="1286.98"/>
    <n v="236.77"/>
    <x v="1"/>
    <b v="0"/>
    <b v="0"/>
    <b v="0"/>
    <m/>
  </r>
  <r>
    <n v="564"/>
    <s v="ORD-2025-0564"/>
    <d v="2025-03-18T00:00:00"/>
    <x v="11"/>
    <d v="2025-03-23T00:00:00"/>
    <s v="Standard"/>
    <s v="CUST-0214"/>
    <s v="Kiran Joshi"/>
    <x v="2"/>
    <x v="5"/>
    <s v="North"/>
    <s v="Electronics"/>
    <s v="USB-C Hub"/>
    <n v="1"/>
    <n v="0.2"/>
    <n v="1177.29"/>
    <n v="18.170000000000002"/>
    <x v="4"/>
    <b v="0"/>
    <b v="0"/>
    <b v="0"/>
    <m/>
  </r>
  <r>
    <n v="565"/>
    <s v="ORD-2025-0565"/>
    <d v="2025-05-21T00:00:00"/>
    <x v="0"/>
    <d v="2025-05-24T00:00:00"/>
    <s v="Standard"/>
    <s v="CUST-0043"/>
    <s v="Kavya Iyer"/>
    <x v="0"/>
    <x v="9"/>
    <s v="South"/>
    <s v="Furniture"/>
    <s v="Desk Lamp"/>
    <n v="3"/>
    <n v="0"/>
    <n v="4081.47"/>
    <n v="1049.1600000000001"/>
    <x v="3"/>
    <b v="0"/>
    <b v="0"/>
    <b v="0"/>
    <m/>
  </r>
  <r>
    <n v="566"/>
    <s v="ORD-2025-0566"/>
    <d v="2025-02-18T00:00:00"/>
    <x v="3"/>
    <d v="2025-02-21T00:00:00"/>
    <s v="Same Day"/>
    <s v="CUST-0082"/>
    <s v="Meera Shah"/>
    <x v="2"/>
    <x v="8"/>
    <s v="West"/>
    <s v="Home &amp; Kitchen"/>
    <s v="Lunch Box"/>
    <n v="1"/>
    <n v="0.05"/>
    <n v="652.03"/>
    <n v="83.19"/>
    <x v="4"/>
    <b v="0"/>
    <b v="0"/>
    <b v="0"/>
    <m/>
  </r>
  <r>
    <n v="567"/>
    <s v="ORD-2025-0567"/>
    <d v="2025-09-06T00:00:00"/>
    <x v="5"/>
    <d v="2025-09-10T00:00:00"/>
    <s v="Express"/>
    <s v="CUST-0182"/>
    <s v="Manish Yadav"/>
    <x v="0"/>
    <x v="5"/>
    <s v="North"/>
    <s v="Office Supplies"/>
    <s v="File Folder"/>
    <n v="2"/>
    <n v="0"/>
    <n v="178.85"/>
    <n v="40.299999999999997"/>
    <x v="3"/>
    <b v="0"/>
    <b v="0"/>
    <b v="0"/>
    <m/>
  </r>
  <r>
    <n v="568"/>
    <s v="ORD-2025-0568"/>
    <d v="2025-03-02T00:00:00"/>
    <x v="11"/>
    <d v="2025-03-03T00:00:00"/>
    <s v="Express"/>
    <s v="CUST-0061"/>
    <s v="Sanjay Menon"/>
    <x v="0"/>
    <x v="3"/>
    <s v="South"/>
    <s v="Home &amp; Kitchen"/>
    <s v="Water Bottle"/>
    <n v="2"/>
    <n v="0.2"/>
    <n v="822.74"/>
    <n v="130.33000000000001"/>
    <x v="2"/>
    <b v="0"/>
    <b v="0"/>
    <b v="0"/>
    <m/>
  </r>
  <r>
    <n v="569"/>
    <s v="ORD-2025-0569"/>
    <d v="2025-01-10T00:00:00"/>
    <x v="1"/>
    <d v="2025-01-11T00:00:00"/>
    <s v="Express"/>
    <s v="CUST-0203"/>
    <s v="Nikhil Jain"/>
    <x v="0"/>
    <x v="3"/>
    <s v="South"/>
    <s v="Electronics"/>
    <s v="USB-C Hub"/>
    <n v="2"/>
    <n v="0.1"/>
    <n v="2784.77"/>
    <n v="784.3"/>
    <x v="2"/>
    <b v="0"/>
    <b v="0"/>
    <b v="0"/>
    <m/>
  </r>
  <r>
    <n v="570"/>
    <s v="ORD-2025-0570"/>
    <d v="2025-05-11T00:00:00"/>
    <x v="0"/>
    <d v="2025-05-12T00:00:00"/>
    <s v="Standard"/>
    <s v="CUST-0023"/>
    <s v="Divya Rao"/>
    <x v="0"/>
    <x v="8"/>
    <s v="West"/>
    <s v="Office Supplies"/>
    <s v="Desk Organizer"/>
    <n v="1"/>
    <n v="0.15"/>
    <n v="394.2"/>
    <n v="90.03"/>
    <x v="1"/>
    <b v="0"/>
    <b v="0"/>
    <b v="0"/>
    <m/>
  </r>
  <r>
    <n v="571"/>
    <s v="ORD-2025-0571"/>
    <d v="2025-07-10T00:00:00"/>
    <x v="7"/>
    <d v="2025-07-13T00:00:00"/>
    <s v="Standard"/>
    <s v="CUST-0171"/>
    <s v="Pooja Das"/>
    <x v="2"/>
    <x v="9"/>
    <s v="South"/>
    <s v="Office Supplies"/>
    <s v="File Folder"/>
    <n v="2"/>
    <n v="0.2"/>
    <n v="148.21"/>
    <n v="14.87"/>
    <x v="1"/>
    <b v="0"/>
    <b v="0"/>
    <b v="0"/>
    <m/>
  </r>
  <r>
    <n v="572"/>
    <s v="ORD-2025-0572"/>
    <d v="2025-12-31T00:00:00"/>
    <x v="4"/>
    <d v="2026-01-04T00:00:00"/>
    <s v="Same Day"/>
    <s v="CUST-0240"/>
    <s v="Arjun Patel"/>
    <x v="2"/>
    <x v="5"/>
    <s v="North"/>
    <s v="Electronics"/>
    <s v="Wireless Mouse"/>
    <n v="1"/>
    <n v="0.1"/>
    <n v="745.23"/>
    <n v="103.32"/>
    <x v="1"/>
    <b v="0"/>
    <b v="0"/>
    <b v="0"/>
    <m/>
  </r>
  <r>
    <n v="573"/>
    <s v="ORD-2025-0573"/>
    <d v="2025-03-30T00:00:00"/>
    <x v="11"/>
    <d v="2025-04-02T00:00:00"/>
    <s v="Standard"/>
    <s v="CUST-0025"/>
    <s v="Kavya Iyer"/>
    <x v="2"/>
    <x v="4"/>
    <s v="North"/>
    <s v="Furniture"/>
    <s v="Bookshelf"/>
    <n v="1"/>
    <n v="0.2"/>
    <n v="3763.65"/>
    <n v="893.56"/>
    <x v="1"/>
    <b v="0"/>
    <b v="0"/>
    <b v="0"/>
    <m/>
  </r>
  <r>
    <n v="574"/>
    <s v="ORD-2025-0574"/>
    <d v="2025-01-14T00:00:00"/>
    <x v="1"/>
    <d v="2025-01-15T00:00:00"/>
    <s v="Standard"/>
    <s v="CUST-0175"/>
    <s v="Pooja Das"/>
    <x v="0"/>
    <x v="11"/>
    <s v="West"/>
    <s v="Office Supplies"/>
    <s v="Notebook"/>
    <n v="2"/>
    <n v="0.2"/>
    <n v="285.23"/>
    <n v="28.9"/>
    <x v="2"/>
    <b v="0"/>
    <b v="0"/>
    <b v="0"/>
    <m/>
  </r>
  <r>
    <n v="575"/>
    <s v="ORD-2025-0575"/>
    <d v="2025-12-21T00:00:00"/>
    <x v="4"/>
    <d v="2025-12-22T00:00:00"/>
    <s v="Same Day"/>
    <s v="CUST-0117"/>
    <s v="Neha Gupta"/>
    <x v="2"/>
    <x v="10"/>
    <s v="North"/>
    <s v="Office Supplies"/>
    <s v="Desk Organizer"/>
    <n v="2"/>
    <n v="0"/>
    <n v="856.21"/>
    <n v="294.70999999999998"/>
    <x v="1"/>
    <b v="0"/>
    <b v="0"/>
    <b v="0"/>
    <m/>
  </r>
  <r>
    <n v="576"/>
    <s v="ORD-2025-0576"/>
    <d v="2025-07-11T00:00:00"/>
    <x v="7"/>
    <d v="2025-07-15T00:00:00"/>
    <s v="Express"/>
    <s v="CUST-0152"/>
    <s v="Kiran Joshi"/>
    <x v="1"/>
    <x v="9"/>
    <s v="South"/>
    <s v="Home &amp; Kitchen"/>
    <s v="Water Bottle"/>
    <n v="2"/>
    <n v="0"/>
    <n v="991.29"/>
    <n v="275.89"/>
    <x v="2"/>
    <b v="0"/>
    <b v="0"/>
    <b v="0"/>
    <m/>
  </r>
  <r>
    <n v="577"/>
    <s v="ORD-2025-0577"/>
    <d v="2025-01-28T00:00:00"/>
    <x v="1"/>
    <d v="2025-01-29T00:00:00"/>
    <s v="Standard"/>
    <s v="CUST-0221"/>
    <s v="Ishita Roy"/>
    <x v="1"/>
    <x v="0"/>
    <s v="East"/>
    <s v="Office Supplies"/>
    <s v="Notebook"/>
    <n v="1"/>
    <n v="0.2"/>
    <n v="138.63"/>
    <n v="14.19"/>
    <x v="1"/>
    <b v="0"/>
    <b v="0"/>
    <b v="0"/>
    <m/>
  </r>
  <r>
    <n v="578"/>
    <s v="ORD-2025-0578"/>
    <d v="2025-02-23T00:00:00"/>
    <x v="3"/>
    <d v="2025-02-27T00:00:00"/>
    <s v="Express"/>
    <s v="CUST-0010"/>
    <s v="Divya Rao"/>
    <x v="2"/>
    <x v="8"/>
    <s v="West"/>
    <s v="Home &amp; Kitchen"/>
    <s v="Storage Box"/>
    <n v="5"/>
    <n v="0.25"/>
    <n v="3308.12"/>
    <n v="84.27"/>
    <x v="2"/>
    <b v="0"/>
    <b v="0"/>
    <b v="0"/>
    <m/>
  </r>
  <r>
    <n v="579"/>
    <s v="ORD-2025-0579"/>
    <d v="2025-04-11T00:00:00"/>
    <x v="10"/>
    <d v="2025-04-15T00:00:00"/>
    <s v="Express"/>
    <s v="CUST-0092"/>
    <s v="Kiran Joshi"/>
    <x v="0"/>
    <x v="3"/>
    <s v="South"/>
    <s v="Electronics"/>
    <s v="Bluetooth Speaker"/>
    <n v="3"/>
    <n v="0"/>
    <n v="5870.4"/>
    <n v="2263.25"/>
    <x v="3"/>
    <b v="0"/>
    <b v="0"/>
    <b v="0"/>
    <m/>
  </r>
  <r>
    <n v="580"/>
    <s v="ORD-2025-0580"/>
    <d v="2025-02-26T00:00:00"/>
    <x v="3"/>
    <d v="2025-02-28T00:00:00"/>
    <s v="Standard"/>
    <s v="CUST-0070"/>
    <s v="Vikram Rao"/>
    <x v="1"/>
    <x v="5"/>
    <s v="North"/>
    <s v="Home &amp; Kitchen"/>
    <s v="Coffee Mug"/>
    <n v="2"/>
    <n v="0"/>
    <n v="624.62"/>
    <n v="220.05"/>
    <x v="1"/>
    <b v="0"/>
    <b v="0"/>
    <b v="0"/>
    <m/>
  </r>
  <r>
    <n v="581"/>
    <s v="ORD-2025-0581"/>
    <d v="2025-07-05T00:00:00"/>
    <x v="7"/>
    <d v="2025-07-08T00:00:00"/>
    <s v="Standard"/>
    <s v="CUST-0034"/>
    <s v="Rahul Verma"/>
    <x v="1"/>
    <x v="4"/>
    <s v="North"/>
    <s v="Home &amp; Kitchen"/>
    <s v="Electric Kettle"/>
    <n v="5"/>
    <n v="0.15"/>
    <n v="7765.18"/>
    <n v="1339.76"/>
    <x v="0"/>
    <b v="0"/>
    <b v="0"/>
    <b v="0"/>
    <m/>
  </r>
  <r>
    <n v="582"/>
    <s v="ORD-2025-0582"/>
    <d v="2025-08-11T00:00:00"/>
    <x v="6"/>
    <d v="2025-08-16T00:00:00"/>
    <s v="Express"/>
    <s v="CUST-0107"/>
    <s v="Sanjay Menon"/>
    <x v="1"/>
    <x v="9"/>
    <s v="South"/>
    <s v="Office Supplies"/>
    <s v="Calculator"/>
    <n v="1"/>
    <n v="0.15"/>
    <n v="574.05999999999995"/>
    <n v="135.91"/>
    <x v="1"/>
    <b v="0"/>
    <b v="0"/>
    <b v="0"/>
    <m/>
  </r>
  <r>
    <n v="583"/>
    <s v="ORD-2025-0583"/>
    <d v="2025-03-14T00:00:00"/>
    <x v="11"/>
    <d v="2025-03-17T00:00:00"/>
    <s v="Express"/>
    <s v="CUST-0186"/>
    <s v="Kiran Joshi"/>
    <x v="2"/>
    <x v="3"/>
    <s v="South"/>
    <s v="Furniture"/>
    <s v="Study Table"/>
    <n v="2"/>
    <n v="0.15"/>
    <n v="12046.07"/>
    <n v="2997.66"/>
    <x v="1"/>
    <b v="0"/>
    <b v="0"/>
    <b v="0"/>
    <m/>
  </r>
  <r>
    <n v="584"/>
    <s v="ORD-2025-0584"/>
    <d v="2025-08-26T00:00:00"/>
    <x v="6"/>
    <d v="2025-08-28T00:00:00"/>
    <s v="Standard"/>
    <s v="CUST-0044"/>
    <s v="Kiran Joshi"/>
    <x v="1"/>
    <x v="6"/>
    <s v="South"/>
    <s v="Home &amp; Kitchen"/>
    <s v="Coffee Mug"/>
    <n v="1"/>
    <n v="0.25"/>
    <n v="217.76"/>
    <n v="2.39"/>
    <x v="2"/>
    <b v="0"/>
    <b v="0"/>
    <b v="0"/>
    <m/>
  </r>
  <r>
    <n v="585"/>
    <s v="ORD-2025-0585"/>
    <d v="2025-10-09T00:00:00"/>
    <x v="9"/>
    <d v="2025-10-12T00:00:00"/>
    <s v="Express"/>
    <s v="CUST-0240"/>
    <s v="Vikram Rao"/>
    <x v="2"/>
    <x v="3"/>
    <s v="South"/>
    <s v="Electronics"/>
    <s v="Bluetooth Speaker"/>
    <n v="2"/>
    <n v="0.1"/>
    <n v="3285.93"/>
    <n v="355.83"/>
    <x v="1"/>
    <b v="0"/>
    <b v="0"/>
    <b v="0"/>
    <m/>
  </r>
  <r>
    <n v="586"/>
    <s v="ORD-2025-0586"/>
    <d v="2025-05-18T00:00:00"/>
    <x v="0"/>
    <d v="2025-05-19T00:00:00"/>
    <s v="Standard"/>
    <s v="CUST-0199"/>
    <s v="Manish Yadav"/>
    <x v="0"/>
    <x v="6"/>
    <s v="South"/>
    <s v="Electronics"/>
    <s v="Keyboard"/>
    <n v="2"/>
    <n v="0"/>
    <n v="2710.75"/>
    <n v="1004.6"/>
    <x v="2"/>
    <b v="0"/>
    <b v="0"/>
    <b v="0"/>
    <m/>
  </r>
  <r>
    <n v="587"/>
    <s v="ORD-2025-0587"/>
    <d v="2025-02-07T00:00:00"/>
    <x v="3"/>
    <d v="2025-02-08T00:00:00"/>
    <s v="Express"/>
    <s v="CUST-0244"/>
    <s v="Vikram Rao"/>
    <x v="2"/>
    <x v="2"/>
    <s v="West"/>
    <s v="Office Supplies"/>
    <s v="Notebook"/>
    <n v="1"/>
    <n v="0.1"/>
    <n v="163.81"/>
    <n v="31.84"/>
    <x v="0"/>
    <b v="0"/>
    <b v="0"/>
    <b v="0"/>
    <m/>
  </r>
  <r>
    <n v="588"/>
    <s v="ORD-2025-0588"/>
    <d v="2025-10-07T00:00:00"/>
    <x v="9"/>
    <d v="2025-10-12T00:00:00"/>
    <s v="Same Day"/>
    <s v="CUST-0018"/>
    <s v="Aditya Kumar"/>
    <x v="0"/>
    <x v="1"/>
    <s v="East"/>
    <s v="Electronics"/>
    <s v="Bluetooth Speaker"/>
    <n v="1"/>
    <n v="0.2"/>
    <n v="1573.79"/>
    <n v="354.63"/>
    <x v="3"/>
    <b v="0"/>
    <b v="0"/>
    <b v="0"/>
    <m/>
  </r>
  <r>
    <n v="589"/>
    <s v="ORD-2025-0589"/>
    <d v="2025-09-27T00:00:00"/>
    <x v="5"/>
    <d v="2025-09-29T00:00:00"/>
    <s v="Express"/>
    <s v="CUST-0240"/>
    <s v="Vikram Rao"/>
    <x v="1"/>
    <x v="0"/>
    <s v="East"/>
    <s v="Electronics"/>
    <s v="Wireless Mouse"/>
    <n v="1"/>
    <n v="0.1"/>
    <n v="737.34"/>
    <n v="87.26"/>
    <x v="2"/>
    <b v="0"/>
    <b v="0"/>
    <b v="0"/>
    <m/>
  </r>
  <r>
    <n v="590"/>
    <s v="ORD-2025-0590"/>
    <d v="2025-01-04T00:00:00"/>
    <x v="1"/>
    <d v="2025-01-09T00:00:00"/>
    <s v="Same Day"/>
    <s v="CUST-0139"/>
    <s v="Neha Gupta"/>
    <x v="0"/>
    <x v="2"/>
    <s v="West"/>
    <s v="Home &amp; Kitchen"/>
    <s v="Lunch Box"/>
    <n v="4"/>
    <n v="0"/>
    <n v="2779.29"/>
    <n v="579.84"/>
    <x v="1"/>
    <b v="0"/>
    <b v="0"/>
    <b v="0"/>
    <m/>
  </r>
  <r>
    <n v="591"/>
    <s v="ORD-2025-0591"/>
    <d v="2025-03-11T00:00:00"/>
    <x v="11"/>
    <d v="2025-03-12T00:00:00"/>
    <s v="Express"/>
    <s v="CUST-0214"/>
    <s v="Arjun Patel"/>
    <x v="0"/>
    <x v="8"/>
    <s v="West"/>
    <s v="Home &amp; Kitchen"/>
    <s v="Coffee Mug"/>
    <n v="2"/>
    <n v="0.05"/>
    <n v="577.76"/>
    <n v="206.95"/>
    <x v="1"/>
    <b v="0"/>
    <b v="0"/>
    <b v="0"/>
    <m/>
  </r>
  <r>
    <n v="592"/>
    <s v="ORD-2025-0592"/>
    <d v="2025-03-05T00:00:00"/>
    <x v="11"/>
    <d v="2025-03-07T00:00:00"/>
    <s v="Standard"/>
    <s v="CUST-0060"/>
    <s v="Kiran Joshi"/>
    <x v="1"/>
    <x v="8"/>
    <s v="West"/>
    <s v="Office Supplies"/>
    <s v="Pen Set"/>
    <n v="1"/>
    <n v="0"/>
    <n v="119.16"/>
    <n v="23.76"/>
    <x v="2"/>
    <b v="0"/>
    <b v="0"/>
    <b v="0"/>
    <m/>
  </r>
  <r>
    <n v="593"/>
    <s v="ORD-2025-0593"/>
    <d v="2025-10-24T00:00:00"/>
    <x v="9"/>
    <d v="2025-10-25T00:00:00"/>
    <s v="Same Day"/>
    <s v="CUST-0065"/>
    <s v="Pooja Das"/>
    <x v="1"/>
    <x v="0"/>
    <s v="East"/>
    <s v="Furniture"/>
    <s v="Study Table"/>
    <n v="4"/>
    <n v="0.1"/>
    <n v="25309.49"/>
    <n v="6364.56"/>
    <x v="1"/>
    <b v="0"/>
    <b v="0"/>
    <b v="0"/>
    <m/>
  </r>
  <r>
    <n v="594"/>
    <s v="ORD-2025-0594"/>
    <d v="2025-02-18T00:00:00"/>
    <x v="3"/>
    <d v="2025-02-21T00:00:00"/>
    <s v="Express"/>
    <s v="CUST-0184"/>
    <s v="Nikhil Jain"/>
    <x v="0"/>
    <x v="9"/>
    <s v="South"/>
    <s v="Electronics"/>
    <s v="Wireless Mouse"/>
    <n v="1"/>
    <n v="0.25"/>
    <n v="598.5"/>
    <n v="44.93"/>
    <x v="1"/>
    <b v="0"/>
    <b v="0"/>
    <b v="0"/>
    <m/>
  </r>
  <r>
    <n v="595"/>
    <s v="ORD-2025-0595"/>
    <d v="2025-02-26T00:00:00"/>
    <x v="3"/>
    <d v="2025-02-28T00:00:00"/>
    <s v="Same Day"/>
    <s v="CUST-0015"/>
    <s v="Aarav Sharma"/>
    <x v="0"/>
    <x v="1"/>
    <s v="East"/>
    <s v="Home &amp; Kitchen"/>
    <s v="Storage Box"/>
    <n v="4"/>
    <n v="0.2"/>
    <n v="2960.02"/>
    <n v="708.05"/>
    <x v="1"/>
    <b v="0"/>
    <b v="0"/>
    <b v="0"/>
    <m/>
  </r>
  <r>
    <n v="596"/>
    <s v="ORD-2025-0596"/>
    <d v="2025-03-29T00:00:00"/>
    <x v="11"/>
    <d v="2025-03-30T00:00:00"/>
    <s v="Standard"/>
    <s v="CUST-0061"/>
    <s v="Sanjay Menon"/>
    <x v="0"/>
    <x v="11"/>
    <s v="West"/>
    <s v="Electronics"/>
    <s v="Power Bank"/>
    <n v="2"/>
    <n v="0"/>
    <n v="2337.09"/>
    <n v="595.14"/>
    <x v="1"/>
    <b v="0"/>
    <b v="0"/>
    <b v="0"/>
    <m/>
  </r>
  <r>
    <n v="597"/>
    <s v="ORD-2025-0597"/>
    <d v="2025-06-09T00:00:00"/>
    <x v="8"/>
    <d v="2025-06-10T00:00:00"/>
    <s v="Standard"/>
    <s v="CUST-0085"/>
    <s v="Neha Gupta"/>
    <x v="1"/>
    <x v="0"/>
    <s v="East"/>
    <s v="Electronics"/>
    <s v="Keyboard"/>
    <n v="1"/>
    <n v="0.1"/>
    <n v="1132.67"/>
    <n v="312.68"/>
    <x v="0"/>
    <b v="0"/>
    <b v="0"/>
    <b v="0"/>
    <m/>
  </r>
  <r>
    <n v="598"/>
    <s v="ORD-2025-0598"/>
    <d v="2025-11-06T00:00:00"/>
    <x v="2"/>
    <d v="2025-11-07T00:00:00"/>
    <s v="Standard"/>
    <s v="CUST-0150"/>
    <s v="Aditya Kumar"/>
    <x v="1"/>
    <x v="0"/>
    <s v="East"/>
    <s v="Electronics"/>
    <s v="Wireless Mouse"/>
    <n v="4"/>
    <n v="0.05"/>
    <n v="3040.02"/>
    <n v="887.34"/>
    <x v="3"/>
    <b v="0"/>
    <b v="0"/>
    <b v="0"/>
    <m/>
  </r>
  <r>
    <n v="599"/>
    <s v="ORD-2025-0599"/>
    <d v="2025-08-16T00:00:00"/>
    <x v="6"/>
    <d v="2025-08-19T00:00:00"/>
    <s v="Standard"/>
    <s v="CUST-0058"/>
    <s v="Aarav Sharma"/>
    <x v="1"/>
    <x v="7"/>
    <s v="South"/>
    <s v="Furniture"/>
    <s v="Bookshelf"/>
    <n v="1"/>
    <n v="0.25"/>
    <n v="3616.51"/>
    <n v="-104.79"/>
    <x v="1"/>
    <b v="0"/>
    <b v="0"/>
    <b v="0"/>
    <m/>
  </r>
  <r>
    <n v="600"/>
    <s v="ORD-2025-0600"/>
    <d v="2025-01-02T00:00:00"/>
    <x v="1"/>
    <d v="2025-01-04T00:00:00"/>
    <s v="Express"/>
    <s v="CUST-0057"/>
    <s v="Nikhil Jain"/>
    <x v="0"/>
    <x v="4"/>
    <s v="North"/>
    <s v="Electronics"/>
    <s v="Power Bank"/>
    <n v="2"/>
    <n v="0"/>
    <n v="2429.96"/>
    <n v="895.48"/>
    <x v="3"/>
    <b v="0"/>
    <b v="0"/>
    <b v="0"/>
    <m/>
  </r>
  <r>
    <n v="601"/>
    <s v="ORD-2025-0601"/>
    <d v="2025-04-14T00:00:00"/>
    <x v="10"/>
    <d v="2025-04-16T00:00:00"/>
    <s v="Express"/>
    <s v="CUST-0031"/>
    <s v="Aarav Sharma"/>
    <x v="2"/>
    <x v="2"/>
    <s v="West"/>
    <s v="Office Supplies"/>
    <s v="Desk Organizer"/>
    <n v="1"/>
    <n v="0.1"/>
    <n v="418.82"/>
    <n v="87.64"/>
    <x v="1"/>
    <b v="0"/>
    <b v="0"/>
    <b v="0"/>
    <m/>
  </r>
  <r>
    <n v="602"/>
    <s v="ORD-2025-0602"/>
    <d v="2025-12-03T00:00:00"/>
    <x v="4"/>
    <d v="2025-12-06T00:00:00"/>
    <s v="Standard"/>
    <s v="CUST-0081"/>
    <s v="Pooja Das"/>
    <x v="1"/>
    <x v="1"/>
    <s v="East"/>
    <s v="Office Supplies"/>
    <s v="Calculator"/>
    <n v="3"/>
    <n v="0.2"/>
    <n v="1484.87"/>
    <n v="6.91"/>
    <x v="3"/>
    <b v="0"/>
    <b v="0"/>
    <b v="0"/>
    <m/>
  </r>
  <r>
    <n v="603"/>
    <s v="ORD-2025-0603"/>
    <d v="2025-07-02T00:00:00"/>
    <x v="7"/>
    <d v="2025-07-03T00:00:00"/>
    <s v="Standard"/>
    <s v="CUST-0204"/>
    <s v="Aarav Sharma"/>
    <x v="2"/>
    <x v="0"/>
    <s v="East"/>
    <s v="Office Supplies"/>
    <s v="File Folder"/>
    <n v="3"/>
    <n v="0.25"/>
    <n v="204.47"/>
    <n v="14.16"/>
    <x v="3"/>
    <b v="0"/>
    <b v="0"/>
    <b v="0"/>
    <m/>
  </r>
  <r>
    <n v="604"/>
    <s v="ORD-2025-0604"/>
    <d v="2025-09-23T00:00:00"/>
    <x v="5"/>
    <d v="2025-09-28T00:00:00"/>
    <s v="Standard"/>
    <s v="CUST-0181"/>
    <s v="Sneha Reddy"/>
    <x v="0"/>
    <x v="6"/>
    <s v="South"/>
    <s v="Office Supplies"/>
    <s v="File Folder"/>
    <n v="1"/>
    <n v="0"/>
    <n v="87.19"/>
    <n v="19.63"/>
    <x v="2"/>
    <b v="0"/>
    <b v="0"/>
    <b v="0"/>
    <m/>
  </r>
  <r>
    <n v="605"/>
    <s v="ORD-2025-0605"/>
    <d v="2025-11-16T00:00:00"/>
    <x v="2"/>
    <d v="2025-11-21T00:00:00"/>
    <s v="Express"/>
    <s v="CUST-0067"/>
    <s v="Arjun Patel"/>
    <x v="2"/>
    <x v="10"/>
    <s v="North"/>
    <s v="Electronics"/>
    <s v="Keyboard"/>
    <n v="3"/>
    <n v="0"/>
    <n v="3870.37"/>
    <n v="817.02"/>
    <x v="1"/>
    <b v="0"/>
    <b v="0"/>
    <b v="0"/>
    <m/>
  </r>
  <r>
    <n v="606"/>
    <s v="ORD-2025-0606"/>
    <d v="2025-08-07T00:00:00"/>
    <x v="6"/>
    <d v="2025-08-08T00:00:00"/>
    <s v="Standard"/>
    <s v="CUST-0151"/>
    <s v="Sneha Reddy"/>
    <x v="1"/>
    <x v="5"/>
    <s v="North"/>
    <s v="Electronics"/>
    <s v="Power Bank"/>
    <n v="3"/>
    <n v="0.1"/>
    <n v="3185.39"/>
    <n v="445.95"/>
    <x v="1"/>
    <b v="0"/>
    <b v="0"/>
    <b v="0"/>
    <m/>
  </r>
  <r>
    <n v="607"/>
    <s v="ORD-2025-0607"/>
    <d v="2025-01-29T00:00:00"/>
    <x v="1"/>
    <d v="2025-02-02T00:00:00"/>
    <s v="Standard"/>
    <s v="CUST-0174"/>
    <s v="Nikhil Jain"/>
    <x v="2"/>
    <x v="5"/>
    <s v="North"/>
    <s v="Office Supplies"/>
    <s v="Notebook"/>
    <n v="1"/>
    <n v="0.1"/>
    <n v="169.84"/>
    <n v="23.65"/>
    <x v="2"/>
    <b v="0"/>
    <b v="0"/>
    <b v="0"/>
    <m/>
  </r>
  <r>
    <n v="608"/>
    <s v="ORD-2025-0608"/>
    <d v="2025-02-24T00:00:00"/>
    <x v="3"/>
    <d v="2025-02-27T00:00:00"/>
    <s v="Express"/>
    <s v="CUST-0198"/>
    <s v="Divya Rao"/>
    <x v="0"/>
    <x v="9"/>
    <s v="South"/>
    <s v="Electronics"/>
    <s v="USB-C Hub"/>
    <n v="2"/>
    <n v="0.2"/>
    <n v="2425.7800000000002"/>
    <n v="366.67"/>
    <x v="3"/>
    <b v="0"/>
    <b v="0"/>
    <b v="0"/>
    <m/>
  </r>
  <r>
    <n v="609"/>
    <s v="ORD-2025-0609"/>
    <d v="2025-03-18T00:00:00"/>
    <x v="11"/>
    <d v="2025-03-21T00:00:00"/>
    <s v="Express"/>
    <s v="CUST-0211"/>
    <s v="Kiran Joshi"/>
    <x v="0"/>
    <x v="5"/>
    <s v="North"/>
    <s v="Furniture"/>
    <s v="Desk Lamp"/>
    <n v="1"/>
    <n v="0.1"/>
    <n v="1121.76"/>
    <n v="302.3"/>
    <x v="2"/>
    <b v="0"/>
    <b v="0"/>
    <b v="0"/>
    <m/>
  </r>
  <r>
    <n v="610"/>
    <s v="ORD-2025-0610"/>
    <d v="2025-07-10T00:00:00"/>
    <x v="7"/>
    <d v="2025-07-15T00:00:00"/>
    <s v="Express"/>
    <s v="CUST-0056"/>
    <s v="Vikram Rao"/>
    <x v="0"/>
    <x v="10"/>
    <s v="North"/>
    <s v="Office Supplies"/>
    <s v="Calculator"/>
    <n v="2"/>
    <n v="0.2"/>
    <n v="1023.03"/>
    <n v="68.959999999999994"/>
    <x v="4"/>
    <b v="0"/>
    <b v="0"/>
    <b v="0"/>
    <m/>
  </r>
  <r>
    <n v="611"/>
    <s v="ORD-2025-0611"/>
    <d v="2025-07-16T00:00:00"/>
    <x v="7"/>
    <d v="2025-07-18T00:00:00"/>
    <s v="Standard"/>
    <s v="CUST-0218"/>
    <s v="Aarav Sharma"/>
    <x v="2"/>
    <x v="7"/>
    <s v="South"/>
    <s v="Home &amp; Kitchen"/>
    <s v="Storage Box"/>
    <n v="4"/>
    <n v="0"/>
    <n v="3497.2"/>
    <n v="777.57"/>
    <x v="4"/>
    <b v="0"/>
    <b v="0"/>
    <b v="0"/>
    <m/>
  </r>
  <r>
    <n v="612"/>
    <s v="ORD-2025-0612"/>
    <d v="2025-02-11T00:00:00"/>
    <x v="3"/>
    <d v="2025-02-15T00:00:00"/>
    <s v="Standard"/>
    <s v="CUST-0218"/>
    <s v="Rohan Mehta"/>
    <x v="1"/>
    <x v="2"/>
    <s v="West"/>
    <s v="Home &amp; Kitchen"/>
    <s v="Coffee Mug"/>
    <n v="2"/>
    <n v="0.05"/>
    <n v="582.21"/>
    <n v="117.69"/>
    <x v="0"/>
    <b v="0"/>
    <b v="0"/>
    <b v="0"/>
    <m/>
  </r>
  <r>
    <n v="613"/>
    <s v="ORD-2025-0613"/>
    <d v="2025-05-21T00:00:00"/>
    <x v="0"/>
    <d v="2025-05-23T00:00:00"/>
    <s v="Standard"/>
    <s v="CUST-0047"/>
    <s v="Aditya Kumar"/>
    <x v="0"/>
    <x v="6"/>
    <s v="South"/>
    <s v="Home &amp; Kitchen"/>
    <s v="Electric Kettle"/>
    <n v="3"/>
    <n v="0.05"/>
    <n v="5003.82"/>
    <n v="1566.31"/>
    <x v="3"/>
    <b v="0"/>
    <b v="0"/>
    <b v="0"/>
    <m/>
  </r>
  <r>
    <n v="614"/>
    <s v="ORD-2025-0614"/>
    <d v="2025-09-15T00:00:00"/>
    <x v="5"/>
    <d v="2025-09-18T00:00:00"/>
    <s v="Standard"/>
    <s v="CUST-0070"/>
    <s v="Nikhil Jain"/>
    <x v="1"/>
    <x v="10"/>
    <s v="North"/>
    <s v="Electronics"/>
    <s v="USB-C Hub"/>
    <n v="2"/>
    <n v="0.05"/>
    <n v="2873.99"/>
    <n v="422.1"/>
    <x v="1"/>
    <b v="0"/>
    <b v="0"/>
    <b v="0"/>
    <m/>
  </r>
  <r>
    <n v="615"/>
    <s v="ORD-2025-0615"/>
    <d v="2025-08-16T00:00:00"/>
    <x v="6"/>
    <d v="2025-08-17T00:00:00"/>
    <s v="Standard"/>
    <s v="CUST-0173"/>
    <s v="Sneha Reddy"/>
    <x v="0"/>
    <x v="2"/>
    <s v="West"/>
    <s v="Home &amp; Kitchen"/>
    <s v="Lunch Box"/>
    <n v="4"/>
    <n v="0.1"/>
    <n v="2549.2600000000002"/>
    <n v="564.32000000000005"/>
    <x v="4"/>
    <b v="0"/>
    <b v="0"/>
    <b v="0"/>
    <m/>
  </r>
  <r>
    <n v="616"/>
    <s v="ORD-2025-0616"/>
    <d v="2025-09-25T00:00:00"/>
    <x v="5"/>
    <d v="2025-09-28T00:00:00"/>
    <s v="Express"/>
    <s v="CUST-0086"/>
    <s v="Priya Nair"/>
    <x v="0"/>
    <x v="8"/>
    <s v="West"/>
    <s v="Furniture"/>
    <s v="Bookshelf"/>
    <n v="1"/>
    <n v="0.15"/>
    <n v="4073.28"/>
    <n v="1171.17"/>
    <x v="3"/>
    <b v="0"/>
    <b v="0"/>
    <b v="0"/>
    <m/>
  </r>
  <r>
    <n v="617"/>
    <s v="ORD-2025-0617"/>
    <d v="2025-12-02T00:00:00"/>
    <x v="4"/>
    <d v="2025-12-05T00:00:00"/>
    <s v="Standard"/>
    <s v="CUST-0009"/>
    <s v="Rohan Mehta"/>
    <x v="0"/>
    <x v="7"/>
    <s v="South"/>
    <s v="Electronics"/>
    <s v="Keyboard"/>
    <n v="2"/>
    <n v="0.15"/>
    <n v="2253.6799999999998"/>
    <n v="293.86"/>
    <x v="3"/>
    <b v="0"/>
    <b v="0"/>
    <b v="0"/>
    <m/>
  </r>
  <r>
    <n v="618"/>
    <s v="ORD-2025-0618"/>
    <d v="2025-10-24T00:00:00"/>
    <x v="9"/>
    <d v="2025-10-29T00:00:00"/>
    <s v="Standard"/>
    <s v="CUST-0083"/>
    <s v="Kavya Iyer"/>
    <x v="0"/>
    <x v="0"/>
    <s v="East"/>
    <s v="Furniture"/>
    <s v="Study Table"/>
    <n v="2"/>
    <n v="0.1"/>
    <n v="12881.55"/>
    <n v="1697.81"/>
    <x v="0"/>
    <b v="0"/>
    <b v="0"/>
    <b v="0"/>
    <m/>
  </r>
  <r>
    <n v="619"/>
    <s v="ORD-2025-0619"/>
    <d v="2025-04-21T00:00:00"/>
    <x v="10"/>
    <d v="2025-04-23T00:00:00"/>
    <s v="Express"/>
    <s v="CUST-0239"/>
    <s v="Ananya Singh"/>
    <x v="2"/>
    <x v="3"/>
    <s v="South"/>
    <s v="Electronics"/>
    <s v="Bluetooth Speaker"/>
    <n v="3"/>
    <n v="0.05"/>
    <n v="5596.51"/>
    <n v="1098.57"/>
    <x v="2"/>
    <b v="0"/>
    <b v="0"/>
    <b v="0"/>
    <m/>
  </r>
  <r>
    <n v="620"/>
    <s v="ORD-2025-0620"/>
    <d v="2025-01-29T00:00:00"/>
    <x v="1"/>
    <d v="2025-02-02T00:00:00"/>
    <s v="Standard"/>
    <s v="CUST-0072"/>
    <s v="Arjun Patel"/>
    <x v="0"/>
    <x v="11"/>
    <s v="West"/>
    <s v="Electronics"/>
    <s v="Wireless Mouse"/>
    <n v="2"/>
    <n v="0"/>
    <n v="1637.06"/>
    <n v="335.9"/>
    <x v="2"/>
    <b v="0"/>
    <b v="0"/>
    <b v="0"/>
    <m/>
  </r>
  <r>
    <n v="621"/>
    <s v="ORD-2025-0621"/>
    <d v="2025-01-29T00:00:00"/>
    <x v="1"/>
    <d v="2025-02-01T00:00:00"/>
    <s v="Standard"/>
    <s v="CUST-0067"/>
    <s v="Arjun Patel"/>
    <x v="1"/>
    <x v="10"/>
    <s v="North"/>
    <s v="Office Supplies"/>
    <s v="Pen Set"/>
    <n v="4"/>
    <n v="0.1"/>
    <n v="431.51"/>
    <n v="76"/>
    <x v="1"/>
    <b v="0"/>
    <b v="0"/>
    <b v="0"/>
    <m/>
  </r>
  <r>
    <n v="622"/>
    <s v="ORD-2025-0622"/>
    <d v="2025-11-29T00:00:00"/>
    <x v="2"/>
    <d v="2025-11-30T00:00:00"/>
    <s v="Standard"/>
    <s v="CUST-0209"/>
    <s v="Sneha Reddy"/>
    <x v="0"/>
    <x v="2"/>
    <s v="West"/>
    <s v="Office Supplies"/>
    <s v="Calculator"/>
    <n v="2"/>
    <n v="0.2"/>
    <n v="1033.58"/>
    <n v="159.28"/>
    <x v="2"/>
    <b v="0"/>
    <b v="0"/>
    <b v="0"/>
    <m/>
  </r>
  <r>
    <n v="623"/>
    <s v="ORD-2025-0623"/>
    <d v="2025-05-16T00:00:00"/>
    <x v="0"/>
    <d v="2025-05-19T00:00:00"/>
    <s v="Standard"/>
    <s v="CUST-0095"/>
    <s v="Rohan Mehta"/>
    <x v="1"/>
    <x v="8"/>
    <s v="West"/>
    <s v="Home &amp; Kitchen"/>
    <s v="Coffee Mug"/>
    <n v="4"/>
    <n v="0.1"/>
    <n v="1109.55"/>
    <n v="322.62"/>
    <x v="1"/>
    <b v="0"/>
    <b v="0"/>
    <b v="0"/>
    <m/>
  </r>
  <r>
    <n v="624"/>
    <s v="ORD-2025-0624"/>
    <d v="2025-03-30T00:00:00"/>
    <x v="11"/>
    <d v="2025-04-02T00:00:00"/>
    <s v="Express"/>
    <s v="CUST-0207"/>
    <s v="Kiran Joshi"/>
    <x v="1"/>
    <x v="8"/>
    <s v="West"/>
    <s v="Furniture"/>
    <s v="Folding Chair"/>
    <n v="2"/>
    <n v="0.05"/>
    <n v="3466.91"/>
    <n v="737.61"/>
    <x v="3"/>
    <b v="0"/>
    <b v="0"/>
    <b v="0"/>
    <m/>
  </r>
  <r>
    <n v="625"/>
    <s v="ORD-2025-0625"/>
    <d v="2025-12-19T00:00:00"/>
    <x v="4"/>
    <d v="2025-12-24T00:00:00"/>
    <s v="Same Day"/>
    <s v="CUST-0067"/>
    <s v="Vikram Rao"/>
    <x v="1"/>
    <x v="3"/>
    <s v="South"/>
    <s v="Home &amp; Kitchen"/>
    <s v="Lunch Box"/>
    <n v="2"/>
    <n v="0.1"/>
    <n v="1231.98"/>
    <n v="290.58999999999997"/>
    <x v="3"/>
    <b v="0"/>
    <b v="0"/>
    <b v="0"/>
    <m/>
  </r>
  <r>
    <n v="626"/>
    <s v="ORD-2025-0626"/>
    <d v="2025-10-23T00:00:00"/>
    <x v="9"/>
    <d v="2025-10-24T00:00:00"/>
    <s v="Standard"/>
    <s v="CUST-0003"/>
    <s v="Sneha Reddy"/>
    <x v="1"/>
    <x v="0"/>
    <s v="East"/>
    <s v="Furniture"/>
    <s v="Study Table"/>
    <n v="1"/>
    <n v="0.1"/>
    <n v="6342.89"/>
    <n v="969.97"/>
    <x v="1"/>
    <b v="0"/>
    <b v="0"/>
    <b v="0"/>
    <m/>
  </r>
  <r>
    <n v="627"/>
    <s v="ORD-2025-0627"/>
    <d v="2025-03-18T00:00:00"/>
    <x v="11"/>
    <d v="2025-03-19T00:00:00"/>
    <s v="Standard"/>
    <s v="CUST-0104"/>
    <s v="Sneha Reddy"/>
    <x v="1"/>
    <x v="5"/>
    <s v="North"/>
    <s v="Office Supplies"/>
    <s v="Calculator"/>
    <n v="4"/>
    <n v="0.05"/>
    <n v="2371.1999999999998"/>
    <n v="741.76"/>
    <x v="1"/>
    <b v="0"/>
    <b v="0"/>
    <b v="0"/>
    <m/>
  </r>
  <r>
    <n v="628"/>
    <s v="ORD-2025-0628"/>
    <d v="2025-11-12T00:00:00"/>
    <x v="2"/>
    <d v="2025-11-14T00:00:00"/>
    <s v="Standard"/>
    <s v="CUST-0218"/>
    <s v="Priya Nair"/>
    <x v="0"/>
    <x v="4"/>
    <s v="North"/>
    <s v="Electronics"/>
    <s v="Bluetooth Speaker"/>
    <n v="1"/>
    <n v="0.05"/>
    <n v="1726.9"/>
    <n v="187.14"/>
    <x v="0"/>
    <b v="0"/>
    <b v="0"/>
    <b v="0"/>
    <m/>
  </r>
  <r>
    <n v="629"/>
    <s v="ORD-2025-0629"/>
    <d v="2025-02-09T00:00:00"/>
    <x v="3"/>
    <d v="2025-02-12T00:00:00"/>
    <s v="Express"/>
    <s v="CUST-0086"/>
    <s v="Sneha Reddy"/>
    <x v="2"/>
    <x v="9"/>
    <s v="South"/>
    <s v="Furniture"/>
    <s v="Bookshelf"/>
    <n v="1"/>
    <n v="0.15"/>
    <n v="3990.28"/>
    <n v="713.32"/>
    <x v="1"/>
    <b v="0"/>
    <b v="0"/>
    <b v="0"/>
    <m/>
  </r>
  <r>
    <n v="630"/>
    <s v="ORD-2025-0630"/>
    <d v="2025-03-13T00:00:00"/>
    <x v="11"/>
    <d v="2025-03-17T00:00:00"/>
    <s v="Standard"/>
    <s v="CUST-0032"/>
    <s v="Ishita Roy"/>
    <x v="1"/>
    <x v="8"/>
    <s v="West"/>
    <s v="Office Supplies"/>
    <s v="Calculator"/>
    <n v="2"/>
    <n v="0.15"/>
    <n v="1067.8599999999999"/>
    <n v="70.510000000000005"/>
    <x v="1"/>
    <b v="0"/>
    <b v="0"/>
    <b v="0"/>
    <m/>
  </r>
  <r>
    <n v="631"/>
    <s v="ORD-2025-0631"/>
    <d v="2025-05-17T00:00:00"/>
    <x v="0"/>
    <d v="2025-05-21T00:00:00"/>
    <s v="Standard"/>
    <s v="CUST-0061"/>
    <s v="Meera Shah"/>
    <x v="0"/>
    <x v="5"/>
    <s v="North"/>
    <s v="Furniture"/>
    <s v="Study Table"/>
    <n v="3"/>
    <n v="0"/>
    <n v="20216.310000000001"/>
    <n v="5411.93"/>
    <x v="0"/>
    <b v="0"/>
    <b v="0"/>
    <b v="0"/>
    <m/>
  </r>
  <r>
    <n v="632"/>
    <s v="ORD-2025-0632"/>
    <d v="2025-02-26T00:00:00"/>
    <x v="3"/>
    <d v="2025-02-27T00:00:00"/>
    <s v="Express"/>
    <s v="CUST-0013"/>
    <s v="Sanjay Menon"/>
    <x v="0"/>
    <x v="10"/>
    <s v="North"/>
    <s v="Home &amp; Kitchen"/>
    <s v="Storage Box"/>
    <n v="2"/>
    <n v="0.2"/>
    <n v="1442.4"/>
    <n v="44.3"/>
    <x v="3"/>
    <b v="0"/>
    <b v="0"/>
    <b v="0"/>
    <m/>
  </r>
  <r>
    <n v="633"/>
    <s v="ORD-2025-0633"/>
    <d v="2025-04-11T00:00:00"/>
    <x v="10"/>
    <d v="2025-04-14T00:00:00"/>
    <s v="Express"/>
    <s v="CUST-0228"/>
    <s v="Pooja Das"/>
    <x v="0"/>
    <x v="8"/>
    <s v="West"/>
    <s v="Home &amp; Kitchen"/>
    <s v="Electric Kettle"/>
    <n v="1"/>
    <n v="0"/>
    <n v="1787.73"/>
    <n v="336.79"/>
    <x v="0"/>
    <b v="0"/>
    <b v="0"/>
    <b v="0"/>
    <m/>
  </r>
  <r>
    <n v="634"/>
    <s v="ORD-2025-0634"/>
    <d v="2025-02-02T00:00:00"/>
    <x v="3"/>
    <d v="2025-02-06T00:00:00"/>
    <s v="Standard"/>
    <s v="CUST-0028"/>
    <s v="Ananya Singh"/>
    <x v="2"/>
    <x v="11"/>
    <s v="West"/>
    <s v="Office Supplies"/>
    <s v="Desk Organizer"/>
    <n v="2"/>
    <n v="0.15"/>
    <n v="772.92"/>
    <n v="46.81"/>
    <x v="2"/>
    <b v="0"/>
    <b v="0"/>
    <b v="0"/>
    <m/>
  </r>
  <r>
    <n v="635"/>
    <s v="ORD-2025-0635"/>
    <d v="2025-06-24T00:00:00"/>
    <x v="8"/>
    <d v="2025-06-28T00:00:00"/>
    <s v="Standard"/>
    <s v="CUST-0018"/>
    <s v="Pooja Das"/>
    <x v="2"/>
    <x v="10"/>
    <s v="North"/>
    <s v="Electronics"/>
    <s v="Wireless Mouse"/>
    <n v="2"/>
    <n v="0.15"/>
    <n v="1342.17"/>
    <n v="34.78"/>
    <x v="1"/>
    <b v="0"/>
    <b v="0"/>
    <b v="0"/>
    <m/>
  </r>
  <r>
    <n v="636"/>
    <s v="ORD-2025-0636"/>
    <d v="2025-01-31T00:00:00"/>
    <x v="1"/>
    <d v="2025-02-05T00:00:00"/>
    <s v="Express"/>
    <s v="CUST-0235"/>
    <s v="Aditya Kumar"/>
    <x v="1"/>
    <x v="1"/>
    <s v="East"/>
    <s v="Office Supplies"/>
    <s v="Desk Organizer"/>
    <n v="2"/>
    <n v="0.1"/>
    <n v="817.02"/>
    <n v="146.63"/>
    <x v="0"/>
    <b v="0"/>
    <b v="0"/>
    <b v="0"/>
    <m/>
  </r>
  <r>
    <n v="637"/>
    <s v="ORD-2025-0637"/>
    <d v="2025-02-04T00:00:00"/>
    <x v="3"/>
    <d v="2025-02-07T00:00:00"/>
    <s v="Standard"/>
    <s v="CUST-0160"/>
    <s v="Shreya Kapoor"/>
    <x v="0"/>
    <x v="11"/>
    <s v="West"/>
    <s v="Office Supplies"/>
    <s v="Pen Set"/>
    <n v="2"/>
    <n v="0.2"/>
    <n v="188.85"/>
    <n v="13.14"/>
    <x v="1"/>
    <b v="0"/>
    <b v="0"/>
    <b v="0"/>
    <m/>
  </r>
  <r>
    <n v="638"/>
    <s v="ORD-2025-0638"/>
    <d v="2025-07-25T00:00:00"/>
    <x v="7"/>
    <d v="2025-07-26T00:00:00"/>
    <s v="Standard"/>
    <s v="CUST-0130"/>
    <s v="Sanjay Menon"/>
    <x v="2"/>
    <x v="6"/>
    <s v="South"/>
    <s v="Home &amp; Kitchen"/>
    <s v="Water Bottle"/>
    <n v="2"/>
    <n v="0.15"/>
    <n v="854.1"/>
    <n v="147.61000000000001"/>
    <x v="1"/>
    <b v="0"/>
    <b v="0"/>
    <b v="0"/>
    <m/>
  </r>
  <r>
    <n v="639"/>
    <s v="ORD-2025-0639"/>
    <d v="2025-10-25T00:00:00"/>
    <x v="9"/>
    <d v="2025-10-26T00:00:00"/>
    <s v="Standard"/>
    <s v="CUST-0165"/>
    <s v="Priya Nair"/>
    <x v="1"/>
    <x v="2"/>
    <s v="West"/>
    <s v="Home &amp; Kitchen"/>
    <s v="Coffee Mug"/>
    <n v="4"/>
    <n v="0"/>
    <n v="1166.1099999999999"/>
    <n v="224.49"/>
    <x v="3"/>
    <b v="0"/>
    <b v="0"/>
    <b v="0"/>
    <m/>
  </r>
  <r>
    <n v="640"/>
    <s v="ORD-2025-0640"/>
    <d v="2025-08-22T00:00:00"/>
    <x v="6"/>
    <d v="2025-08-27T00:00:00"/>
    <s v="Standard"/>
    <s v="CUST-0108"/>
    <s v="Neha Gupta"/>
    <x v="0"/>
    <x v="0"/>
    <s v="East"/>
    <s v="Furniture"/>
    <s v="Bookshelf"/>
    <n v="2"/>
    <n v="0.05"/>
    <n v="8803.5"/>
    <n v="2360.7199999999998"/>
    <x v="0"/>
    <b v="0"/>
    <b v="0"/>
    <b v="0"/>
    <m/>
  </r>
  <r>
    <n v="641"/>
    <s v="ORD-2025-0641"/>
    <d v="2025-10-23T00:00:00"/>
    <x v="9"/>
    <d v="2025-10-26T00:00:00"/>
    <s v="Standard"/>
    <s v="CUST-0112"/>
    <s v="Shreya Kapoor"/>
    <x v="0"/>
    <x v="10"/>
    <s v="North"/>
    <s v="Electronics"/>
    <s v="Keyboard"/>
    <n v="3"/>
    <n v="0.15"/>
    <n v="3349.17"/>
    <n v="253.97"/>
    <x v="1"/>
    <b v="0"/>
    <b v="0"/>
    <b v="0"/>
    <m/>
  </r>
  <r>
    <n v="642"/>
    <s v="ORD-2025-0642"/>
    <d v="2025-01-31T00:00:00"/>
    <x v="1"/>
    <d v="2025-02-05T00:00:00"/>
    <s v="Standard"/>
    <s v="CUST-0111"/>
    <s v="Arjun Patel"/>
    <x v="0"/>
    <x v="0"/>
    <s v="East"/>
    <s v="Office Supplies"/>
    <s v="Pen Set"/>
    <n v="1"/>
    <n v="0.1"/>
    <n v="111.48"/>
    <n v="32.04"/>
    <x v="1"/>
    <b v="0"/>
    <b v="0"/>
    <b v="0"/>
    <m/>
  </r>
  <r>
    <n v="643"/>
    <s v="ORD-2025-0643"/>
    <d v="2025-12-25T00:00:00"/>
    <x v="4"/>
    <d v="2025-12-30T00:00:00"/>
    <s v="Standard"/>
    <s v="CUST-0163"/>
    <s v="Neha Gupta"/>
    <x v="0"/>
    <x v="7"/>
    <s v="South"/>
    <s v="Office Supplies"/>
    <s v="Desk Organizer"/>
    <n v="3"/>
    <n v="0.1"/>
    <n v="1273.6500000000001"/>
    <n v="328.89"/>
    <x v="2"/>
    <b v="0"/>
    <b v="0"/>
    <b v="0"/>
    <m/>
  </r>
  <r>
    <n v="644"/>
    <s v="ORD-2025-0644"/>
    <d v="2025-08-03T00:00:00"/>
    <x v="6"/>
    <d v="2025-08-07T00:00:00"/>
    <s v="Standard"/>
    <s v="CUST-0195"/>
    <s v="Sanjay Menon"/>
    <x v="0"/>
    <x v="9"/>
    <s v="South"/>
    <s v="Home &amp; Kitchen"/>
    <s v="Storage Box"/>
    <n v="5"/>
    <n v="0"/>
    <n v="4491.5"/>
    <n v="912.9"/>
    <x v="1"/>
    <b v="0"/>
    <b v="0"/>
    <b v="0"/>
    <m/>
  </r>
  <r>
    <n v="645"/>
    <s v="ORD-2025-0645"/>
    <d v="2025-09-01T00:00:00"/>
    <x v="5"/>
    <d v="2025-09-02T00:00:00"/>
    <s v="Standard"/>
    <s v="CUST-0119"/>
    <s v="Manish Yadav"/>
    <x v="0"/>
    <x v="5"/>
    <s v="North"/>
    <s v="Electronics"/>
    <s v="Power Bank"/>
    <n v="1"/>
    <n v="0"/>
    <n v="1191.3599999999999"/>
    <n v="214.91"/>
    <x v="2"/>
    <b v="0"/>
    <b v="0"/>
    <b v="0"/>
    <m/>
  </r>
  <r>
    <n v="646"/>
    <s v="ORD-2025-0646"/>
    <d v="2025-07-16T00:00:00"/>
    <x v="7"/>
    <d v="2025-07-21T00:00:00"/>
    <s v="Standard"/>
    <s v="CUST-0019"/>
    <s v="Kiran Joshi"/>
    <x v="1"/>
    <x v="10"/>
    <s v="North"/>
    <s v="Electronics"/>
    <s v="Power Bank"/>
    <n v="1"/>
    <n v="0.2"/>
    <n v="1004.99"/>
    <n v="252.65"/>
    <x v="1"/>
    <b v="0"/>
    <b v="0"/>
    <b v="0"/>
    <m/>
  </r>
  <r>
    <n v="647"/>
    <s v="ORD-2025-0647"/>
    <d v="2025-08-24T00:00:00"/>
    <x v="6"/>
    <d v="2025-08-29T00:00:00"/>
    <s v="Same Day"/>
    <s v="CUST-0157"/>
    <s v="Priya Nair"/>
    <x v="2"/>
    <x v="11"/>
    <s v="West"/>
    <s v="Office Supplies"/>
    <s v="Pen Set"/>
    <n v="4"/>
    <n v="0"/>
    <n v="486"/>
    <n v="118.43"/>
    <x v="1"/>
    <b v="0"/>
    <b v="0"/>
    <b v="0"/>
    <m/>
  </r>
  <r>
    <n v="648"/>
    <s v="ORD-2025-0648"/>
    <d v="2025-12-14T00:00:00"/>
    <x v="4"/>
    <d v="2025-12-17T00:00:00"/>
    <s v="Standard"/>
    <s v="CUST-0244"/>
    <s v="Vikram Rao"/>
    <x v="0"/>
    <x v="11"/>
    <s v="West"/>
    <s v="Furniture"/>
    <s v="Bookshelf"/>
    <n v="2"/>
    <n v="0.15"/>
    <n v="7457.56"/>
    <n v="138.01"/>
    <x v="3"/>
    <b v="0"/>
    <b v="0"/>
    <b v="0"/>
    <m/>
  </r>
  <r>
    <n v="649"/>
    <s v="ORD-2025-0649"/>
    <d v="2025-08-10T00:00:00"/>
    <x v="6"/>
    <d v="2025-08-13T00:00:00"/>
    <s v="Standard"/>
    <s v="CUST-0007"/>
    <s v="Nikhil Jain"/>
    <x v="2"/>
    <x v="5"/>
    <s v="North"/>
    <s v="Electronics"/>
    <s v="Power Bank"/>
    <n v="4"/>
    <n v="0"/>
    <n v="4680.5200000000004"/>
    <n v="1688.84"/>
    <x v="2"/>
    <b v="0"/>
    <b v="0"/>
    <b v="0"/>
    <m/>
  </r>
  <r>
    <n v="650"/>
    <s v="ORD-2025-0650"/>
    <d v="2025-11-16T00:00:00"/>
    <x v="2"/>
    <d v="2025-11-18T00:00:00"/>
    <s v="Standard"/>
    <s v="CUST-0008"/>
    <s v="Rohan Mehta"/>
    <x v="1"/>
    <x v="6"/>
    <s v="South"/>
    <s v="Furniture"/>
    <s v="Folding Chair"/>
    <n v="3"/>
    <n v="0"/>
    <n v="5301.51"/>
    <n v="1049.78"/>
    <x v="0"/>
    <b v="0"/>
    <b v="0"/>
    <b v="0"/>
    <m/>
  </r>
  <r>
    <n v="651"/>
    <s v="ORD-2025-0651"/>
    <d v="2025-07-15T00:00:00"/>
    <x v="7"/>
    <d v="2025-07-16T00:00:00"/>
    <s v="Standard"/>
    <s v="CUST-0139"/>
    <s v="Nikhil Jain"/>
    <x v="2"/>
    <x v="4"/>
    <s v="North"/>
    <s v="Furniture"/>
    <s v="Study Table"/>
    <n v="5"/>
    <n v="0.1"/>
    <n v="32142.12"/>
    <n v="5297.9"/>
    <x v="3"/>
    <b v="0"/>
    <b v="0"/>
    <b v="0"/>
    <m/>
  </r>
  <r>
    <n v="652"/>
    <s v="ORD-2025-0652"/>
    <d v="2025-03-19T00:00:00"/>
    <x v="11"/>
    <d v="2025-03-23T00:00:00"/>
    <s v="Standard"/>
    <s v="CUST-0128"/>
    <s v="Kavya Iyer"/>
    <x v="0"/>
    <x v="3"/>
    <s v="South"/>
    <s v="Office Supplies"/>
    <s v="File Folder"/>
    <n v="3"/>
    <n v="0"/>
    <n v="279.26"/>
    <n v="90.32"/>
    <x v="2"/>
    <b v="0"/>
    <b v="0"/>
    <b v="0"/>
    <m/>
  </r>
  <r>
    <n v="653"/>
    <s v="ORD-2025-0653"/>
    <d v="2025-05-28T00:00:00"/>
    <x v="0"/>
    <d v="2025-05-30T00:00:00"/>
    <s v="Standard"/>
    <s v="CUST-0101"/>
    <s v="Shreya Kapoor"/>
    <x v="0"/>
    <x v="5"/>
    <s v="North"/>
    <s v="Office Supplies"/>
    <s v="Calculator"/>
    <n v="2"/>
    <n v="0.2"/>
    <n v="1030.69"/>
    <n v="164.87"/>
    <x v="3"/>
    <b v="0"/>
    <b v="0"/>
    <b v="0"/>
    <m/>
  </r>
  <r>
    <n v="654"/>
    <s v="ORD-2025-0654"/>
    <d v="2025-01-21T00:00:00"/>
    <x v="1"/>
    <d v="2025-01-24T00:00:00"/>
    <s v="Standard"/>
    <s v="CUST-0012"/>
    <s v="Vikram Rao"/>
    <x v="2"/>
    <x v="3"/>
    <s v="South"/>
    <s v="Home &amp; Kitchen"/>
    <s v="Storage Box"/>
    <n v="2"/>
    <n v="0.15"/>
    <n v="1493.36"/>
    <n v="71.099999999999994"/>
    <x v="1"/>
    <b v="0"/>
    <b v="0"/>
    <b v="0"/>
    <m/>
  </r>
  <r>
    <n v="655"/>
    <s v="ORD-2025-0655"/>
    <d v="2025-04-05T00:00:00"/>
    <x v="10"/>
    <d v="2025-04-08T00:00:00"/>
    <s v="Standard"/>
    <s v="CUST-0083"/>
    <s v="Pooja Das"/>
    <x v="1"/>
    <x v="1"/>
    <s v="East"/>
    <s v="Electronics"/>
    <s v="Bluetooth Speaker"/>
    <n v="3"/>
    <n v="0.2"/>
    <n v="4544.66"/>
    <n v="202.42"/>
    <x v="2"/>
    <b v="0"/>
    <b v="0"/>
    <b v="0"/>
    <m/>
  </r>
  <r>
    <n v="656"/>
    <s v="ORD-2025-0656"/>
    <d v="2025-10-06T00:00:00"/>
    <x v="9"/>
    <d v="2025-10-10T00:00:00"/>
    <s v="Standard"/>
    <s v="CUST-0229"/>
    <s v="Rohan Mehta"/>
    <x v="0"/>
    <x v="8"/>
    <s v="West"/>
    <s v="Office Supplies"/>
    <s v="File Folder"/>
    <n v="2"/>
    <n v="0.1"/>
    <n v="158.07"/>
    <n v="12.32"/>
    <x v="1"/>
    <b v="0"/>
    <b v="0"/>
    <b v="0"/>
    <m/>
  </r>
  <r>
    <n v="657"/>
    <s v="ORD-2025-0657"/>
    <d v="2025-10-09T00:00:00"/>
    <x v="9"/>
    <d v="2025-10-11T00:00:00"/>
    <s v="Standard"/>
    <s v="CUST-0098"/>
    <s v="Sanjay Menon"/>
    <x v="0"/>
    <x v="5"/>
    <s v="North"/>
    <s v="Home &amp; Kitchen"/>
    <s v="Storage Box"/>
    <n v="1"/>
    <n v="0"/>
    <n v="915.71"/>
    <n v="208.51"/>
    <x v="0"/>
    <b v="0"/>
    <b v="0"/>
    <b v="0"/>
    <m/>
  </r>
  <r>
    <n v="658"/>
    <s v="ORD-2025-0658"/>
    <d v="2025-10-19T00:00:00"/>
    <x v="9"/>
    <d v="2025-10-22T00:00:00"/>
    <s v="Standard"/>
    <s v="CUST-0068"/>
    <s v="Kiran Joshi"/>
    <x v="0"/>
    <x v="9"/>
    <s v="South"/>
    <s v="Home &amp; Kitchen"/>
    <s v="Lunch Box"/>
    <n v="3"/>
    <n v="0.15"/>
    <n v="1862.77"/>
    <n v="256.60000000000002"/>
    <x v="3"/>
    <b v="0"/>
    <b v="0"/>
    <b v="0"/>
    <m/>
  </r>
  <r>
    <n v="659"/>
    <s v="ORD-2025-0659"/>
    <d v="2025-05-05T00:00:00"/>
    <x v="0"/>
    <d v="2025-05-09T00:00:00"/>
    <s v="Express"/>
    <s v="CUST-0250"/>
    <s v="Pooja Das"/>
    <x v="0"/>
    <x v="10"/>
    <s v="North"/>
    <s v="Home &amp; Kitchen"/>
    <s v="Lunch Box"/>
    <n v="4"/>
    <n v="0"/>
    <n v="2779.44"/>
    <n v="718.92"/>
    <x v="1"/>
    <b v="0"/>
    <b v="0"/>
    <b v="0"/>
    <m/>
  </r>
  <r>
    <n v="660"/>
    <s v="ORD-2025-0660"/>
    <d v="2025-12-12T00:00:00"/>
    <x v="4"/>
    <d v="2025-12-17T00:00:00"/>
    <s v="Express"/>
    <s v="CUST-0042"/>
    <s v="Nikhil Jain"/>
    <x v="0"/>
    <x v="6"/>
    <s v="South"/>
    <s v="Home &amp; Kitchen"/>
    <s v="Coffee Mug"/>
    <n v="2"/>
    <n v="0"/>
    <n v="609.04999999999995"/>
    <n v="223.29"/>
    <x v="1"/>
    <b v="0"/>
    <b v="0"/>
    <b v="0"/>
    <m/>
  </r>
  <r>
    <n v="661"/>
    <s v="ORD-2025-0661"/>
    <d v="2025-04-22T00:00:00"/>
    <x v="10"/>
    <d v="2025-04-24T00:00:00"/>
    <s v="Same Day"/>
    <s v="CUST-0068"/>
    <s v="Kiran Joshi"/>
    <x v="0"/>
    <x v="1"/>
    <s v="East"/>
    <s v="Furniture"/>
    <s v="Office Chair"/>
    <n v="3"/>
    <n v="0.1"/>
    <n v="15573.84"/>
    <n v="3104.88"/>
    <x v="4"/>
    <b v="0"/>
    <b v="0"/>
    <b v="0"/>
    <m/>
  </r>
  <r>
    <n v="662"/>
    <s v="ORD-2025-0662"/>
    <d v="2025-07-16T00:00:00"/>
    <x v="7"/>
    <d v="2025-07-20T00:00:00"/>
    <s v="Standard"/>
    <s v="CUST-0009"/>
    <s v="Neha Gupta"/>
    <x v="2"/>
    <x v="4"/>
    <s v="North"/>
    <s v="Electronics"/>
    <s v="Keyboard"/>
    <n v="2"/>
    <n v="0.1"/>
    <n v="2380.63"/>
    <n v="736.86"/>
    <x v="3"/>
    <b v="0"/>
    <b v="0"/>
    <b v="0"/>
    <m/>
  </r>
  <r>
    <n v="663"/>
    <s v="ORD-2025-0663"/>
    <d v="2025-07-10T00:00:00"/>
    <x v="7"/>
    <d v="2025-07-13T00:00:00"/>
    <s v="Standard"/>
    <s v="CUST-0051"/>
    <s v="Ishita Roy"/>
    <x v="2"/>
    <x v="11"/>
    <s v="West"/>
    <s v="Office Supplies"/>
    <s v="Pen Set"/>
    <n v="2"/>
    <n v="0.15"/>
    <n v="212.59"/>
    <n v="48.39"/>
    <x v="1"/>
    <b v="0"/>
    <b v="0"/>
    <b v="0"/>
    <m/>
  </r>
  <r>
    <n v="664"/>
    <s v="ORD-2025-0664"/>
    <d v="2025-03-11T00:00:00"/>
    <x v="11"/>
    <d v="2025-03-14T00:00:00"/>
    <s v="Standard"/>
    <s v="CUST-0217"/>
    <s v="Nikhil Jain"/>
    <x v="0"/>
    <x v="7"/>
    <s v="South"/>
    <s v="Home &amp; Kitchen"/>
    <s v="Lunch Box"/>
    <n v="2"/>
    <n v="0.2"/>
    <n v="1138.3"/>
    <n v="111.59"/>
    <x v="1"/>
    <b v="0"/>
    <b v="0"/>
    <b v="0"/>
    <m/>
  </r>
  <r>
    <n v="665"/>
    <s v="ORD-2025-0665"/>
    <d v="2025-01-28T00:00:00"/>
    <x v="1"/>
    <d v="2025-01-30T00:00:00"/>
    <s v="Express"/>
    <s v="CUST-0185"/>
    <s v="Ananya Singh"/>
    <x v="2"/>
    <x v="6"/>
    <s v="South"/>
    <s v="Office Supplies"/>
    <s v="Desk Organizer"/>
    <n v="5"/>
    <n v="0.1"/>
    <n v="1964.03"/>
    <n v="460.89"/>
    <x v="1"/>
    <b v="0"/>
    <b v="0"/>
    <b v="0"/>
    <m/>
  </r>
  <r>
    <n v="666"/>
    <s v="ORD-2025-0666"/>
    <d v="2025-04-03T00:00:00"/>
    <x v="10"/>
    <d v="2025-04-08T00:00:00"/>
    <s v="Standard"/>
    <s v="CUST-0017"/>
    <s v="Neha Gupta"/>
    <x v="0"/>
    <x v="2"/>
    <s v="West"/>
    <s v="Electronics"/>
    <s v="Wireless Mouse"/>
    <n v="1"/>
    <n v="0"/>
    <n v="786.25"/>
    <n v="132.51"/>
    <x v="1"/>
    <b v="0"/>
    <b v="0"/>
    <b v="0"/>
    <m/>
  </r>
  <r>
    <n v="667"/>
    <s v="ORD-2025-0667"/>
    <d v="2025-08-04T00:00:00"/>
    <x v="6"/>
    <d v="2025-08-09T00:00:00"/>
    <s v="Standard"/>
    <s v="CUST-0134"/>
    <s v="Rahul Verma"/>
    <x v="2"/>
    <x v="5"/>
    <s v="North"/>
    <s v="Furniture"/>
    <s v="Study Table"/>
    <n v="2"/>
    <n v="0.05"/>
    <n v="13018.28"/>
    <n v="2723.59"/>
    <x v="1"/>
    <b v="0"/>
    <b v="0"/>
    <b v="0"/>
    <m/>
  </r>
  <r>
    <n v="668"/>
    <s v="ORD-2025-0668"/>
    <d v="2025-02-03T00:00:00"/>
    <x v="3"/>
    <d v="2025-02-05T00:00:00"/>
    <s v="Same Day"/>
    <s v="CUST-0157"/>
    <s v="Pooja Das"/>
    <x v="0"/>
    <x v="9"/>
    <s v="South"/>
    <s v="Office Supplies"/>
    <s v="Pen Set"/>
    <n v="1"/>
    <n v="0"/>
    <n v="123.73"/>
    <n v="25.79"/>
    <x v="3"/>
    <b v="0"/>
    <b v="0"/>
    <b v="0"/>
    <m/>
  </r>
  <r>
    <n v="669"/>
    <s v="ORD-2025-0669"/>
    <d v="2025-02-03T00:00:00"/>
    <x v="3"/>
    <d v="2025-02-08T00:00:00"/>
    <s v="Standard"/>
    <s v="CUST-0234"/>
    <s v="Sanjay Menon"/>
    <x v="1"/>
    <x v="1"/>
    <s v="East"/>
    <s v="Furniture"/>
    <s v="Study Table"/>
    <n v="3"/>
    <n v="0.2"/>
    <n v="17465.8"/>
    <n v="2978.31"/>
    <x v="3"/>
    <b v="0"/>
    <b v="0"/>
    <b v="0"/>
    <m/>
  </r>
  <r>
    <n v="670"/>
    <s v="ORD-2025-0670"/>
    <d v="2025-09-11T00:00:00"/>
    <x v="5"/>
    <d v="2025-09-16T00:00:00"/>
    <s v="Express"/>
    <s v="CUST-0018"/>
    <s v="Rahul Verma"/>
    <x v="1"/>
    <x v="2"/>
    <s v="West"/>
    <s v="Electronics"/>
    <s v="Power Bank"/>
    <n v="3"/>
    <n v="0.1"/>
    <n v="3302.93"/>
    <n v="502.52"/>
    <x v="2"/>
    <b v="0"/>
    <b v="0"/>
    <b v="0"/>
    <m/>
  </r>
  <r>
    <n v="671"/>
    <s v="ORD-2025-0671"/>
    <d v="2025-10-20T00:00:00"/>
    <x v="9"/>
    <d v="2025-10-25T00:00:00"/>
    <s v="Express"/>
    <s v="CUST-0156"/>
    <s v="Ishita Roy"/>
    <x v="0"/>
    <x v="11"/>
    <s v="West"/>
    <s v="Electronics"/>
    <s v="Power Bank"/>
    <n v="3"/>
    <n v="0.05"/>
    <n v="3260.16"/>
    <n v="748.91"/>
    <x v="1"/>
    <b v="0"/>
    <b v="0"/>
    <b v="0"/>
    <m/>
  </r>
  <r>
    <n v="672"/>
    <s v="ORD-2025-0672"/>
    <d v="2025-02-25T00:00:00"/>
    <x v="3"/>
    <d v="2025-02-28T00:00:00"/>
    <s v="Express"/>
    <s v="CUST-0191"/>
    <s v="Neha Gupta"/>
    <x v="1"/>
    <x v="10"/>
    <s v="North"/>
    <s v="Home &amp; Kitchen"/>
    <s v="Water Bottle"/>
    <n v="1"/>
    <n v="0.05"/>
    <n v="486.3"/>
    <n v="174.73"/>
    <x v="1"/>
    <b v="0"/>
    <b v="0"/>
    <b v="0"/>
    <m/>
  </r>
  <r>
    <n v="673"/>
    <s v="ORD-2025-0673"/>
    <d v="2025-01-29T00:00:00"/>
    <x v="1"/>
    <d v="2025-01-31T00:00:00"/>
    <s v="Standard"/>
    <s v="CUST-0184"/>
    <s v="Nikhil Jain"/>
    <x v="0"/>
    <x v="11"/>
    <s v="West"/>
    <s v="Furniture"/>
    <s v="Desk Lamp"/>
    <n v="3"/>
    <n v="0.1"/>
    <n v="3642.58"/>
    <n v="720.43"/>
    <x v="1"/>
    <b v="0"/>
    <b v="0"/>
    <b v="0"/>
    <m/>
  </r>
  <r>
    <n v="674"/>
    <s v="ORD-2025-0674"/>
    <d v="2025-04-24T00:00:00"/>
    <x v="10"/>
    <d v="2025-04-27T00:00:00"/>
    <s v="Standard"/>
    <s v="CUST-0013"/>
    <s v="Pooja Das"/>
    <x v="0"/>
    <x v="2"/>
    <s v="West"/>
    <s v="Office Supplies"/>
    <s v="Notebook"/>
    <n v="4"/>
    <n v="0.05"/>
    <n v="707.76"/>
    <n v="197.82"/>
    <x v="0"/>
    <b v="0"/>
    <b v="0"/>
    <b v="0"/>
    <m/>
  </r>
  <r>
    <n v="675"/>
    <s v="ORD-2025-0675"/>
    <d v="2025-05-20T00:00:00"/>
    <x v="0"/>
    <d v="2025-05-22T00:00:00"/>
    <s v="Standard"/>
    <s v="CUST-0041"/>
    <s v="Kiran Joshi"/>
    <x v="1"/>
    <x v="10"/>
    <s v="North"/>
    <s v="Furniture"/>
    <s v="Desk Lamp"/>
    <n v="1"/>
    <n v="0.15"/>
    <n v="1117.1500000000001"/>
    <n v="144.35"/>
    <x v="1"/>
    <b v="0"/>
    <b v="0"/>
    <b v="0"/>
    <m/>
  </r>
  <r>
    <n v="676"/>
    <s v="ORD-2025-0676"/>
    <d v="2025-08-31T00:00:00"/>
    <x v="6"/>
    <d v="2025-09-03T00:00:00"/>
    <s v="Express"/>
    <s v="CUST-0123"/>
    <s v="Ishita Roy"/>
    <x v="1"/>
    <x v="1"/>
    <s v="East"/>
    <s v="Furniture"/>
    <s v="Folding Chair"/>
    <n v="2"/>
    <n v="0.15"/>
    <n v="3137.3"/>
    <n v="335.44"/>
    <x v="4"/>
    <b v="0"/>
    <b v="0"/>
    <b v="0"/>
    <m/>
  </r>
  <r>
    <n v="677"/>
    <s v="ORD-2025-0677"/>
    <d v="2025-02-27T00:00:00"/>
    <x v="3"/>
    <d v="2025-03-03T00:00:00"/>
    <s v="Standard"/>
    <s v="CUST-0024"/>
    <s v="Kavya Iyer"/>
    <x v="0"/>
    <x v="2"/>
    <s v="West"/>
    <s v="Home &amp; Kitchen"/>
    <s v="Storage Box"/>
    <n v="2"/>
    <n v="0"/>
    <n v="1718.75"/>
    <n v="566.09"/>
    <x v="2"/>
    <b v="0"/>
    <b v="0"/>
    <b v="0"/>
    <m/>
  </r>
  <r>
    <n v="678"/>
    <s v="ORD-2025-0678"/>
    <d v="2025-12-25T00:00:00"/>
    <x v="4"/>
    <d v="2025-12-30T00:00:00"/>
    <s v="Express"/>
    <s v="CUST-0004"/>
    <s v="Kavya Iyer"/>
    <x v="0"/>
    <x v="10"/>
    <s v="North"/>
    <s v="Electronics"/>
    <s v="Power Bank"/>
    <n v="4"/>
    <n v="0.2"/>
    <n v="3953.08"/>
    <n v="565.37"/>
    <x v="1"/>
    <b v="0"/>
    <b v="0"/>
    <b v="0"/>
    <m/>
  </r>
  <r>
    <n v="679"/>
    <s v="ORD-2025-0679"/>
    <d v="2025-09-04T00:00:00"/>
    <x v="5"/>
    <d v="2025-09-06T00:00:00"/>
    <s v="Express"/>
    <s v="CUST-0108"/>
    <s v="Kavya Iyer"/>
    <x v="0"/>
    <x v="0"/>
    <s v="East"/>
    <s v="Furniture"/>
    <s v="Study Table"/>
    <n v="1"/>
    <n v="0"/>
    <n v="7326.6"/>
    <n v="1933.19"/>
    <x v="2"/>
    <b v="0"/>
    <b v="0"/>
    <b v="0"/>
    <m/>
  </r>
  <r>
    <n v="680"/>
    <s v="ORD-2025-0680"/>
    <d v="2025-09-25T00:00:00"/>
    <x v="5"/>
    <d v="2025-09-28T00:00:00"/>
    <s v="Standard"/>
    <s v="CUST-0089"/>
    <s v="Divya Rao"/>
    <x v="0"/>
    <x v="7"/>
    <s v="South"/>
    <s v="Home &amp; Kitchen"/>
    <s v="Lunch Box"/>
    <n v="4"/>
    <n v="0.1"/>
    <n v="2461.52"/>
    <n v="431.14"/>
    <x v="3"/>
    <b v="0"/>
    <b v="0"/>
    <b v="0"/>
    <m/>
  </r>
  <r>
    <n v="681"/>
    <s v="ORD-2025-0681"/>
    <d v="2025-03-12T00:00:00"/>
    <x v="11"/>
    <d v="2025-03-15T00:00:00"/>
    <s v="Standard"/>
    <s v="CUST-0207"/>
    <s v="Ishita Roy"/>
    <x v="1"/>
    <x v="1"/>
    <s v="East"/>
    <s v="Office Supplies"/>
    <s v="Pen Set"/>
    <n v="2"/>
    <n v="0.15"/>
    <n v="196.99"/>
    <n v="27.21"/>
    <x v="1"/>
    <b v="0"/>
    <b v="0"/>
    <b v="0"/>
    <m/>
  </r>
  <r>
    <n v="682"/>
    <s v="ORD-2025-0682"/>
    <d v="2025-01-18T00:00:00"/>
    <x v="1"/>
    <d v="2025-01-23T00:00:00"/>
    <s v="Express"/>
    <s v="CUST-0222"/>
    <s v="Pooja Das"/>
    <x v="1"/>
    <x v="10"/>
    <s v="North"/>
    <s v="Electronics"/>
    <s v="Bluetooth Speaker"/>
    <n v="2"/>
    <n v="0.1"/>
    <n v="3305.63"/>
    <n v="447.33"/>
    <x v="1"/>
    <b v="0"/>
    <b v="0"/>
    <b v="0"/>
    <m/>
  </r>
  <r>
    <n v="683"/>
    <s v="ORD-2025-0683"/>
    <d v="2025-09-22T00:00:00"/>
    <x v="5"/>
    <d v="2025-09-25T00:00:00"/>
    <s v="Standard"/>
    <s v="CUST-0048"/>
    <s v="Arjun Patel"/>
    <x v="0"/>
    <x v="11"/>
    <s v="West"/>
    <s v="Office Supplies"/>
    <s v="Calculator"/>
    <n v="5"/>
    <n v="0.15"/>
    <n v="2783.95"/>
    <n v="536.37"/>
    <x v="0"/>
    <b v="0"/>
    <b v="0"/>
    <b v="0"/>
    <m/>
  </r>
  <r>
    <n v="684"/>
    <s v="ORD-2025-0684"/>
    <d v="2025-02-06T00:00:00"/>
    <x v="3"/>
    <d v="2025-02-11T00:00:00"/>
    <s v="Standard"/>
    <s v="CUST-0196"/>
    <s v="Manish Yadav"/>
    <x v="2"/>
    <x v="2"/>
    <s v="West"/>
    <s v="Furniture"/>
    <s v="Study Table"/>
    <n v="4"/>
    <n v="0.2"/>
    <n v="21425.84"/>
    <n v="4059.45"/>
    <x v="2"/>
    <b v="0"/>
    <b v="0"/>
    <b v="0"/>
    <m/>
  </r>
  <r>
    <n v="685"/>
    <s v="ORD-2025-0685"/>
    <d v="2025-12-29T00:00:00"/>
    <x v="4"/>
    <d v="2025-12-30T00:00:00"/>
    <s v="Standard"/>
    <s v="CUST-0096"/>
    <s v="Sanjay Menon"/>
    <x v="0"/>
    <x v="7"/>
    <s v="South"/>
    <s v="Home &amp; Kitchen"/>
    <s v="Coffee Mug"/>
    <n v="4"/>
    <n v="0.05"/>
    <n v="1096.42"/>
    <n v="218.12"/>
    <x v="2"/>
    <b v="0"/>
    <b v="0"/>
    <b v="0"/>
    <m/>
  </r>
  <r>
    <n v="686"/>
    <s v="ORD-2025-0686"/>
    <d v="2025-07-24T00:00:00"/>
    <x v="7"/>
    <d v="2025-07-27T00:00:00"/>
    <s v="Standard"/>
    <s v="CUST-0028"/>
    <s v="Meera Shah"/>
    <x v="0"/>
    <x v="8"/>
    <s v="West"/>
    <s v="Electronics"/>
    <s v="Bluetooth Speaker"/>
    <n v="1"/>
    <n v="0.2"/>
    <n v="1450.27"/>
    <n v="171.77"/>
    <x v="1"/>
    <b v="0"/>
    <b v="0"/>
    <b v="0"/>
    <m/>
  </r>
  <r>
    <n v="687"/>
    <s v="ORD-2025-0687"/>
    <d v="2025-10-08T00:00:00"/>
    <x v="9"/>
    <d v="2025-10-10T00:00:00"/>
    <s v="Standard"/>
    <s v="CUST-0136"/>
    <s v="Divya Rao"/>
    <x v="0"/>
    <x v="0"/>
    <s v="East"/>
    <s v="Furniture"/>
    <s v="Desk Lamp"/>
    <n v="1"/>
    <n v="0.15"/>
    <n v="1068.78"/>
    <n v="84.37"/>
    <x v="2"/>
    <b v="0"/>
    <b v="0"/>
    <b v="0"/>
    <m/>
  </r>
  <r>
    <n v="688"/>
    <s v="ORD-2025-0688"/>
    <d v="2025-02-25T00:00:00"/>
    <x v="3"/>
    <d v="2025-02-26T00:00:00"/>
    <s v="Standard"/>
    <s v="CUST-0221"/>
    <s v="Kiran Joshi"/>
    <x v="2"/>
    <x v="6"/>
    <s v="South"/>
    <s v="Furniture"/>
    <s v="Office Chair"/>
    <n v="2"/>
    <n v="0.2"/>
    <n v="8532.5300000000007"/>
    <n v="-141.31"/>
    <x v="1"/>
    <b v="0"/>
    <b v="0"/>
    <b v="0"/>
    <m/>
  </r>
  <r>
    <n v="689"/>
    <s v="ORD-2025-0689"/>
    <d v="2025-06-04T00:00:00"/>
    <x v="8"/>
    <d v="2025-06-07T00:00:00"/>
    <s v="Standard"/>
    <s v="CUST-0012"/>
    <s v="Shreya Kapoor"/>
    <x v="0"/>
    <x v="8"/>
    <s v="West"/>
    <s v="Home &amp; Kitchen"/>
    <s v="Lunch Box"/>
    <n v="1"/>
    <n v="0.1"/>
    <n v="598.61"/>
    <n v="134.46"/>
    <x v="4"/>
    <b v="0"/>
    <b v="0"/>
    <b v="0"/>
    <m/>
  </r>
  <r>
    <n v="690"/>
    <s v="ORD-2025-0690"/>
    <d v="2025-10-30T00:00:00"/>
    <x v="9"/>
    <d v="2025-11-04T00:00:00"/>
    <s v="Same Day"/>
    <s v="CUST-0015"/>
    <s v="Sneha Reddy"/>
    <x v="1"/>
    <x v="11"/>
    <s v="West"/>
    <s v="Furniture"/>
    <s v="Study Table"/>
    <n v="3"/>
    <n v="0.15"/>
    <n v="16960.47"/>
    <n v="2901.16"/>
    <x v="2"/>
    <b v="0"/>
    <b v="0"/>
    <b v="0"/>
    <m/>
  </r>
  <r>
    <n v="691"/>
    <s v="ORD-2025-0691"/>
    <d v="2025-03-02T00:00:00"/>
    <x v="11"/>
    <d v="2025-03-03T00:00:00"/>
    <s v="Standard"/>
    <s v="CUST-0244"/>
    <s v="Priya Nair"/>
    <x v="2"/>
    <x v="4"/>
    <s v="North"/>
    <s v="Electronics"/>
    <s v="Power Bank"/>
    <n v="1"/>
    <n v="0"/>
    <n v="1195.24"/>
    <n v="226.79"/>
    <x v="3"/>
    <b v="0"/>
    <b v="0"/>
    <b v="0"/>
    <m/>
  </r>
  <r>
    <n v="692"/>
    <s v="ORD-2025-0692"/>
    <d v="2025-09-03T00:00:00"/>
    <x v="5"/>
    <d v="2025-09-08T00:00:00"/>
    <s v="Standard"/>
    <s v="CUST-0060"/>
    <s v="Nikhil Jain"/>
    <x v="0"/>
    <x v="6"/>
    <s v="South"/>
    <s v="Electronics"/>
    <s v="Wireless Mouse"/>
    <n v="2"/>
    <n v="0.05"/>
    <n v="1547.07"/>
    <n v="304.79000000000002"/>
    <x v="2"/>
    <b v="0"/>
    <b v="0"/>
    <b v="0"/>
    <m/>
  </r>
  <r>
    <n v="693"/>
    <s v="ORD-2025-0693"/>
    <d v="2025-02-26T00:00:00"/>
    <x v="3"/>
    <d v="2025-03-03T00:00:00"/>
    <s v="Express"/>
    <s v="CUST-0179"/>
    <s v="Pooja Das"/>
    <x v="0"/>
    <x v="2"/>
    <s v="West"/>
    <s v="Furniture"/>
    <s v="Study Table"/>
    <n v="1"/>
    <n v="0.05"/>
    <n v="6930.5"/>
    <n v="1950.97"/>
    <x v="1"/>
    <b v="0"/>
    <b v="0"/>
    <b v="0"/>
    <m/>
  </r>
  <r>
    <n v="694"/>
    <s v="ORD-2025-0694"/>
    <d v="2025-01-04T00:00:00"/>
    <x v="1"/>
    <d v="2025-01-09T00:00:00"/>
    <s v="Same Day"/>
    <s v="CUST-0245"/>
    <s v="Rahul Verma"/>
    <x v="1"/>
    <x v="5"/>
    <s v="North"/>
    <s v="Office Supplies"/>
    <s v="Pen Set"/>
    <n v="1"/>
    <n v="0.1"/>
    <n v="109.94"/>
    <n v="20.3"/>
    <x v="2"/>
    <b v="0"/>
    <b v="0"/>
    <b v="0"/>
    <m/>
  </r>
  <r>
    <n v="695"/>
    <s v="ORD-2025-0695"/>
    <d v="2025-12-19T00:00:00"/>
    <x v="4"/>
    <d v="2025-12-23T00:00:00"/>
    <s v="Express"/>
    <s v="CUST-0007"/>
    <s v="Sneha Reddy"/>
    <x v="0"/>
    <x v="7"/>
    <s v="South"/>
    <s v="Office Supplies"/>
    <s v="File Folder"/>
    <n v="5"/>
    <n v="0.15"/>
    <n v="389.16"/>
    <n v="37.78"/>
    <x v="4"/>
    <b v="0"/>
    <b v="0"/>
    <b v="0"/>
    <m/>
  </r>
  <r>
    <n v="696"/>
    <s v="ORD-2025-0696"/>
    <d v="2025-12-29T00:00:00"/>
    <x v="4"/>
    <d v="2025-12-30T00:00:00"/>
    <s v="Express"/>
    <s v="CUST-0015"/>
    <s v="Neha Gupta"/>
    <x v="1"/>
    <x v="1"/>
    <s v="East"/>
    <s v="Office Supplies"/>
    <s v="File Folder"/>
    <n v="5"/>
    <n v="0.25"/>
    <n v="334.57"/>
    <n v="19.059999999999999"/>
    <x v="2"/>
    <b v="0"/>
    <b v="0"/>
    <b v="0"/>
    <m/>
  </r>
  <r>
    <n v="697"/>
    <s v="ORD-2025-0697"/>
    <d v="2025-04-30T00:00:00"/>
    <x v="10"/>
    <d v="2025-05-04T00:00:00"/>
    <s v="Same Day"/>
    <s v="CUST-0197"/>
    <s v="Arjun Patel"/>
    <x v="0"/>
    <x v="7"/>
    <s v="South"/>
    <s v="Home &amp; Kitchen"/>
    <s v="Electric Kettle"/>
    <n v="4"/>
    <n v="0.15"/>
    <n v="6107.6"/>
    <n v="865.99"/>
    <x v="1"/>
    <b v="0"/>
    <b v="0"/>
    <b v="0"/>
    <m/>
  </r>
  <r>
    <n v="698"/>
    <s v="ORD-2025-0698"/>
    <d v="2025-07-17T00:00:00"/>
    <x v="7"/>
    <d v="2025-07-20T00:00:00"/>
    <s v="Standard"/>
    <s v="CUST-0156"/>
    <s v="Ishita Roy"/>
    <x v="1"/>
    <x v="3"/>
    <s v="South"/>
    <s v="Office Supplies"/>
    <s v="File Folder"/>
    <n v="1"/>
    <n v="0.25"/>
    <n v="66.34"/>
    <n v="-1.33"/>
    <x v="0"/>
    <b v="0"/>
    <b v="0"/>
    <b v="0"/>
    <m/>
  </r>
  <r>
    <n v="699"/>
    <s v="ORD-2025-0699"/>
    <d v="2025-04-15T00:00:00"/>
    <x v="10"/>
    <d v="2025-04-16T00:00:00"/>
    <s v="Express"/>
    <s v="CUST-0003"/>
    <s v="Ananya Singh"/>
    <x v="0"/>
    <x v="9"/>
    <s v="South"/>
    <s v="Electronics"/>
    <s v="Wireless Mouse"/>
    <n v="2"/>
    <n v="0.2"/>
    <n v="1280.07"/>
    <n v="74.94"/>
    <x v="0"/>
    <b v="0"/>
    <b v="0"/>
    <b v="0"/>
    <m/>
  </r>
  <r>
    <n v="700"/>
    <s v="ORD-2025-0700"/>
    <d v="2025-03-06T00:00:00"/>
    <x v="11"/>
    <d v="2025-03-09T00:00:00"/>
    <s v="Express"/>
    <s v="CUST-0030"/>
    <s v="Neha Gupta"/>
    <x v="2"/>
    <x v="0"/>
    <s v="East"/>
    <s v="Furniture"/>
    <s v="Bookshelf"/>
    <n v="2"/>
    <n v="0.05"/>
    <n v="8302.3799999999992"/>
    <n v="1685.17"/>
    <x v="3"/>
    <b v="0"/>
    <b v="0"/>
    <b v="0"/>
    <m/>
  </r>
  <r>
    <n v="701"/>
    <s v="ORD-2025-0701"/>
    <d v="2025-04-15T00:00:00"/>
    <x v="10"/>
    <d v="2025-04-20T00:00:00"/>
    <s v="Same Day"/>
    <s v="CUST-0206"/>
    <s v="Kavya Iyer"/>
    <x v="2"/>
    <x v="4"/>
    <s v="North"/>
    <s v="Furniture"/>
    <s v="Bookshelf"/>
    <n v="2"/>
    <n v="0"/>
    <n v="9127.67"/>
    <n v="2373.33"/>
    <x v="2"/>
    <b v="0"/>
    <b v="0"/>
    <b v="0"/>
    <m/>
  </r>
  <r>
    <n v="702"/>
    <s v="ORD-2025-0702"/>
    <d v="2025-09-16T00:00:00"/>
    <x v="5"/>
    <d v="2025-09-19T00:00:00"/>
    <s v="Express"/>
    <s v="CUST-0089"/>
    <s v="Vikram Rao"/>
    <x v="0"/>
    <x v="9"/>
    <s v="South"/>
    <s v="Office Supplies"/>
    <s v="Calculator"/>
    <n v="4"/>
    <n v="0.1"/>
    <n v="2371.92"/>
    <n v="326.18"/>
    <x v="3"/>
    <b v="0"/>
    <b v="0"/>
    <b v="0"/>
    <m/>
  </r>
  <r>
    <n v="703"/>
    <s v="ORD-2025-0703"/>
    <d v="2025-10-18T00:00:00"/>
    <x v="9"/>
    <d v="2025-10-21T00:00:00"/>
    <s v="Standard"/>
    <s v="CUST-0139"/>
    <s v="Sanjay Menon"/>
    <x v="0"/>
    <x v="9"/>
    <s v="South"/>
    <s v="Electronics"/>
    <s v="Power Bank"/>
    <n v="2"/>
    <n v="0.25"/>
    <n v="1808.52"/>
    <n v="-132.44"/>
    <x v="1"/>
    <b v="0"/>
    <b v="0"/>
    <b v="0"/>
    <m/>
  </r>
  <r>
    <n v="704"/>
    <s v="ORD-2025-0704"/>
    <d v="2025-10-20T00:00:00"/>
    <x v="9"/>
    <d v="2025-10-21T00:00:00"/>
    <s v="Standard"/>
    <s v="CUST-0115"/>
    <s v="Pooja Das"/>
    <x v="0"/>
    <x v="4"/>
    <s v="North"/>
    <s v="Office Supplies"/>
    <s v="File Folder"/>
    <n v="2"/>
    <n v="0.1"/>
    <n v="165.54"/>
    <n v="46.25"/>
    <x v="1"/>
    <b v="0"/>
    <b v="0"/>
    <b v="0"/>
    <m/>
  </r>
  <r>
    <n v="705"/>
    <s v="ORD-2025-0705"/>
    <d v="2025-04-19T00:00:00"/>
    <x v="10"/>
    <d v="2025-04-21T00:00:00"/>
    <s v="Standard"/>
    <s v="CUST-0244"/>
    <s v="Manish Yadav"/>
    <x v="1"/>
    <x v="7"/>
    <s v="South"/>
    <s v="Office Supplies"/>
    <s v="File Folder"/>
    <n v="1"/>
    <n v="0"/>
    <n v="89.4"/>
    <n v="26.18"/>
    <x v="3"/>
    <b v="0"/>
    <b v="0"/>
    <b v="0"/>
    <m/>
  </r>
  <r>
    <n v="706"/>
    <s v="ORD-2025-0706"/>
    <d v="2025-01-04T00:00:00"/>
    <x v="1"/>
    <d v="2025-01-06T00:00:00"/>
    <s v="Standard"/>
    <s v="CUST-0019"/>
    <s v="Nikhil Jain"/>
    <x v="0"/>
    <x v="6"/>
    <s v="South"/>
    <s v="Furniture"/>
    <s v="Study Table"/>
    <n v="4"/>
    <n v="0"/>
    <n v="26692.12"/>
    <n v="8380.68"/>
    <x v="1"/>
    <b v="0"/>
    <b v="0"/>
    <b v="0"/>
    <m/>
  </r>
  <r>
    <n v="707"/>
    <s v="ORD-2025-0707"/>
    <d v="2025-11-02T00:00:00"/>
    <x v="2"/>
    <d v="2025-11-06T00:00:00"/>
    <s v="Standard"/>
    <s v="CUST-0039"/>
    <s v="Priya Nair"/>
    <x v="0"/>
    <x v="0"/>
    <s v="East"/>
    <s v="Electronics"/>
    <s v="Power Bank"/>
    <n v="1"/>
    <n v="0.1"/>
    <n v="1070.0999999999999"/>
    <n v="171.2"/>
    <x v="1"/>
    <b v="0"/>
    <b v="0"/>
    <b v="0"/>
    <m/>
  </r>
  <r>
    <n v="708"/>
    <s v="ORD-2025-0708"/>
    <d v="2025-03-31T00:00:00"/>
    <x v="11"/>
    <d v="2025-04-03T00:00:00"/>
    <s v="Standard"/>
    <s v="CUST-0209"/>
    <s v="Rohan Mehta"/>
    <x v="2"/>
    <x v="0"/>
    <s v="East"/>
    <s v="Home &amp; Kitchen"/>
    <s v="Coffee Mug"/>
    <n v="1"/>
    <n v="0"/>
    <n v="285.94"/>
    <n v="45.93"/>
    <x v="1"/>
    <b v="0"/>
    <b v="0"/>
    <b v="0"/>
    <m/>
  </r>
  <r>
    <n v="709"/>
    <s v="ORD-2025-0709"/>
    <d v="2025-03-27T00:00:00"/>
    <x v="11"/>
    <d v="2025-03-30T00:00:00"/>
    <s v="Standard"/>
    <s v="CUST-0250"/>
    <s v="Divya Rao"/>
    <x v="0"/>
    <x v="8"/>
    <s v="West"/>
    <s v="Electronics"/>
    <s v="USB-C Hub"/>
    <n v="4"/>
    <n v="0.2"/>
    <n v="4904.05"/>
    <n v="220.01"/>
    <x v="0"/>
    <b v="0"/>
    <b v="0"/>
    <b v="0"/>
    <m/>
  </r>
  <r>
    <n v="710"/>
    <s v="ORD-2025-0710"/>
    <d v="2025-12-11T00:00:00"/>
    <x v="4"/>
    <d v="2025-12-15T00:00:00"/>
    <s v="Standard"/>
    <s v="CUST-0225"/>
    <s v="Pooja Das"/>
    <x v="2"/>
    <x v="1"/>
    <s v="East"/>
    <s v="Home &amp; Kitchen"/>
    <s v="Water Bottle"/>
    <n v="3"/>
    <n v="0.2"/>
    <n v="1175.23"/>
    <n v="21.44"/>
    <x v="2"/>
    <b v="0"/>
    <b v="0"/>
    <b v="0"/>
    <m/>
  </r>
  <r>
    <n v="711"/>
    <s v="ORD-2025-0711"/>
    <d v="2025-03-15T00:00:00"/>
    <x v="11"/>
    <d v="2025-03-19T00:00:00"/>
    <s v="Standard"/>
    <s v="CUST-0121"/>
    <s v="Aditya Kumar"/>
    <x v="0"/>
    <x v="1"/>
    <s v="East"/>
    <s v="Furniture"/>
    <s v="Study Table"/>
    <n v="2"/>
    <n v="0"/>
    <n v="13838.23"/>
    <n v="2410.0500000000002"/>
    <x v="3"/>
    <b v="0"/>
    <b v="0"/>
    <b v="0"/>
    <m/>
  </r>
  <r>
    <n v="712"/>
    <s v="ORD-2025-0712"/>
    <d v="2025-11-21T00:00:00"/>
    <x v="2"/>
    <d v="2025-11-24T00:00:00"/>
    <s v="Express"/>
    <s v="CUST-0192"/>
    <s v="Nikhil Jain"/>
    <x v="0"/>
    <x v="6"/>
    <s v="South"/>
    <s v="Furniture"/>
    <s v="Study Table"/>
    <n v="1"/>
    <n v="0.1"/>
    <n v="6570.95"/>
    <n v="1240.68"/>
    <x v="0"/>
    <b v="0"/>
    <b v="0"/>
    <b v="0"/>
    <m/>
  </r>
  <r>
    <n v="713"/>
    <s v="ORD-2025-0713"/>
    <d v="2025-10-31T00:00:00"/>
    <x v="9"/>
    <d v="2025-11-05T00:00:00"/>
    <s v="Standard"/>
    <s v="CUST-0235"/>
    <s v="Aarav Sharma"/>
    <x v="0"/>
    <x v="11"/>
    <s v="West"/>
    <s v="Home &amp; Kitchen"/>
    <s v="Storage Box"/>
    <n v="1"/>
    <n v="0"/>
    <n v="926.51"/>
    <n v="323.60000000000002"/>
    <x v="1"/>
    <b v="0"/>
    <b v="0"/>
    <b v="0"/>
    <m/>
  </r>
  <r>
    <n v="714"/>
    <s v="ORD-2025-0714"/>
    <d v="2025-07-11T00:00:00"/>
    <x v="7"/>
    <d v="2025-07-16T00:00:00"/>
    <s v="Standard"/>
    <s v="CUST-0014"/>
    <s v="Pooja Das"/>
    <x v="0"/>
    <x v="2"/>
    <s v="West"/>
    <s v="Office Supplies"/>
    <s v="Calculator"/>
    <n v="2"/>
    <n v="0"/>
    <n v="1279.0899999999999"/>
    <n v="444.21"/>
    <x v="4"/>
    <b v="0"/>
    <b v="0"/>
    <b v="0"/>
    <m/>
  </r>
  <r>
    <n v="715"/>
    <s v="ORD-2025-0715"/>
    <d v="2025-04-16T00:00:00"/>
    <x v="10"/>
    <d v="2025-04-19T00:00:00"/>
    <s v="Standard"/>
    <s v="CUST-0016"/>
    <s v="Nikhil Jain"/>
    <x v="0"/>
    <x v="6"/>
    <s v="South"/>
    <s v="Office Supplies"/>
    <s v="Calculator"/>
    <n v="2"/>
    <n v="0"/>
    <n v="1259.04"/>
    <n v="423.51"/>
    <x v="2"/>
    <b v="0"/>
    <b v="0"/>
    <b v="0"/>
    <m/>
  </r>
  <r>
    <n v="716"/>
    <s v="ORD-2025-0716"/>
    <d v="2025-01-01T00:00:00"/>
    <x v="1"/>
    <d v="2025-01-03T00:00:00"/>
    <s v="Standard"/>
    <s v="CUST-0108"/>
    <s v="Vikram Rao"/>
    <x v="2"/>
    <x v="10"/>
    <s v="North"/>
    <s v="Office Supplies"/>
    <s v="File Folder"/>
    <n v="1"/>
    <n v="0.1"/>
    <n v="80.81"/>
    <n v="11.26"/>
    <x v="2"/>
    <b v="0"/>
    <b v="0"/>
    <b v="0"/>
    <m/>
  </r>
  <r>
    <n v="717"/>
    <s v="ORD-2025-0717"/>
    <d v="2025-10-28T00:00:00"/>
    <x v="9"/>
    <d v="2025-10-31T00:00:00"/>
    <s v="Standard"/>
    <s v="CUST-0020"/>
    <s v="Sanjay Menon"/>
    <x v="0"/>
    <x v="4"/>
    <s v="North"/>
    <s v="Home &amp; Kitchen"/>
    <s v="Electric Kettle"/>
    <n v="1"/>
    <n v="0"/>
    <n v="1715.62"/>
    <n v="377.06"/>
    <x v="3"/>
    <b v="0"/>
    <b v="0"/>
    <b v="0"/>
    <m/>
  </r>
  <r>
    <n v="718"/>
    <s v="ORD-2025-0718"/>
    <d v="2025-04-14T00:00:00"/>
    <x v="10"/>
    <d v="2025-04-16T00:00:00"/>
    <s v="Standard"/>
    <s v="CUST-0216"/>
    <s v="Aarav Sharma"/>
    <x v="1"/>
    <x v="10"/>
    <s v="North"/>
    <s v="Office Supplies"/>
    <s v="Calculator"/>
    <n v="5"/>
    <n v="0"/>
    <n v="3222.93"/>
    <n v="957.41"/>
    <x v="1"/>
    <b v="0"/>
    <b v="0"/>
    <b v="0"/>
    <m/>
  </r>
  <r>
    <n v="719"/>
    <s v="ORD-2025-0719"/>
    <d v="2025-04-14T00:00:00"/>
    <x v="10"/>
    <d v="2025-04-19T00:00:00"/>
    <s v="Express"/>
    <s v="CUST-0222"/>
    <s v="Priya Nair"/>
    <x v="0"/>
    <x v="2"/>
    <s v="West"/>
    <s v="Furniture"/>
    <s v="Study Table"/>
    <n v="1"/>
    <n v="0.05"/>
    <n v="6349.28"/>
    <n v="1207.1199999999999"/>
    <x v="2"/>
    <b v="0"/>
    <b v="0"/>
    <b v="0"/>
    <m/>
  </r>
  <r>
    <n v="720"/>
    <s v="ORD-2025-0720"/>
    <d v="2025-06-26T00:00:00"/>
    <x v="8"/>
    <d v="2025-07-01T00:00:00"/>
    <s v="Standard"/>
    <s v="CUST-0046"/>
    <s v="Kavya Iyer"/>
    <x v="0"/>
    <x v="4"/>
    <s v="North"/>
    <s v="Home &amp; Kitchen"/>
    <s v="Coffee Mug"/>
    <n v="3"/>
    <n v="0"/>
    <n v="854.75"/>
    <n v="174.86"/>
    <x v="1"/>
    <b v="0"/>
    <b v="0"/>
    <b v="0"/>
    <m/>
  </r>
  <r>
    <n v="721"/>
    <s v="ORD-2025-0721"/>
    <d v="2025-02-15T00:00:00"/>
    <x v="3"/>
    <d v="2025-02-19T00:00:00"/>
    <s v="Standard"/>
    <s v="CUST-0003"/>
    <s v="Ishita Roy"/>
    <x v="2"/>
    <x v="2"/>
    <s v="West"/>
    <s v="Furniture"/>
    <s v="Office Chair"/>
    <n v="1"/>
    <n v="0.2"/>
    <n v="4184.8500000000004"/>
    <n v="10.86"/>
    <x v="1"/>
    <b v="0"/>
    <b v="0"/>
    <b v="0"/>
    <m/>
  </r>
  <r>
    <n v="722"/>
    <s v="ORD-2025-0722"/>
    <d v="2025-11-11T00:00:00"/>
    <x v="2"/>
    <d v="2025-11-13T00:00:00"/>
    <s v="Express"/>
    <s v="CUST-0109"/>
    <s v="Neha Gupta"/>
    <x v="2"/>
    <x v="2"/>
    <s v="West"/>
    <s v="Furniture"/>
    <s v="Folding Chair"/>
    <n v="4"/>
    <n v="0"/>
    <n v="7494.58"/>
    <n v="2789.02"/>
    <x v="0"/>
    <b v="0"/>
    <b v="0"/>
    <b v="0"/>
    <m/>
  </r>
  <r>
    <n v="723"/>
    <s v="ORD-2025-0723"/>
    <d v="2025-08-05T00:00:00"/>
    <x v="6"/>
    <d v="2025-08-09T00:00:00"/>
    <s v="Express"/>
    <s v="CUST-0095"/>
    <s v="Pooja Das"/>
    <x v="0"/>
    <x v="5"/>
    <s v="North"/>
    <s v="Office Supplies"/>
    <s v="File Folder"/>
    <n v="1"/>
    <n v="0"/>
    <n v="86.4"/>
    <n v="25.7"/>
    <x v="1"/>
    <b v="0"/>
    <b v="0"/>
    <b v="0"/>
    <m/>
  </r>
  <r>
    <n v="724"/>
    <s v="ORD-2025-0724"/>
    <d v="2025-05-21T00:00:00"/>
    <x v="0"/>
    <d v="2025-05-24T00:00:00"/>
    <s v="Standard"/>
    <s v="CUST-0078"/>
    <s v="Kavya Iyer"/>
    <x v="0"/>
    <x v="2"/>
    <s v="West"/>
    <s v="Office Supplies"/>
    <s v="Notebook"/>
    <n v="2"/>
    <n v="0.05"/>
    <n v="325.60000000000002"/>
    <n v="76.22"/>
    <x v="1"/>
    <b v="0"/>
    <b v="0"/>
    <b v="0"/>
    <m/>
  </r>
  <r>
    <n v="725"/>
    <s v="ORD-2025-0725"/>
    <d v="2025-03-02T00:00:00"/>
    <x v="11"/>
    <d v="2025-03-06T00:00:00"/>
    <s v="Standard"/>
    <s v="CUST-0095"/>
    <s v="Arjun Patel"/>
    <x v="1"/>
    <x v="10"/>
    <s v="North"/>
    <s v="Office Supplies"/>
    <s v="Pen Set"/>
    <n v="4"/>
    <n v="0"/>
    <n v="477.3"/>
    <n v="124.9"/>
    <x v="3"/>
    <b v="0"/>
    <b v="0"/>
    <b v="0"/>
    <m/>
  </r>
  <r>
    <n v="726"/>
    <s v="ORD-2025-0726"/>
    <d v="2025-05-06T00:00:00"/>
    <x v="0"/>
    <d v="2025-05-10T00:00:00"/>
    <s v="Express"/>
    <s v="CUST-0134"/>
    <s v="Ananya Singh"/>
    <x v="1"/>
    <x v="2"/>
    <s v="West"/>
    <s v="Furniture"/>
    <s v="Study Table"/>
    <n v="2"/>
    <n v="0.2"/>
    <n v="10759.75"/>
    <n v="902.7"/>
    <x v="2"/>
    <b v="0"/>
    <b v="0"/>
    <b v="0"/>
    <m/>
  </r>
  <r>
    <n v="727"/>
    <s v="ORD-2025-0727"/>
    <d v="2025-08-16T00:00:00"/>
    <x v="6"/>
    <d v="2025-08-20T00:00:00"/>
    <s v="Express"/>
    <s v="CUST-0173"/>
    <s v="Manish Yadav"/>
    <x v="1"/>
    <x v="10"/>
    <s v="North"/>
    <s v="Electronics"/>
    <s v="Power Bank"/>
    <n v="2"/>
    <n v="0.05"/>
    <n v="2190.29"/>
    <n v="552.75"/>
    <x v="0"/>
    <b v="0"/>
    <b v="0"/>
    <b v="0"/>
    <m/>
  </r>
  <r>
    <n v="728"/>
    <s v="ORD-2025-0728"/>
    <d v="2025-10-07T00:00:00"/>
    <x v="9"/>
    <d v="2025-10-09T00:00:00"/>
    <s v="Standard"/>
    <s v="CUST-0170"/>
    <s v="Arjun Patel"/>
    <x v="0"/>
    <x v="9"/>
    <s v="South"/>
    <s v="Electronics"/>
    <s v="USB-C Hub"/>
    <n v="1"/>
    <n v="0.2"/>
    <n v="1206.97"/>
    <n v="175.9"/>
    <x v="1"/>
    <b v="0"/>
    <b v="0"/>
    <b v="0"/>
    <m/>
  </r>
  <r>
    <n v="729"/>
    <s v="ORD-2025-0729"/>
    <d v="2025-03-30T00:00:00"/>
    <x v="11"/>
    <d v="2025-04-04T00:00:00"/>
    <s v="Standard"/>
    <s v="CUST-0150"/>
    <s v="Aditya Kumar"/>
    <x v="0"/>
    <x v="4"/>
    <s v="North"/>
    <s v="Home &amp; Kitchen"/>
    <s v="Lunch Box"/>
    <n v="3"/>
    <n v="0.25"/>
    <n v="1620.5"/>
    <n v="97.41"/>
    <x v="2"/>
    <b v="0"/>
    <b v="0"/>
    <b v="0"/>
    <m/>
  </r>
  <r>
    <n v="730"/>
    <s v="ORD-2025-0730"/>
    <d v="2025-09-09T00:00:00"/>
    <x v="5"/>
    <d v="2025-09-14T00:00:00"/>
    <s v="Express"/>
    <s v="CUST-0217"/>
    <s v="Divya Rao"/>
    <x v="0"/>
    <x v="7"/>
    <s v="South"/>
    <s v="Furniture"/>
    <s v="Folding Chair"/>
    <n v="1"/>
    <n v="0.15"/>
    <n v="1551.13"/>
    <n v="316"/>
    <x v="2"/>
    <b v="0"/>
    <b v="0"/>
    <b v="0"/>
    <m/>
  </r>
  <r>
    <n v="731"/>
    <s v="ORD-2025-0731"/>
    <d v="2025-06-28T00:00:00"/>
    <x v="8"/>
    <d v="2025-07-03T00:00:00"/>
    <s v="Standard"/>
    <s v="CUST-0181"/>
    <s v="Kiran Joshi"/>
    <x v="2"/>
    <x v="1"/>
    <s v="East"/>
    <s v="Office Supplies"/>
    <s v="Desk Organizer"/>
    <n v="3"/>
    <n v="0.1"/>
    <n v="1222.1400000000001"/>
    <n v="216.41"/>
    <x v="1"/>
    <b v="0"/>
    <b v="0"/>
    <b v="0"/>
    <m/>
  </r>
  <r>
    <n v="732"/>
    <s v="ORD-2025-0732"/>
    <d v="2025-05-01T00:00:00"/>
    <x v="0"/>
    <d v="2025-05-03T00:00:00"/>
    <s v="Standard"/>
    <s v="CUST-0201"/>
    <s v="Arjun Patel"/>
    <x v="1"/>
    <x v="3"/>
    <s v="South"/>
    <s v="Home &amp; Kitchen"/>
    <s v="Electric Kettle"/>
    <n v="2"/>
    <n v="0.15"/>
    <n v="3076.4"/>
    <n v="462.72"/>
    <x v="1"/>
    <b v="0"/>
    <b v="0"/>
    <b v="0"/>
    <m/>
  </r>
  <r>
    <n v="733"/>
    <s v="ORD-2025-0733"/>
    <d v="2025-07-06T00:00:00"/>
    <x v="7"/>
    <d v="2025-07-07T00:00:00"/>
    <s v="Express"/>
    <s v="CUST-0147"/>
    <s v="Manish Yadav"/>
    <x v="0"/>
    <x v="6"/>
    <s v="South"/>
    <s v="Office Supplies"/>
    <s v="Notebook"/>
    <n v="1"/>
    <n v="0.05"/>
    <n v="172.69"/>
    <n v="50.56"/>
    <x v="3"/>
    <b v="0"/>
    <b v="0"/>
    <b v="0"/>
    <m/>
  </r>
  <r>
    <n v="734"/>
    <s v="ORD-2025-0734"/>
    <d v="2025-03-03T00:00:00"/>
    <x v="11"/>
    <d v="2025-03-08T00:00:00"/>
    <s v="Standard"/>
    <s v="CUST-0019"/>
    <s v="Rohan Mehta"/>
    <x v="0"/>
    <x v="4"/>
    <s v="North"/>
    <s v="Electronics"/>
    <s v="Bluetooth Speaker"/>
    <n v="2"/>
    <n v="0.2"/>
    <n v="2899.09"/>
    <n v="330.5"/>
    <x v="3"/>
    <b v="0"/>
    <b v="0"/>
    <b v="0"/>
    <m/>
  </r>
  <r>
    <n v="735"/>
    <s v="ORD-2025-0735"/>
    <d v="2025-08-12T00:00:00"/>
    <x v="6"/>
    <d v="2025-08-17T00:00:00"/>
    <s v="Standard"/>
    <s v="CUST-0195"/>
    <s v="Sneha Reddy"/>
    <x v="2"/>
    <x v="11"/>
    <s v="West"/>
    <s v="Office Supplies"/>
    <s v="Notebook"/>
    <n v="3"/>
    <n v="0"/>
    <n v="565.71"/>
    <n v="203.17"/>
    <x v="0"/>
    <b v="0"/>
    <b v="0"/>
    <b v="0"/>
    <m/>
  </r>
  <r>
    <n v="736"/>
    <s v="ORD-2025-0736"/>
    <d v="2025-05-23T00:00:00"/>
    <x v="0"/>
    <d v="2025-05-24T00:00:00"/>
    <s v="Express"/>
    <s v="CUST-0046"/>
    <s v="Rahul Verma"/>
    <x v="2"/>
    <x v="3"/>
    <s v="South"/>
    <s v="Office Supplies"/>
    <s v="Desk Organizer"/>
    <n v="4"/>
    <n v="0.25"/>
    <n v="1330.8"/>
    <n v="-124.19"/>
    <x v="4"/>
    <b v="0"/>
    <b v="0"/>
    <b v="0"/>
    <m/>
  </r>
  <r>
    <n v="737"/>
    <s v="ORD-2025-0737"/>
    <d v="2025-05-21T00:00:00"/>
    <x v="0"/>
    <d v="2025-05-25T00:00:00"/>
    <s v="Express"/>
    <s v="CUST-0219"/>
    <s v="Arjun Patel"/>
    <x v="0"/>
    <x v="10"/>
    <s v="North"/>
    <s v="Home &amp; Kitchen"/>
    <s v="Storage Box"/>
    <n v="2"/>
    <n v="0.05"/>
    <n v="1627.9"/>
    <n v="465.74"/>
    <x v="2"/>
    <b v="0"/>
    <b v="0"/>
    <b v="0"/>
    <m/>
  </r>
  <r>
    <n v="738"/>
    <s v="ORD-2025-0738"/>
    <d v="2025-05-21T00:00:00"/>
    <x v="0"/>
    <d v="2025-05-26T00:00:00"/>
    <s v="Standard"/>
    <s v="CUST-0133"/>
    <s v="Kiran Joshi"/>
    <x v="2"/>
    <x v="1"/>
    <s v="East"/>
    <s v="Home &amp; Kitchen"/>
    <s v="Coffee Mug"/>
    <n v="3"/>
    <n v="0.15"/>
    <n v="749.55"/>
    <n v="57.97"/>
    <x v="4"/>
    <b v="0"/>
    <b v="0"/>
    <b v="0"/>
    <m/>
  </r>
  <r>
    <n v="739"/>
    <s v="ORD-2025-0739"/>
    <d v="2025-12-26T00:00:00"/>
    <x v="4"/>
    <d v="2025-12-31T00:00:00"/>
    <s v="Standard"/>
    <s v="CUST-0151"/>
    <s v="Sneha Reddy"/>
    <x v="1"/>
    <x v="3"/>
    <s v="South"/>
    <s v="Electronics"/>
    <s v="USB-C Hub"/>
    <n v="1"/>
    <n v="0.1"/>
    <n v="1399.3"/>
    <n v="383.3"/>
    <x v="3"/>
    <b v="0"/>
    <b v="0"/>
    <b v="0"/>
    <m/>
  </r>
  <r>
    <n v="740"/>
    <s v="ORD-2025-0740"/>
    <d v="2025-12-31T00:00:00"/>
    <x v="4"/>
    <d v="2026-01-01T00:00:00"/>
    <s v="Standard"/>
    <s v="CUST-0178"/>
    <s v="Pooja Das"/>
    <x v="0"/>
    <x v="2"/>
    <s v="West"/>
    <s v="Electronics"/>
    <s v="Keyboard"/>
    <n v="1"/>
    <n v="0.05"/>
    <n v="1225.76"/>
    <n v="292.27999999999997"/>
    <x v="3"/>
    <b v="0"/>
    <b v="0"/>
    <b v="0"/>
    <m/>
  </r>
  <r>
    <n v="741"/>
    <s v="ORD-2025-0741"/>
    <d v="2025-10-30T00:00:00"/>
    <x v="9"/>
    <d v="2025-11-01T00:00:00"/>
    <s v="Express"/>
    <s v="CUST-0160"/>
    <s v="Aarav Sharma"/>
    <x v="2"/>
    <x v="6"/>
    <s v="South"/>
    <s v="Office Supplies"/>
    <s v="File Folder"/>
    <n v="2"/>
    <n v="0.1"/>
    <n v="160.34"/>
    <n v="33.33"/>
    <x v="2"/>
    <b v="0"/>
    <b v="0"/>
    <b v="0"/>
    <m/>
  </r>
  <r>
    <n v="742"/>
    <s v="ORD-2025-0742"/>
    <d v="2025-03-09T00:00:00"/>
    <x v="11"/>
    <d v="2025-03-14T00:00:00"/>
    <s v="Standard"/>
    <s v="CUST-0156"/>
    <s v="Aarav Sharma"/>
    <x v="1"/>
    <x v="10"/>
    <s v="North"/>
    <s v="Furniture"/>
    <s v="Study Table"/>
    <n v="4"/>
    <n v="0"/>
    <n v="28526.83"/>
    <n v="7366.07"/>
    <x v="3"/>
    <b v="0"/>
    <b v="0"/>
    <b v="0"/>
    <m/>
  </r>
  <r>
    <n v="743"/>
    <s v="ORD-2025-0743"/>
    <d v="2025-12-28T00:00:00"/>
    <x v="4"/>
    <d v="2026-01-02T00:00:00"/>
    <s v="Express"/>
    <s v="CUST-0232"/>
    <s v="Rohan Mehta"/>
    <x v="0"/>
    <x v="3"/>
    <s v="South"/>
    <s v="Home &amp; Kitchen"/>
    <s v="Lunch Box"/>
    <n v="4"/>
    <n v="0.1"/>
    <n v="2398.4699999999998"/>
    <n v="569.74"/>
    <x v="4"/>
    <b v="0"/>
    <b v="0"/>
    <b v="0"/>
    <m/>
  </r>
  <r>
    <n v="744"/>
    <s v="ORD-2025-0744"/>
    <d v="2025-03-09T00:00:00"/>
    <x v="11"/>
    <d v="2025-03-14T00:00:00"/>
    <s v="Standard"/>
    <s v="CUST-0217"/>
    <s v="Nikhil Jain"/>
    <x v="0"/>
    <x v="1"/>
    <s v="East"/>
    <s v="Home &amp; Kitchen"/>
    <s v="Coffee Mug"/>
    <n v="2"/>
    <n v="0.2"/>
    <n v="469.33"/>
    <n v="20.100000000000001"/>
    <x v="3"/>
    <b v="0"/>
    <b v="0"/>
    <b v="0"/>
    <m/>
  </r>
  <r>
    <n v="745"/>
    <s v="ORD-2025-0745"/>
    <d v="2025-02-11T00:00:00"/>
    <x v="3"/>
    <d v="2025-02-12T00:00:00"/>
    <s v="Standard"/>
    <s v="CUST-0228"/>
    <s v="Vikram Rao"/>
    <x v="0"/>
    <x v="10"/>
    <s v="North"/>
    <s v="Electronics"/>
    <s v="Bluetooth Speaker"/>
    <n v="1"/>
    <n v="0.1"/>
    <n v="1715.07"/>
    <n v="405.33"/>
    <x v="1"/>
    <b v="0"/>
    <b v="0"/>
    <b v="0"/>
    <m/>
  </r>
  <r>
    <n v="746"/>
    <s v="ORD-2025-0746"/>
    <d v="2025-11-03T00:00:00"/>
    <x v="2"/>
    <d v="2025-11-08T00:00:00"/>
    <s v="Standard"/>
    <s v="CUST-0118"/>
    <s v="Nikhil Jain"/>
    <x v="1"/>
    <x v="8"/>
    <s v="West"/>
    <s v="Home &amp; Kitchen"/>
    <s v="Water Bottle"/>
    <n v="2"/>
    <n v="0.1"/>
    <n v="853.81"/>
    <n v="149.36000000000001"/>
    <x v="3"/>
    <b v="0"/>
    <b v="0"/>
    <b v="0"/>
    <m/>
  </r>
  <r>
    <n v="747"/>
    <s v="ORD-2025-0747"/>
    <d v="2025-02-16T00:00:00"/>
    <x v="3"/>
    <d v="2025-02-20T00:00:00"/>
    <s v="Express"/>
    <s v="CUST-0126"/>
    <s v="Ananya Singh"/>
    <x v="0"/>
    <x v="8"/>
    <s v="West"/>
    <s v="Home &amp; Kitchen"/>
    <s v="Electric Kettle"/>
    <n v="1"/>
    <n v="0.25"/>
    <n v="1283.9000000000001"/>
    <n v="-167.48"/>
    <x v="2"/>
    <b v="0"/>
    <b v="0"/>
    <b v="0"/>
    <m/>
  </r>
  <r>
    <n v="748"/>
    <s v="ORD-2025-0748"/>
    <d v="2025-10-19T00:00:00"/>
    <x v="9"/>
    <d v="2025-10-22T00:00:00"/>
    <s v="Express"/>
    <s v="CUST-0086"/>
    <s v="Manish Yadav"/>
    <x v="0"/>
    <x v="9"/>
    <s v="South"/>
    <s v="Home &amp; Kitchen"/>
    <s v="Lunch Box"/>
    <n v="2"/>
    <n v="0.2"/>
    <n v="1107.7"/>
    <n v="195.65"/>
    <x v="1"/>
    <b v="0"/>
    <b v="0"/>
    <b v="0"/>
    <m/>
  </r>
  <r>
    <n v="749"/>
    <s v="ORD-2025-0749"/>
    <d v="2025-01-24T00:00:00"/>
    <x v="1"/>
    <d v="2025-01-27T00:00:00"/>
    <s v="Standard"/>
    <s v="CUST-0190"/>
    <s v="Neha Gupta"/>
    <x v="1"/>
    <x v="6"/>
    <s v="South"/>
    <s v="Furniture"/>
    <s v="Office Chair"/>
    <n v="2"/>
    <n v="0.1"/>
    <n v="10304.81"/>
    <n v="1623.97"/>
    <x v="3"/>
    <b v="0"/>
    <b v="0"/>
    <b v="0"/>
    <m/>
  </r>
  <r>
    <n v="750"/>
    <s v="ORD-2025-0750"/>
    <d v="2025-09-13T00:00:00"/>
    <x v="5"/>
    <d v="2025-09-17T00:00:00"/>
    <s v="Standard"/>
    <s v="CUST-0084"/>
    <s v="Divya Rao"/>
    <x v="0"/>
    <x v="6"/>
    <s v="South"/>
    <s v="Electronics"/>
    <s v="Bluetooth Speaker"/>
    <n v="2"/>
    <n v="0.1"/>
    <n v="3334.83"/>
    <n v="888.66"/>
    <x v="2"/>
    <b v="0"/>
    <b v="0"/>
    <b v="0"/>
    <m/>
  </r>
  <r>
    <n v="751"/>
    <s v="ORD-2025-0751"/>
    <d v="2025-08-24T00:00:00"/>
    <x v="6"/>
    <d v="2025-08-26T00:00:00"/>
    <s v="Express"/>
    <s v="CUST-0149"/>
    <s v="Meera Shah"/>
    <x v="2"/>
    <x v="0"/>
    <s v="East"/>
    <s v="Electronics"/>
    <s v="USB-C Hub"/>
    <n v="1"/>
    <n v="0"/>
    <n v="1528.3"/>
    <n v="389.47"/>
    <x v="3"/>
    <b v="0"/>
    <b v="0"/>
    <b v="0"/>
    <m/>
  </r>
  <r>
    <n v="752"/>
    <s v="ORD-2025-0752"/>
    <d v="2025-10-06T00:00:00"/>
    <x v="9"/>
    <d v="2025-10-10T00:00:00"/>
    <s v="Express"/>
    <s v="CUST-0038"/>
    <s v="Manish Yadav"/>
    <x v="2"/>
    <x v="4"/>
    <s v="North"/>
    <s v="Office Supplies"/>
    <s v="Calculator"/>
    <n v="4"/>
    <n v="0.1"/>
    <n v="2273.61"/>
    <n v="241.87"/>
    <x v="1"/>
    <b v="0"/>
    <b v="0"/>
    <b v="0"/>
    <m/>
  </r>
  <r>
    <n v="753"/>
    <s v="ORD-2025-0753"/>
    <d v="2025-05-08T00:00:00"/>
    <x v="0"/>
    <d v="2025-05-11T00:00:00"/>
    <s v="Standard"/>
    <s v="CUST-0014"/>
    <s v="Ishita Roy"/>
    <x v="0"/>
    <x v="0"/>
    <s v="East"/>
    <s v="Electronics"/>
    <s v="Power Bank"/>
    <n v="3"/>
    <n v="0.1"/>
    <n v="3171.4"/>
    <n v="739.73"/>
    <x v="3"/>
    <b v="0"/>
    <b v="0"/>
    <b v="0"/>
    <m/>
  </r>
  <r>
    <n v="754"/>
    <s v="ORD-2025-0754"/>
    <d v="2025-09-05T00:00:00"/>
    <x v="5"/>
    <d v="2025-09-06T00:00:00"/>
    <s v="Standard"/>
    <s v="CUST-0038"/>
    <s v="Arjun Patel"/>
    <x v="1"/>
    <x v="10"/>
    <s v="North"/>
    <s v="Furniture"/>
    <s v="Folding Chair"/>
    <n v="1"/>
    <n v="0.05"/>
    <n v="1627.65"/>
    <n v="483.56"/>
    <x v="1"/>
    <b v="0"/>
    <b v="0"/>
    <b v="0"/>
    <m/>
  </r>
  <r>
    <n v="755"/>
    <s v="ORD-2025-0755"/>
    <d v="2025-08-16T00:00:00"/>
    <x v="6"/>
    <d v="2025-08-18T00:00:00"/>
    <s v="Standard"/>
    <s v="CUST-0021"/>
    <s v="Divya Rao"/>
    <x v="2"/>
    <x v="7"/>
    <s v="South"/>
    <s v="Home &amp; Kitchen"/>
    <s v="Storage Box"/>
    <n v="3"/>
    <n v="0.1"/>
    <n v="2430.2199999999998"/>
    <n v="462.03"/>
    <x v="0"/>
    <b v="0"/>
    <b v="0"/>
    <b v="0"/>
    <m/>
  </r>
  <r>
    <n v="756"/>
    <s v="ORD-2025-0756"/>
    <d v="2025-06-08T00:00:00"/>
    <x v="8"/>
    <d v="2025-06-13T00:00:00"/>
    <s v="Express"/>
    <s v="CUST-0096"/>
    <s v="Priya Nair"/>
    <x v="1"/>
    <x v="1"/>
    <s v="East"/>
    <s v="Home &amp; Kitchen"/>
    <s v="Lunch Box"/>
    <n v="1"/>
    <n v="0.05"/>
    <n v="687.06"/>
    <n v="183.06"/>
    <x v="1"/>
    <b v="0"/>
    <b v="0"/>
    <b v="0"/>
    <m/>
  </r>
  <r>
    <n v="757"/>
    <s v="ORD-2025-0757"/>
    <d v="2025-10-25T00:00:00"/>
    <x v="9"/>
    <d v="2025-10-29T00:00:00"/>
    <s v="Express"/>
    <s v="CUST-0008"/>
    <s v="Kiran Joshi"/>
    <x v="1"/>
    <x v="11"/>
    <s v="West"/>
    <s v="Office Supplies"/>
    <s v="Calculator"/>
    <n v="3"/>
    <n v="0.1"/>
    <n v="1772.93"/>
    <n v="371.65"/>
    <x v="1"/>
    <b v="0"/>
    <b v="0"/>
    <b v="0"/>
    <m/>
  </r>
  <r>
    <n v="758"/>
    <s v="ORD-2025-0758"/>
    <d v="2025-03-22T00:00:00"/>
    <x v="11"/>
    <d v="2025-03-25T00:00:00"/>
    <s v="Express"/>
    <s v="CUST-0111"/>
    <s v="Sanjay Menon"/>
    <x v="1"/>
    <x v="8"/>
    <s v="West"/>
    <s v="Home &amp; Kitchen"/>
    <s v="Coffee Mug"/>
    <n v="2"/>
    <n v="0"/>
    <n v="580.54"/>
    <n v="169.39"/>
    <x v="3"/>
    <b v="0"/>
    <b v="0"/>
    <b v="0"/>
    <m/>
  </r>
  <r>
    <n v="759"/>
    <s v="ORD-2025-0759"/>
    <d v="2025-04-27T00:00:00"/>
    <x v="10"/>
    <d v="2025-04-29T00:00:00"/>
    <s v="Express"/>
    <s v="CUST-0187"/>
    <s v="Rohan Mehta"/>
    <x v="1"/>
    <x v="8"/>
    <s v="West"/>
    <s v="Furniture"/>
    <s v="Office Chair"/>
    <n v="1"/>
    <n v="0.1"/>
    <n v="5045.74"/>
    <n v="1258.19"/>
    <x v="1"/>
    <b v="0"/>
    <b v="0"/>
    <b v="0"/>
    <m/>
  </r>
  <r>
    <n v="760"/>
    <s v="ORD-2025-0760"/>
    <d v="2025-02-20T00:00:00"/>
    <x v="3"/>
    <d v="2025-02-23T00:00:00"/>
    <s v="Standard"/>
    <s v="CUST-0156"/>
    <s v="Rohan Mehta"/>
    <x v="2"/>
    <x v="9"/>
    <s v="South"/>
    <s v="Home &amp; Kitchen"/>
    <s v="Storage Box"/>
    <n v="1"/>
    <n v="0.05"/>
    <n v="841.05"/>
    <n v="126.09"/>
    <x v="1"/>
    <b v="0"/>
    <b v="0"/>
    <b v="0"/>
    <m/>
  </r>
  <r>
    <n v="761"/>
    <s v="ORD-2025-0761"/>
    <d v="2025-10-21T00:00:00"/>
    <x v="9"/>
    <d v="2025-10-26T00:00:00"/>
    <s v="Standard"/>
    <s v="CUST-0111"/>
    <s v="Priya Nair"/>
    <x v="2"/>
    <x v="5"/>
    <s v="North"/>
    <s v="Home &amp; Kitchen"/>
    <s v="Water Bottle"/>
    <n v="2"/>
    <n v="0.2"/>
    <n v="773.97"/>
    <n v="98.35"/>
    <x v="2"/>
    <b v="0"/>
    <b v="0"/>
    <b v="0"/>
    <m/>
  </r>
  <r>
    <n v="762"/>
    <s v="ORD-2025-0762"/>
    <d v="2025-10-09T00:00:00"/>
    <x v="9"/>
    <d v="2025-10-13T00:00:00"/>
    <s v="Express"/>
    <s v="CUST-0100"/>
    <s v="Nikhil Jain"/>
    <x v="0"/>
    <x v="10"/>
    <s v="North"/>
    <s v="Furniture"/>
    <s v="Study Table"/>
    <n v="4"/>
    <n v="0"/>
    <n v="28542.81"/>
    <n v="8892.7099999999991"/>
    <x v="0"/>
    <b v="0"/>
    <b v="0"/>
    <b v="0"/>
    <m/>
  </r>
  <r>
    <n v="763"/>
    <s v="ORD-2025-0763"/>
    <d v="2025-03-08T00:00:00"/>
    <x v="11"/>
    <d v="2025-03-13T00:00:00"/>
    <s v="Same Day"/>
    <s v="CUST-0101"/>
    <s v="Vikram Rao"/>
    <x v="0"/>
    <x v="2"/>
    <s v="West"/>
    <s v="Furniture"/>
    <s v="Study Table"/>
    <n v="4"/>
    <n v="0.2"/>
    <n v="22312.01"/>
    <n v="1879.72"/>
    <x v="1"/>
    <b v="0"/>
    <b v="0"/>
    <b v="0"/>
    <m/>
  </r>
  <r>
    <n v="764"/>
    <s v="ORD-2025-0764"/>
    <d v="2025-07-10T00:00:00"/>
    <x v="7"/>
    <d v="2025-07-11T00:00:00"/>
    <s v="Standard"/>
    <s v="CUST-0113"/>
    <s v="Sneha Reddy"/>
    <x v="0"/>
    <x v="5"/>
    <s v="North"/>
    <s v="Office Supplies"/>
    <s v="Desk Organizer"/>
    <n v="1"/>
    <n v="0.2"/>
    <n v="353.24"/>
    <n v="73.11"/>
    <x v="3"/>
    <b v="0"/>
    <b v="0"/>
    <b v="0"/>
    <m/>
  </r>
  <r>
    <n v="765"/>
    <s v="ORD-2025-0765"/>
    <d v="2025-01-29T00:00:00"/>
    <x v="1"/>
    <d v="2025-02-03T00:00:00"/>
    <s v="Standard"/>
    <s v="CUST-0134"/>
    <s v="Kiran Joshi"/>
    <x v="0"/>
    <x v="7"/>
    <s v="South"/>
    <s v="Electronics"/>
    <s v="Wireless Mouse"/>
    <n v="3"/>
    <n v="0"/>
    <n v="2430.89"/>
    <n v="575.54999999999995"/>
    <x v="1"/>
    <b v="0"/>
    <b v="0"/>
    <b v="0"/>
    <m/>
  </r>
  <r>
    <n v="766"/>
    <s v="ORD-2025-0766"/>
    <d v="2025-06-05T00:00:00"/>
    <x v="8"/>
    <d v="2025-06-07T00:00:00"/>
    <s v="Same Day"/>
    <s v="CUST-0171"/>
    <s v="Aditya Kumar"/>
    <x v="2"/>
    <x v="4"/>
    <s v="North"/>
    <s v="Furniture"/>
    <s v="Office Chair"/>
    <n v="3"/>
    <n v="0.05"/>
    <n v="14981.81"/>
    <n v="3851.85"/>
    <x v="1"/>
    <b v="0"/>
    <b v="0"/>
    <b v="0"/>
    <m/>
  </r>
  <r>
    <n v="767"/>
    <s v="ORD-2025-0767"/>
    <d v="2025-01-06T00:00:00"/>
    <x v="1"/>
    <d v="2025-01-08T00:00:00"/>
    <s v="Same Day"/>
    <s v="CUST-0013"/>
    <s v="Sanjay Menon"/>
    <x v="1"/>
    <x v="1"/>
    <s v="East"/>
    <s v="Furniture"/>
    <s v="Desk Lamp"/>
    <n v="1"/>
    <n v="0.15"/>
    <n v="1127.8"/>
    <n v="304.36"/>
    <x v="3"/>
    <b v="0"/>
    <b v="0"/>
    <b v="0"/>
    <m/>
  </r>
  <r>
    <n v="768"/>
    <s v="ORD-2025-0768"/>
    <d v="2025-05-30T00:00:00"/>
    <x v="0"/>
    <d v="2025-06-02T00:00:00"/>
    <s v="Express"/>
    <s v="CUST-0031"/>
    <s v="Nikhil Jain"/>
    <x v="2"/>
    <x v="4"/>
    <s v="North"/>
    <s v="Electronics"/>
    <s v="USB-C Hub"/>
    <n v="2"/>
    <n v="0.1"/>
    <n v="2659.07"/>
    <n v="756.81"/>
    <x v="1"/>
    <b v="0"/>
    <b v="0"/>
    <b v="0"/>
    <m/>
  </r>
  <r>
    <n v="769"/>
    <s v="ORD-2025-0769"/>
    <d v="2025-01-09T00:00:00"/>
    <x v="1"/>
    <d v="2025-01-12T00:00:00"/>
    <s v="Express"/>
    <s v="CUST-0016"/>
    <s v="Arjun Patel"/>
    <x v="1"/>
    <x v="9"/>
    <s v="South"/>
    <s v="Furniture"/>
    <s v="Desk Lamp"/>
    <n v="2"/>
    <n v="0.1"/>
    <n v="2390.0100000000002"/>
    <n v="632.52"/>
    <x v="0"/>
    <b v="0"/>
    <b v="0"/>
    <b v="0"/>
    <m/>
  </r>
  <r>
    <n v="770"/>
    <s v="ORD-2025-0770"/>
    <d v="2025-09-22T00:00:00"/>
    <x v="5"/>
    <d v="2025-09-24T00:00:00"/>
    <s v="Standard"/>
    <s v="CUST-0010"/>
    <s v="Rohan Mehta"/>
    <x v="2"/>
    <x v="8"/>
    <s v="West"/>
    <s v="Electronics"/>
    <s v="Bluetooth Speaker"/>
    <n v="5"/>
    <n v="0.2"/>
    <n v="7296.68"/>
    <n v="1196.6300000000001"/>
    <x v="0"/>
    <b v="0"/>
    <b v="0"/>
    <b v="0"/>
    <m/>
  </r>
  <r>
    <n v="771"/>
    <s v="ORD-2025-0771"/>
    <d v="2025-12-22T00:00:00"/>
    <x v="4"/>
    <d v="2025-12-26T00:00:00"/>
    <s v="Standard"/>
    <s v="CUST-0197"/>
    <s v="Nikhil Jain"/>
    <x v="0"/>
    <x v="2"/>
    <s v="West"/>
    <s v="Furniture"/>
    <s v="Office Chair"/>
    <n v="2"/>
    <n v="0.1"/>
    <n v="9446.25"/>
    <n v="1860.98"/>
    <x v="3"/>
    <b v="0"/>
    <b v="0"/>
    <b v="0"/>
    <m/>
  </r>
  <r>
    <n v="772"/>
    <s v="ORD-2025-0772"/>
    <d v="2025-08-28T00:00:00"/>
    <x v="6"/>
    <d v="2025-09-01T00:00:00"/>
    <s v="Standard"/>
    <s v="CUST-0078"/>
    <s v="Ishita Roy"/>
    <x v="0"/>
    <x v="10"/>
    <s v="North"/>
    <s v="Home &amp; Kitchen"/>
    <s v="Electric Kettle"/>
    <n v="2"/>
    <n v="0.15"/>
    <n v="3072.2"/>
    <n v="157.77000000000001"/>
    <x v="3"/>
    <b v="0"/>
    <b v="0"/>
    <b v="0"/>
    <m/>
  </r>
  <r>
    <n v="773"/>
    <s v="ORD-2025-0773"/>
    <d v="2025-03-25T00:00:00"/>
    <x v="11"/>
    <d v="2025-03-27T00:00:00"/>
    <s v="Standard"/>
    <s v="CUST-0116"/>
    <s v="Neha Gupta"/>
    <x v="0"/>
    <x v="3"/>
    <s v="South"/>
    <s v="Electronics"/>
    <s v="Bluetooth Speaker"/>
    <n v="3"/>
    <n v="0.1"/>
    <n v="5200.2700000000004"/>
    <n v="1353.56"/>
    <x v="0"/>
    <b v="0"/>
    <b v="0"/>
    <b v="0"/>
    <m/>
  </r>
  <r>
    <n v="774"/>
    <s v="ORD-2025-0774"/>
    <d v="2025-06-05T00:00:00"/>
    <x v="8"/>
    <d v="2025-06-07T00:00:00"/>
    <s v="Standard"/>
    <s v="CUST-0180"/>
    <s v="Kiran Joshi"/>
    <x v="0"/>
    <x v="5"/>
    <s v="North"/>
    <s v="Home &amp; Kitchen"/>
    <s v="Electric Kettle"/>
    <n v="2"/>
    <n v="0.2"/>
    <n v="3019.12"/>
    <n v="105.41"/>
    <x v="1"/>
    <b v="0"/>
    <b v="0"/>
    <b v="0"/>
    <m/>
  </r>
  <r>
    <n v="775"/>
    <s v="ORD-2025-0775"/>
    <d v="2025-10-31T00:00:00"/>
    <x v="9"/>
    <d v="2025-11-03T00:00:00"/>
    <s v="Standard"/>
    <s v="CUST-0220"/>
    <s v="Pooja Das"/>
    <x v="0"/>
    <x v="4"/>
    <s v="North"/>
    <s v="Electronics"/>
    <s v="Bluetooth Speaker"/>
    <n v="3"/>
    <n v="0.1"/>
    <n v="4906.43"/>
    <n v="1134.58"/>
    <x v="1"/>
    <b v="0"/>
    <b v="0"/>
    <b v="0"/>
    <m/>
  </r>
  <r>
    <n v="776"/>
    <s v="ORD-2025-0776"/>
    <d v="2025-03-06T00:00:00"/>
    <x v="11"/>
    <d v="2025-03-09T00:00:00"/>
    <s v="Same Day"/>
    <s v="CUST-0005"/>
    <s v="Aarav Sharma"/>
    <x v="0"/>
    <x v="5"/>
    <s v="North"/>
    <s v="Office Supplies"/>
    <s v="Pen Set"/>
    <n v="3"/>
    <n v="0"/>
    <n v="354.17"/>
    <n v="108.65"/>
    <x v="3"/>
    <b v="0"/>
    <b v="0"/>
    <b v="0"/>
    <m/>
  </r>
  <r>
    <n v="777"/>
    <s v="ORD-2025-0777"/>
    <d v="2025-06-08T00:00:00"/>
    <x v="8"/>
    <d v="2025-06-12T00:00:00"/>
    <s v="Standard"/>
    <s v="CUST-0033"/>
    <s v="Sneha Reddy"/>
    <x v="0"/>
    <x v="5"/>
    <s v="North"/>
    <s v="Furniture"/>
    <s v="Folding Chair"/>
    <n v="4"/>
    <n v="0"/>
    <n v="7220.49"/>
    <n v="2213.2800000000002"/>
    <x v="4"/>
    <b v="0"/>
    <b v="0"/>
    <b v="0"/>
    <m/>
  </r>
  <r>
    <n v="778"/>
    <s v="ORD-2025-0778"/>
    <d v="2025-09-29T00:00:00"/>
    <x v="5"/>
    <d v="2025-10-01T00:00:00"/>
    <s v="Standard"/>
    <s v="CUST-0186"/>
    <s v="Divya Rao"/>
    <x v="0"/>
    <x v="2"/>
    <s v="West"/>
    <s v="Office Supplies"/>
    <s v="Desk Organizer"/>
    <n v="1"/>
    <n v="0"/>
    <n v="459.81"/>
    <n v="113.96"/>
    <x v="1"/>
    <b v="0"/>
    <b v="0"/>
    <b v="0"/>
    <m/>
  </r>
  <r>
    <n v="779"/>
    <s v="ORD-2025-0779"/>
    <d v="2025-03-09T00:00:00"/>
    <x v="11"/>
    <d v="2025-03-14T00:00:00"/>
    <s v="Express"/>
    <s v="CUST-0081"/>
    <s v="Ananya Singh"/>
    <x v="0"/>
    <x v="5"/>
    <s v="North"/>
    <s v="Electronics"/>
    <s v="Keyboard"/>
    <n v="3"/>
    <n v="0"/>
    <n v="3900.98"/>
    <n v="1385.19"/>
    <x v="1"/>
    <b v="0"/>
    <b v="0"/>
    <b v="0"/>
    <m/>
  </r>
  <r>
    <n v="780"/>
    <s v="ORD-2025-0780"/>
    <d v="2025-07-15T00:00:00"/>
    <x v="7"/>
    <d v="2025-07-20T00:00:00"/>
    <s v="Standard"/>
    <s v="CUST-0079"/>
    <s v="Ishita Roy"/>
    <x v="0"/>
    <x v="10"/>
    <s v="North"/>
    <s v="Office Supplies"/>
    <s v="Pen Set"/>
    <n v="1"/>
    <n v="0.2"/>
    <n v="93.39"/>
    <n v="7.22"/>
    <x v="1"/>
    <b v="0"/>
    <b v="0"/>
    <b v="0"/>
    <m/>
  </r>
  <r>
    <n v="781"/>
    <s v="ORD-2025-0781"/>
    <d v="2025-01-27T00:00:00"/>
    <x v="1"/>
    <d v="2025-01-28T00:00:00"/>
    <s v="Standard"/>
    <s v="CUST-0026"/>
    <s v="Vikram Rao"/>
    <x v="0"/>
    <x v="10"/>
    <s v="North"/>
    <s v="Electronics"/>
    <s v="Wireless Mouse"/>
    <n v="2"/>
    <n v="0.1"/>
    <n v="1488.58"/>
    <n v="272.06"/>
    <x v="1"/>
    <b v="0"/>
    <b v="0"/>
    <b v="0"/>
    <m/>
  </r>
  <r>
    <n v="782"/>
    <s v="ORD-2025-0782"/>
    <d v="2025-06-25T00:00:00"/>
    <x v="8"/>
    <d v="2025-06-26T00:00:00"/>
    <s v="Standard"/>
    <s v="CUST-0101"/>
    <s v="Priya Nair"/>
    <x v="0"/>
    <x v="8"/>
    <s v="West"/>
    <s v="Office Supplies"/>
    <s v="Notebook"/>
    <n v="2"/>
    <n v="0.05"/>
    <n v="326.52999999999997"/>
    <n v="75.58"/>
    <x v="2"/>
    <b v="0"/>
    <b v="0"/>
    <b v="0"/>
    <m/>
  </r>
  <r>
    <n v="783"/>
    <s v="ORD-2025-0783"/>
    <d v="2025-06-27T00:00:00"/>
    <x v="8"/>
    <d v="2025-06-30T00:00:00"/>
    <s v="Standard"/>
    <s v="CUST-0172"/>
    <s v="Ananya Singh"/>
    <x v="0"/>
    <x v="8"/>
    <s v="West"/>
    <s v="Electronics"/>
    <s v="Bluetooth Speaker"/>
    <n v="4"/>
    <n v="0"/>
    <n v="7583.54"/>
    <n v="2112.83"/>
    <x v="3"/>
    <b v="0"/>
    <b v="0"/>
    <b v="0"/>
    <m/>
  </r>
  <r>
    <n v="784"/>
    <s v="ORD-2025-0784"/>
    <d v="2025-12-19T00:00:00"/>
    <x v="4"/>
    <d v="2025-12-23T00:00:00"/>
    <s v="Standard"/>
    <s v="CUST-0218"/>
    <s v="Sanjay Menon"/>
    <x v="2"/>
    <x v="2"/>
    <s v="West"/>
    <s v="Home &amp; Kitchen"/>
    <s v="Electric Kettle"/>
    <n v="1"/>
    <n v="0.1"/>
    <n v="1578.51"/>
    <n v="382.22"/>
    <x v="1"/>
    <b v="0"/>
    <b v="0"/>
    <b v="0"/>
    <m/>
  </r>
  <r>
    <n v="785"/>
    <s v="ORD-2025-0785"/>
    <d v="2025-08-21T00:00:00"/>
    <x v="6"/>
    <d v="2025-08-22T00:00:00"/>
    <s v="Standard"/>
    <s v="CUST-0060"/>
    <s v="Manish Yadav"/>
    <x v="0"/>
    <x v="11"/>
    <s v="West"/>
    <s v="Furniture"/>
    <s v="Study Table"/>
    <n v="2"/>
    <n v="0.05"/>
    <n v="13623.38"/>
    <n v="4811.59"/>
    <x v="2"/>
    <b v="0"/>
    <b v="0"/>
    <b v="0"/>
    <m/>
  </r>
  <r>
    <n v="786"/>
    <s v="ORD-2025-0786"/>
    <d v="2025-06-24T00:00:00"/>
    <x v="8"/>
    <d v="2025-06-28T00:00:00"/>
    <s v="Standard"/>
    <s v="CUST-0023"/>
    <s v="Kiran Joshi"/>
    <x v="0"/>
    <x v="11"/>
    <s v="West"/>
    <s v="Office Supplies"/>
    <s v="Pen Set"/>
    <n v="2"/>
    <n v="0.1"/>
    <n v="206.69"/>
    <n v="33.54"/>
    <x v="1"/>
    <b v="0"/>
    <b v="0"/>
    <b v="0"/>
    <m/>
  </r>
  <r>
    <n v="787"/>
    <s v="ORD-2025-0787"/>
    <d v="2025-06-24T00:00:00"/>
    <x v="8"/>
    <d v="2025-06-27T00:00:00"/>
    <s v="Standard"/>
    <s v="CUST-0195"/>
    <s v="Kiran Joshi"/>
    <x v="0"/>
    <x v="6"/>
    <s v="South"/>
    <s v="Home &amp; Kitchen"/>
    <s v="Electric Kettle"/>
    <n v="2"/>
    <n v="0.05"/>
    <n v="3250.64"/>
    <n v="822.14"/>
    <x v="2"/>
    <b v="0"/>
    <b v="0"/>
    <b v="0"/>
    <m/>
  </r>
  <r>
    <n v="788"/>
    <s v="ORD-2025-0788"/>
    <d v="2025-09-14T00:00:00"/>
    <x v="5"/>
    <d v="2025-09-15T00:00:00"/>
    <s v="Express"/>
    <s v="CUST-0155"/>
    <s v="Meera Shah"/>
    <x v="0"/>
    <x v="10"/>
    <s v="North"/>
    <s v="Electronics"/>
    <s v="Bluetooth Speaker"/>
    <n v="2"/>
    <n v="0"/>
    <n v="3683.94"/>
    <n v="944.54"/>
    <x v="1"/>
    <b v="0"/>
    <b v="0"/>
    <b v="0"/>
    <m/>
  </r>
  <r>
    <n v="789"/>
    <s v="ORD-2025-0789"/>
    <d v="2025-05-17T00:00:00"/>
    <x v="0"/>
    <d v="2025-05-18T00:00:00"/>
    <s v="Standard"/>
    <s v="CUST-0101"/>
    <s v="Ananya Singh"/>
    <x v="0"/>
    <x v="10"/>
    <s v="North"/>
    <s v="Office Supplies"/>
    <s v="Pen Set"/>
    <n v="2"/>
    <n v="0"/>
    <n v="234.19"/>
    <n v="74.52"/>
    <x v="1"/>
    <b v="0"/>
    <b v="0"/>
    <b v="0"/>
    <m/>
  </r>
  <r>
    <n v="790"/>
    <s v="ORD-2025-0790"/>
    <d v="2025-02-19T00:00:00"/>
    <x v="3"/>
    <d v="2025-02-24T00:00:00"/>
    <s v="Standard"/>
    <s v="CUST-0232"/>
    <s v="Ananya Singh"/>
    <x v="0"/>
    <x v="1"/>
    <s v="East"/>
    <s v="Electronics"/>
    <s v="Bluetooth Speaker"/>
    <n v="3"/>
    <n v="0.1"/>
    <n v="5004.57"/>
    <n v="1286.8"/>
    <x v="3"/>
    <b v="0"/>
    <b v="0"/>
    <b v="0"/>
    <m/>
  </r>
  <r>
    <n v="791"/>
    <s v="ORD-2025-0791"/>
    <d v="2025-08-03T00:00:00"/>
    <x v="6"/>
    <d v="2025-08-06T00:00:00"/>
    <s v="Express"/>
    <s v="CUST-0072"/>
    <s v="Ananya Singh"/>
    <x v="0"/>
    <x v="8"/>
    <s v="West"/>
    <s v="Electronics"/>
    <s v="USB-C Hub"/>
    <n v="3"/>
    <n v="0.1"/>
    <n v="3852.36"/>
    <n v="783.81"/>
    <x v="4"/>
    <b v="0"/>
    <b v="0"/>
    <b v="0"/>
    <m/>
  </r>
  <r>
    <n v="792"/>
    <s v="ORD-2025-0792"/>
    <d v="2025-12-27T00:00:00"/>
    <x v="4"/>
    <d v="2025-12-31T00:00:00"/>
    <s v="Standard"/>
    <s v="CUST-0044"/>
    <s v="Rahul Verma"/>
    <x v="0"/>
    <x v="11"/>
    <s v="West"/>
    <s v="Furniture"/>
    <s v="Study Table"/>
    <n v="3"/>
    <n v="0.1"/>
    <n v="18604.73"/>
    <n v="5139.43"/>
    <x v="1"/>
    <b v="0"/>
    <b v="0"/>
    <b v="0"/>
    <m/>
  </r>
  <r>
    <n v="793"/>
    <s v="ORD-2025-0793"/>
    <d v="2025-07-20T00:00:00"/>
    <x v="7"/>
    <d v="2025-07-23T00:00:00"/>
    <s v="Same Day"/>
    <s v="CUST-0066"/>
    <s v="Aditya Kumar"/>
    <x v="0"/>
    <x v="9"/>
    <s v="South"/>
    <s v="Electronics"/>
    <s v="Wireless Mouse"/>
    <n v="1"/>
    <n v="0.1"/>
    <n v="693.71"/>
    <n v="43.19"/>
    <x v="2"/>
    <b v="0"/>
    <b v="0"/>
    <b v="0"/>
    <m/>
  </r>
  <r>
    <n v="794"/>
    <s v="ORD-2025-0794"/>
    <d v="2025-04-17T00:00:00"/>
    <x v="10"/>
    <d v="2025-04-19T00:00:00"/>
    <s v="Express"/>
    <s v="CUST-0159"/>
    <s v="Ishita Roy"/>
    <x v="0"/>
    <x v="2"/>
    <s v="West"/>
    <s v="Home &amp; Kitchen"/>
    <s v="Storage Box"/>
    <n v="1"/>
    <n v="0.15"/>
    <n v="739.36"/>
    <n v="106.22"/>
    <x v="0"/>
    <b v="0"/>
    <b v="0"/>
    <b v="0"/>
    <m/>
  </r>
  <r>
    <n v="795"/>
    <s v="ORD-2025-0795"/>
    <d v="2025-11-10T00:00:00"/>
    <x v="2"/>
    <d v="2025-11-14T00:00:00"/>
    <s v="Express"/>
    <s v="CUST-0164"/>
    <s v="Kavya Iyer"/>
    <x v="0"/>
    <x v="7"/>
    <s v="South"/>
    <s v="Office Supplies"/>
    <s v="Desk Organizer"/>
    <n v="2"/>
    <n v="0.05"/>
    <n v="892.44"/>
    <n v="236.82"/>
    <x v="1"/>
    <b v="0"/>
    <b v="0"/>
    <b v="0"/>
    <m/>
  </r>
  <r>
    <n v="796"/>
    <s v="ORD-2025-0796"/>
    <d v="2025-03-25T00:00:00"/>
    <x v="11"/>
    <d v="2025-03-29T00:00:00"/>
    <s v="Standard"/>
    <s v="CUST-0164"/>
    <s v="Aarav Sharma"/>
    <x v="1"/>
    <x v="3"/>
    <s v="South"/>
    <s v="Electronics"/>
    <s v="Power Bank"/>
    <n v="1"/>
    <n v="0.1"/>
    <n v="1125.04"/>
    <n v="226.91"/>
    <x v="1"/>
    <b v="0"/>
    <b v="0"/>
    <b v="0"/>
    <m/>
  </r>
  <r>
    <n v="797"/>
    <s v="ORD-2025-0797"/>
    <d v="2025-05-15T00:00:00"/>
    <x v="0"/>
    <d v="2025-05-17T00:00:00"/>
    <s v="Standard"/>
    <s v="CUST-0248"/>
    <s v="Meera Shah"/>
    <x v="0"/>
    <x v="7"/>
    <s v="South"/>
    <s v="Electronics"/>
    <s v="Wireless Mouse"/>
    <n v="2"/>
    <n v="0.05"/>
    <n v="1532.33"/>
    <n v="536.54"/>
    <x v="1"/>
    <b v="0"/>
    <b v="0"/>
    <b v="0"/>
    <m/>
  </r>
  <r>
    <n v="798"/>
    <s v="ORD-2025-0798"/>
    <d v="2025-03-31T00:00:00"/>
    <x v="11"/>
    <d v="2025-04-04T00:00:00"/>
    <s v="Express"/>
    <s v="CUST-0213"/>
    <s v="Divya Rao"/>
    <x v="2"/>
    <x v="2"/>
    <s v="West"/>
    <s v="Electronics"/>
    <s v="Power Bank"/>
    <n v="3"/>
    <n v="0"/>
    <n v="3515.96"/>
    <n v="819.18"/>
    <x v="0"/>
    <b v="0"/>
    <b v="0"/>
    <b v="0"/>
    <m/>
  </r>
  <r>
    <n v="799"/>
    <s v="ORD-2025-0799"/>
    <d v="2025-02-25T00:00:00"/>
    <x v="3"/>
    <d v="2025-03-01T00:00:00"/>
    <s v="Standard"/>
    <s v="CUST-0238"/>
    <s v="Kiran Joshi"/>
    <x v="2"/>
    <x v="1"/>
    <s v="East"/>
    <s v="Home &amp; Kitchen"/>
    <s v="Coffee Mug"/>
    <n v="2"/>
    <n v="0.05"/>
    <n v="548.92999999999995"/>
    <n v="59.11"/>
    <x v="1"/>
    <b v="0"/>
    <b v="0"/>
    <b v="0"/>
    <m/>
  </r>
  <r>
    <n v="800"/>
    <s v="ORD-2025-0800"/>
    <d v="2025-03-04T00:00:00"/>
    <x v="11"/>
    <d v="2025-03-08T00:00:00"/>
    <s v="Standard"/>
    <s v="CUST-0183"/>
    <s v="Manish Yadav"/>
    <x v="0"/>
    <x v="5"/>
    <s v="North"/>
    <s v="Furniture"/>
    <s v="Bookshelf"/>
    <n v="2"/>
    <n v="0.2"/>
    <n v="7571.78"/>
    <n v="369.37"/>
    <x v="1"/>
    <b v="0"/>
    <b v="0"/>
    <b v="0"/>
    <m/>
  </r>
  <r>
    <n v="801"/>
    <s v="ORD-2025-0801"/>
    <d v="2025-03-20T00:00:00"/>
    <x v="11"/>
    <d v="2025-03-25T00:00:00"/>
    <s v="Standard"/>
    <s v="CUST-0198"/>
    <s v="Arjun Patel"/>
    <x v="2"/>
    <x v="8"/>
    <s v="West"/>
    <s v="Home &amp; Kitchen"/>
    <s v="Coffee Mug"/>
    <n v="3"/>
    <n v="0.2"/>
    <n v="687.36"/>
    <n v="30.66"/>
    <x v="3"/>
    <b v="0"/>
    <b v="0"/>
    <b v="0"/>
    <m/>
  </r>
  <r>
    <n v="802"/>
    <s v="ORD-2025-0802"/>
    <d v="2025-05-22T00:00:00"/>
    <x v="0"/>
    <d v="2025-05-27T00:00:00"/>
    <s v="Standard"/>
    <s v="CUST-0092"/>
    <s v="Ishita Roy"/>
    <x v="1"/>
    <x v="5"/>
    <s v="North"/>
    <s v="Home &amp; Kitchen"/>
    <s v="Storage Box"/>
    <n v="3"/>
    <n v="0"/>
    <n v="2615.41"/>
    <n v="451.99"/>
    <x v="3"/>
    <b v="0"/>
    <b v="0"/>
    <b v="0"/>
    <m/>
  </r>
  <r>
    <n v="803"/>
    <s v="ORD-2025-0803"/>
    <d v="2025-10-16T00:00:00"/>
    <x v="9"/>
    <d v="2025-10-18T00:00:00"/>
    <s v="Standard"/>
    <s v="CUST-0214"/>
    <s v="Arjun Patel"/>
    <x v="0"/>
    <x v="2"/>
    <s v="West"/>
    <s v="Electronics"/>
    <s v="USB-C Hub"/>
    <n v="1"/>
    <n v="0.05"/>
    <n v="1434.67"/>
    <n v="258.77"/>
    <x v="2"/>
    <b v="0"/>
    <b v="0"/>
    <b v="0"/>
    <m/>
  </r>
  <r>
    <n v="804"/>
    <s v="ORD-2025-0804"/>
    <d v="2025-03-02T00:00:00"/>
    <x v="11"/>
    <d v="2025-03-06T00:00:00"/>
    <s v="Express"/>
    <s v="CUST-0080"/>
    <s v="Shreya Kapoor"/>
    <x v="0"/>
    <x v="2"/>
    <s v="West"/>
    <s v="Office Supplies"/>
    <s v="File Folder"/>
    <n v="1"/>
    <n v="0.05"/>
    <n v="81.95"/>
    <n v="11.54"/>
    <x v="2"/>
    <b v="0"/>
    <b v="0"/>
    <b v="0"/>
    <m/>
  </r>
  <r>
    <n v="805"/>
    <s v="ORD-2025-0805"/>
    <d v="2025-06-24T00:00:00"/>
    <x v="8"/>
    <d v="2025-06-27T00:00:00"/>
    <s v="Standard"/>
    <s v="CUST-0195"/>
    <s v="Shreya Kapoor"/>
    <x v="0"/>
    <x v="4"/>
    <s v="North"/>
    <s v="Furniture"/>
    <s v="Desk Lamp"/>
    <n v="1"/>
    <n v="0"/>
    <n v="1287.47"/>
    <n v="240.49"/>
    <x v="1"/>
    <b v="0"/>
    <b v="0"/>
    <b v="0"/>
    <m/>
  </r>
  <r>
    <n v="806"/>
    <s v="ORD-2025-0806"/>
    <d v="2025-07-05T00:00:00"/>
    <x v="7"/>
    <d v="2025-07-07T00:00:00"/>
    <s v="Standard"/>
    <s v="CUST-0015"/>
    <s v="Ishita Roy"/>
    <x v="0"/>
    <x v="11"/>
    <s v="West"/>
    <s v="Office Supplies"/>
    <s v="Notebook"/>
    <n v="3"/>
    <n v="0.1"/>
    <n v="474.53"/>
    <n v="37.36"/>
    <x v="3"/>
    <b v="0"/>
    <b v="0"/>
    <b v="0"/>
    <m/>
  </r>
  <r>
    <n v="807"/>
    <s v="ORD-2025-0807"/>
    <d v="2025-06-05T00:00:00"/>
    <x v="8"/>
    <d v="2025-06-07T00:00:00"/>
    <s v="Express"/>
    <s v="CUST-0108"/>
    <s v="Aarav Sharma"/>
    <x v="0"/>
    <x v="4"/>
    <s v="North"/>
    <s v="Electronics"/>
    <s v="Wireless Mouse"/>
    <n v="2"/>
    <n v="0"/>
    <n v="1677.82"/>
    <n v="420.12"/>
    <x v="1"/>
    <b v="0"/>
    <b v="0"/>
    <b v="0"/>
    <m/>
  </r>
  <r>
    <n v="808"/>
    <s v="ORD-2025-0808"/>
    <d v="2025-02-14T00:00:00"/>
    <x v="3"/>
    <d v="2025-02-15T00:00:00"/>
    <s v="Express"/>
    <s v="CUST-0013"/>
    <s v="Shreya Kapoor"/>
    <x v="0"/>
    <x v="4"/>
    <s v="North"/>
    <s v="Electronics"/>
    <s v="Keyboard"/>
    <n v="3"/>
    <n v="0.2"/>
    <n v="3023.73"/>
    <n v="545.44000000000005"/>
    <x v="1"/>
    <b v="0"/>
    <b v="0"/>
    <b v="0"/>
    <m/>
  </r>
  <r>
    <n v="809"/>
    <s v="ORD-2025-0809"/>
    <d v="2025-06-28T00:00:00"/>
    <x v="8"/>
    <d v="2025-06-30T00:00:00"/>
    <s v="Standard"/>
    <s v="CUST-0122"/>
    <s v="Neha Gupta"/>
    <x v="1"/>
    <x v="3"/>
    <s v="South"/>
    <s v="Electronics"/>
    <s v="USB-C Hub"/>
    <n v="2"/>
    <n v="0.1"/>
    <n v="2631.1"/>
    <n v="672.69"/>
    <x v="2"/>
    <b v="0"/>
    <b v="0"/>
    <b v="0"/>
    <m/>
  </r>
  <r>
    <n v="810"/>
    <s v="ORD-2025-0810"/>
    <d v="2025-03-07T00:00:00"/>
    <x v="11"/>
    <d v="2025-03-11T00:00:00"/>
    <s v="Standard"/>
    <s v="CUST-0061"/>
    <s v="Meera Shah"/>
    <x v="0"/>
    <x v="3"/>
    <s v="South"/>
    <s v="Electronics"/>
    <s v="Power Bank"/>
    <n v="2"/>
    <n v="0.1"/>
    <n v="2172.33"/>
    <n v="342.41"/>
    <x v="1"/>
    <b v="0"/>
    <b v="0"/>
    <b v="0"/>
    <m/>
  </r>
  <r>
    <n v="811"/>
    <s v="ORD-2025-0811"/>
    <d v="2025-12-20T00:00:00"/>
    <x v="4"/>
    <d v="2025-12-23T00:00:00"/>
    <s v="Express"/>
    <s v="CUST-0019"/>
    <s v="Sneha Reddy"/>
    <x v="1"/>
    <x v="2"/>
    <s v="West"/>
    <s v="Home &amp; Kitchen"/>
    <s v="Coffee Mug"/>
    <n v="3"/>
    <n v="0.2"/>
    <n v="709.69"/>
    <n v="83.1"/>
    <x v="2"/>
    <b v="0"/>
    <b v="0"/>
    <b v="0"/>
    <m/>
  </r>
  <r>
    <n v="812"/>
    <s v="ORD-2025-0812"/>
    <d v="2025-06-24T00:00:00"/>
    <x v="8"/>
    <d v="2025-06-25T00:00:00"/>
    <s v="Standard"/>
    <s v="CUST-0198"/>
    <s v="Nikhil Jain"/>
    <x v="2"/>
    <x v="6"/>
    <s v="South"/>
    <s v="Office Supplies"/>
    <s v="Notebook"/>
    <n v="2"/>
    <n v="0"/>
    <n v="363"/>
    <n v="71.55"/>
    <x v="0"/>
    <b v="0"/>
    <b v="0"/>
    <b v="0"/>
    <m/>
  </r>
  <r>
    <n v="813"/>
    <s v="ORD-2025-0813"/>
    <d v="2025-02-06T00:00:00"/>
    <x v="3"/>
    <d v="2025-02-09T00:00:00"/>
    <s v="Standard"/>
    <s v="CUST-0081"/>
    <s v="Manish Yadav"/>
    <x v="1"/>
    <x v="10"/>
    <s v="North"/>
    <s v="Home &amp; Kitchen"/>
    <s v="Electric Kettle"/>
    <n v="3"/>
    <n v="0.15"/>
    <n v="4576.7299999999996"/>
    <n v="296.14999999999998"/>
    <x v="2"/>
    <b v="0"/>
    <b v="0"/>
    <b v="0"/>
    <m/>
  </r>
  <r>
    <n v="814"/>
    <s v="ORD-2025-0814"/>
    <d v="2025-09-24T00:00:00"/>
    <x v="5"/>
    <d v="2025-09-27T00:00:00"/>
    <s v="Standard"/>
    <s v="CUST-0110"/>
    <s v="Neha Gupta"/>
    <x v="0"/>
    <x v="9"/>
    <s v="South"/>
    <s v="Home &amp; Kitchen"/>
    <s v="Storage Box"/>
    <n v="4"/>
    <n v="0.05"/>
    <n v="3387.79"/>
    <n v="755.37"/>
    <x v="1"/>
    <b v="0"/>
    <b v="0"/>
    <b v="0"/>
    <m/>
  </r>
  <r>
    <n v="815"/>
    <s v="ORD-2025-0815"/>
    <d v="2025-03-28T00:00:00"/>
    <x v="11"/>
    <d v="2025-04-01T00:00:00"/>
    <s v="Standard"/>
    <s v="CUST-0241"/>
    <s v="Priya Nair"/>
    <x v="2"/>
    <x v="0"/>
    <s v="East"/>
    <s v="Home &amp; Kitchen"/>
    <s v="Coffee Mug"/>
    <n v="1"/>
    <n v="0.2"/>
    <n v="242.88"/>
    <n v="17.3"/>
    <x v="2"/>
    <b v="0"/>
    <b v="0"/>
    <b v="0"/>
    <m/>
  </r>
  <r>
    <n v="816"/>
    <s v="ORD-2025-0816"/>
    <d v="2025-01-08T00:00:00"/>
    <x v="1"/>
    <d v="2025-01-13T00:00:00"/>
    <s v="Standard"/>
    <s v="CUST-0095"/>
    <s v="Kavya Iyer"/>
    <x v="0"/>
    <x v="8"/>
    <s v="West"/>
    <s v="Office Supplies"/>
    <s v="Desk Organizer"/>
    <n v="1"/>
    <n v="0.1"/>
    <n v="424.98"/>
    <n v="144.94"/>
    <x v="1"/>
    <b v="0"/>
    <b v="0"/>
    <b v="0"/>
    <m/>
  </r>
  <r>
    <n v="817"/>
    <s v="ORD-2025-0817"/>
    <d v="2025-06-28T00:00:00"/>
    <x v="8"/>
    <d v="2025-07-03T00:00:00"/>
    <s v="Standard"/>
    <s v="CUST-0122"/>
    <s v="Kiran Joshi"/>
    <x v="0"/>
    <x v="6"/>
    <s v="South"/>
    <s v="Office Supplies"/>
    <s v="File Folder"/>
    <n v="5"/>
    <n v="0.2"/>
    <n v="358.77"/>
    <n v="33.69"/>
    <x v="4"/>
    <b v="0"/>
    <b v="0"/>
    <b v="0"/>
    <m/>
  </r>
  <r>
    <n v="818"/>
    <s v="ORD-2025-0818"/>
    <d v="2025-11-02T00:00:00"/>
    <x v="2"/>
    <d v="2025-11-05T00:00:00"/>
    <s v="Express"/>
    <s v="CUST-0013"/>
    <s v="Shreya Kapoor"/>
    <x v="0"/>
    <x v="4"/>
    <s v="North"/>
    <s v="Home &amp; Kitchen"/>
    <s v="Electric Kettle"/>
    <n v="3"/>
    <n v="0"/>
    <n v="5207.1000000000004"/>
    <n v="1155.22"/>
    <x v="0"/>
    <b v="0"/>
    <b v="0"/>
    <b v="0"/>
    <m/>
  </r>
  <r>
    <n v="819"/>
    <s v="ORD-2025-0819"/>
    <d v="2025-12-08T00:00:00"/>
    <x v="4"/>
    <d v="2025-12-11T00:00:00"/>
    <s v="Standard"/>
    <s v="CUST-0131"/>
    <s v="Sanjay Menon"/>
    <x v="2"/>
    <x v="5"/>
    <s v="North"/>
    <s v="Home &amp; Kitchen"/>
    <s v="Electric Kettle"/>
    <n v="2"/>
    <n v="0.05"/>
    <n v="3340.9"/>
    <n v="964.31"/>
    <x v="3"/>
    <b v="0"/>
    <b v="0"/>
    <b v="0"/>
    <m/>
  </r>
  <r>
    <n v="820"/>
    <s v="ORD-2025-0820"/>
    <d v="2025-07-27T00:00:00"/>
    <x v="7"/>
    <d v="2025-07-31T00:00:00"/>
    <s v="Same Day"/>
    <s v="CUST-0180"/>
    <s v="Aarav Sharma"/>
    <x v="0"/>
    <x v="3"/>
    <s v="South"/>
    <s v="Furniture"/>
    <s v="Office Chair"/>
    <n v="1"/>
    <n v="0"/>
    <n v="5415.43"/>
    <n v="1470.66"/>
    <x v="1"/>
    <b v="0"/>
    <b v="0"/>
    <b v="0"/>
    <m/>
  </r>
  <r>
    <n v="821"/>
    <s v="ORD-2025-0821"/>
    <d v="2025-11-24T00:00:00"/>
    <x v="2"/>
    <d v="2025-11-29T00:00:00"/>
    <s v="Standard"/>
    <s v="CUST-0239"/>
    <s v="Shreya Kapoor"/>
    <x v="0"/>
    <x v="9"/>
    <s v="South"/>
    <s v="Office Supplies"/>
    <s v="File Folder"/>
    <n v="2"/>
    <n v="0.1"/>
    <n v="160.51"/>
    <n v="41.3"/>
    <x v="2"/>
    <b v="0"/>
    <b v="0"/>
    <b v="0"/>
    <m/>
  </r>
  <r>
    <n v="822"/>
    <s v="ORD-2025-0822"/>
    <d v="2025-05-01T00:00:00"/>
    <x v="0"/>
    <d v="2025-05-03T00:00:00"/>
    <s v="Express"/>
    <s v="CUST-0160"/>
    <s v="Kavya Iyer"/>
    <x v="0"/>
    <x v="6"/>
    <s v="South"/>
    <s v="Furniture"/>
    <s v="Office Chair"/>
    <n v="1"/>
    <n v="0"/>
    <n v="5318.46"/>
    <n v="1796.31"/>
    <x v="0"/>
    <b v="0"/>
    <b v="0"/>
    <b v="0"/>
    <m/>
  </r>
  <r>
    <n v="823"/>
    <s v="ORD-2025-0823"/>
    <d v="2025-01-28T00:00:00"/>
    <x v="1"/>
    <d v="2025-01-30T00:00:00"/>
    <s v="Standard"/>
    <s v="CUST-0228"/>
    <s v="Pooja Das"/>
    <x v="0"/>
    <x v="10"/>
    <s v="North"/>
    <s v="Furniture"/>
    <s v="Bookshelf"/>
    <n v="4"/>
    <n v="0"/>
    <n v="17903.599999999999"/>
    <n v="4202.46"/>
    <x v="1"/>
    <b v="0"/>
    <b v="0"/>
    <b v="0"/>
    <m/>
  </r>
  <r>
    <n v="824"/>
    <s v="ORD-2025-0824"/>
    <d v="2025-12-15T00:00:00"/>
    <x v="4"/>
    <d v="2025-12-19T00:00:00"/>
    <s v="Standard"/>
    <s v="CUST-0025"/>
    <s v="Shreya Kapoor"/>
    <x v="0"/>
    <x v="11"/>
    <s v="West"/>
    <s v="Furniture"/>
    <s v="Study Table"/>
    <n v="4"/>
    <n v="0.2"/>
    <n v="23023.5"/>
    <n v="1276.6300000000001"/>
    <x v="0"/>
    <b v="0"/>
    <b v="0"/>
    <b v="0"/>
    <m/>
  </r>
  <r>
    <n v="825"/>
    <s v="ORD-2025-0825"/>
    <d v="2025-09-09T00:00:00"/>
    <x v="5"/>
    <d v="2025-09-12T00:00:00"/>
    <s v="Standard"/>
    <s v="CUST-0231"/>
    <s v="Ishita Roy"/>
    <x v="0"/>
    <x v="10"/>
    <s v="North"/>
    <s v="Electronics"/>
    <s v="USB-C Hub"/>
    <n v="3"/>
    <n v="0.1"/>
    <n v="4209.76"/>
    <n v="671.6"/>
    <x v="1"/>
    <b v="0"/>
    <b v="0"/>
    <b v="0"/>
    <m/>
  </r>
  <r>
    <n v="826"/>
    <s v="ORD-2025-0826"/>
    <d v="2025-01-08T00:00:00"/>
    <x v="1"/>
    <d v="2025-01-09T00:00:00"/>
    <s v="Standard"/>
    <s v="CUST-0198"/>
    <s v="Sanjay Menon"/>
    <x v="2"/>
    <x v="7"/>
    <s v="South"/>
    <s v="Home &amp; Kitchen"/>
    <s v="Water Bottle"/>
    <n v="2"/>
    <n v="0.1"/>
    <n v="899.9"/>
    <n v="253.21"/>
    <x v="3"/>
    <b v="0"/>
    <b v="0"/>
    <b v="0"/>
    <m/>
  </r>
  <r>
    <n v="827"/>
    <s v="ORD-2025-0827"/>
    <d v="2025-02-08T00:00:00"/>
    <x v="3"/>
    <d v="2025-02-10T00:00:00"/>
    <s v="Express"/>
    <s v="CUST-0196"/>
    <s v="Rahul Verma"/>
    <x v="2"/>
    <x v="10"/>
    <s v="North"/>
    <s v="Furniture"/>
    <s v="Bookshelf"/>
    <n v="2"/>
    <n v="0.1"/>
    <n v="8185.4"/>
    <n v="1791.02"/>
    <x v="4"/>
    <b v="0"/>
    <b v="0"/>
    <b v="0"/>
    <m/>
  </r>
  <r>
    <n v="828"/>
    <s v="ORD-2025-0828"/>
    <d v="2025-08-30T00:00:00"/>
    <x v="6"/>
    <d v="2025-09-03T00:00:00"/>
    <s v="Express"/>
    <s v="CUST-0085"/>
    <s v="Manish Yadav"/>
    <x v="0"/>
    <x v="3"/>
    <s v="South"/>
    <s v="Electronics"/>
    <s v="Wireless Mouse"/>
    <n v="1"/>
    <n v="0.1"/>
    <n v="699.46"/>
    <n v="55.58"/>
    <x v="2"/>
    <b v="0"/>
    <b v="0"/>
    <b v="0"/>
    <m/>
  </r>
  <r>
    <n v="829"/>
    <s v="ORD-2025-0829"/>
    <d v="2025-06-18T00:00:00"/>
    <x v="8"/>
    <d v="2025-06-21T00:00:00"/>
    <s v="Standard"/>
    <s v="CUST-0180"/>
    <s v="Nikhil Jain"/>
    <x v="0"/>
    <x v="6"/>
    <s v="South"/>
    <s v="Furniture"/>
    <s v="Desk Lamp"/>
    <n v="1"/>
    <n v="0"/>
    <n v="1317.78"/>
    <n v="323.17"/>
    <x v="1"/>
    <b v="0"/>
    <b v="0"/>
    <b v="0"/>
    <m/>
  </r>
  <r>
    <n v="830"/>
    <s v="ORD-2025-0830"/>
    <d v="2025-12-06T00:00:00"/>
    <x v="4"/>
    <d v="2025-12-07T00:00:00"/>
    <s v="Standard"/>
    <s v="CUST-0101"/>
    <s v="Kiran Joshi"/>
    <x v="2"/>
    <x v="2"/>
    <s v="West"/>
    <s v="Furniture"/>
    <s v="Folding Chair"/>
    <n v="3"/>
    <n v="0.1"/>
    <n v="4957.0600000000004"/>
    <n v="1296.19"/>
    <x v="2"/>
    <b v="0"/>
    <b v="0"/>
    <b v="0"/>
    <m/>
  </r>
  <r>
    <n v="831"/>
    <s v="ORD-2025-0831"/>
    <d v="2025-10-03T00:00:00"/>
    <x v="9"/>
    <d v="2025-10-07T00:00:00"/>
    <s v="Express"/>
    <s v="CUST-0227"/>
    <s v="Ananya Singh"/>
    <x v="2"/>
    <x v="0"/>
    <s v="East"/>
    <s v="Office Supplies"/>
    <s v="Notebook"/>
    <n v="2"/>
    <n v="0.1"/>
    <n v="320.2"/>
    <n v="54.58"/>
    <x v="1"/>
    <b v="0"/>
    <b v="0"/>
    <b v="0"/>
    <m/>
  </r>
  <r>
    <n v="832"/>
    <s v="ORD-2025-0832"/>
    <d v="2025-10-27T00:00:00"/>
    <x v="9"/>
    <d v="2025-10-30T00:00:00"/>
    <s v="Same Day"/>
    <s v="CUST-0212"/>
    <s v="Neha Gupta"/>
    <x v="1"/>
    <x v="4"/>
    <s v="North"/>
    <s v="Office Supplies"/>
    <s v="Notebook"/>
    <n v="1"/>
    <n v="0.1"/>
    <n v="159.05000000000001"/>
    <n v="37.85"/>
    <x v="0"/>
    <b v="0"/>
    <b v="0"/>
    <b v="0"/>
    <m/>
  </r>
  <r>
    <n v="833"/>
    <s v="ORD-2025-0833"/>
    <d v="2025-12-28T00:00:00"/>
    <x v="4"/>
    <d v="2025-12-30T00:00:00"/>
    <s v="Standard"/>
    <s v="CUST-0022"/>
    <s v="Meera Shah"/>
    <x v="2"/>
    <x v="8"/>
    <s v="West"/>
    <s v="Electronics"/>
    <s v="Keyboard"/>
    <n v="1"/>
    <n v="0"/>
    <n v="1355.53"/>
    <n v="547.09"/>
    <x v="1"/>
    <b v="0"/>
    <b v="0"/>
    <b v="0"/>
    <m/>
  </r>
  <r>
    <n v="834"/>
    <s v="ORD-2025-0834"/>
    <d v="2025-08-24T00:00:00"/>
    <x v="6"/>
    <d v="2025-08-29T00:00:00"/>
    <s v="Standard"/>
    <s v="CUST-0220"/>
    <s v="Neha Gupta"/>
    <x v="1"/>
    <x v="9"/>
    <s v="South"/>
    <s v="Furniture"/>
    <s v="Office Chair"/>
    <n v="4"/>
    <n v="0"/>
    <n v="21771.54"/>
    <n v="6769.62"/>
    <x v="2"/>
    <b v="0"/>
    <b v="0"/>
    <b v="0"/>
    <m/>
  </r>
  <r>
    <n v="835"/>
    <s v="ORD-2025-0835"/>
    <d v="2025-01-01T00:00:00"/>
    <x v="1"/>
    <d v="2025-01-05T00:00:00"/>
    <s v="Standard"/>
    <s v="CUST-0026"/>
    <s v="Shreya Kapoor"/>
    <x v="1"/>
    <x v="5"/>
    <s v="North"/>
    <s v="Office Supplies"/>
    <s v="File Folder"/>
    <n v="2"/>
    <n v="0"/>
    <n v="181.53"/>
    <n v="34.04"/>
    <x v="0"/>
    <b v="0"/>
    <b v="0"/>
    <b v="0"/>
    <m/>
  </r>
  <r>
    <n v="836"/>
    <s v="ORD-2025-0836"/>
    <d v="2025-09-24T00:00:00"/>
    <x v="5"/>
    <d v="2025-09-29T00:00:00"/>
    <s v="Express"/>
    <s v="CUST-0247"/>
    <s v="Sneha Reddy"/>
    <x v="0"/>
    <x v="11"/>
    <s v="West"/>
    <s v="Furniture"/>
    <s v="Desk Lamp"/>
    <n v="1"/>
    <n v="0.15"/>
    <n v="1112.6600000000001"/>
    <n v="215.31"/>
    <x v="1"/>
    <b v="0"/>
    <b v="0"/>
    <b v="0"/>
    <m/>
  </r>
  <r>
    <n v="837"/>
    <s v="ORD-2025-0837"/>
    <d v="2025-09-07T00:00:00"/>
    <x v="5"/>
    <d v="2025-09-09T00:00:00"/>
    <s v="Standard"/>
    <s v="CUST-0095"/>
    <s v="Kiran Joshi"/>
    <x v="0"/>
    <x v="10"/>
    <s v="North"/>
    <s v="Electronics"/>
    <s v="Bluetooth Speaker"/>
    <n v="1"/>
    <n v="0.05"/>
    <n v="1842.56"/>
    <n v="663.82"/>
    <x v="0"/>
    <b v="0"/>
    <b v="0"/>
    <b v="0"/>
    <m/>
  </r>
  <r>
    <n v="838"/>
    <s v="ORD-2025-0838"/>
    <d v="2025-10-07T00:00:00"/>
    <x v="9"/>
    <d v="2025-10-09T00:00:00"/>
    <s v="Express"/>
    <s v="CUST-0077"/>
    <s v="Nikhil Jain"/>
    <x v="0"/>
    <x v="9"/>
    <s v="South"/>
    <s v="Electronics"/>
    <s v="Power Bank"/>
    <n v="2"/>
    <n v="0.2"/>
    <n v="1928.89"/>
    <n v="403.6"/>
    <x v="3"/>
    <b v="0"/>
    <b v="0"/>
    <b v="0"/>
    <m/>
  </r>
  <r>
    <n v="839"/>
    <s v="ORD-2025-0839"/>
    <d v="2025-09-01T00:00:00"/>
    <x v="5"/>
    <d v="2025-09-06T00:00:00"/>
    <s v="Standard"/>
    <s v="CUST-0030"/>
    <s v="Priya Nair"/>
    <x v="0"/>
    <x v="2"/>
    <s v="West"/>
    <s v="Home &amp; Kitchen"/>
    <s v="Storage Box"/>
    <n v="1"/>
    <n v="0.2"/>
    <n v="704.1"/>
    <n v="36.42"/>
    <x v="1"/>
    <b v="0"/>
    <b v="0"/>
    <b v="0"/>
    <m/>
  </r>
  <r>
    <n v="840"/>
    <s v="ORD-2025-0840"/>
    <d v="2025-11-10T00:00:00"/>
    <x v="2"/>
    <d v="2025-11-11T00:00:00"/>
    <s v="Same Day"/>
    <s v="CUST-0098"/>
    <s v="Divya Rao"/>
    <x v="0"/>
    <x v="7"/>
    <s v="South"/>
    <s v="Home &amp; Kitchen"/>
    <s v="Storage Box"/>
    <n v="1"/>
    <n v="0.1"/>
    <n v="780.14"/>
    <n v="96.04"/>
    <x v="0"/>
    <b v="0"/>
    <b v="0"/>
    <b v="0"/>
    <m/>
  </r>
  <r>
    <n v="841"/>
    <s v="ORD-2025-0841"/>
    <d v="2025-06-17T00:00:00"/>
    <x v="8"/>
    <d v="2025-06-18T00:00:00"/>
    <s v="Express"/>
    <s v="CUST-0026"/>
    <s v="Kavya Iyer"/>
    <x v="0"/>
    <x v="7"/>
    <s v="South"/>
    <s v="Office Supplies"/>
    <s v="Pen Set"/>
    <n v="1"/>
    <n v="0.05"/>
    <n v="113.26"/>
    <n v="37.119999999999997"/>
    <x v="2"/>
    <b v="0"/>
    <b v="0"/>
    <b v="0"/>
    <m/>
  </r>
  <r>
    <n v="842"/>
    <s v="ORD-2025-0842"/>
    <d v="2025-03-19T00:00:00"/>
    <x v="11"/>
    <d v="2025-03-21T00:00:00"/>
    <s v="Express"/>
    <s v="CUST-0124"/>
    <s v="Aarav Sharma"/>
    <x v="1"/>
    <x v="2"/>
    <s v="West"/>
    <s v="Home &amp; Kitchen"/>
    <s v="Lunch Box"/>
    <n v="3"/>
    <n v="0.05"/>
    <n v="2055.61"/>
    <n v="601.86"/>
    <x v="1"/>
    <b v="0"/>
    <b v="0"/>
    <b v="0"/>
    <m/>
  </r>
  <r>
    <n v="843"/>
    <s v="ORD-2025-0843"/>
    <d v="2025-06-03T00:00:00"/>
    <x v="8"/>
    <d v="2025-06-06T00:00:00"/>
    <s v="Express"/>
    <s v="CUST-0112"/>
    <s v="Rohan Mehta"/>
    <x v="0"/>
    <x v="6"/>
    <s v="South"/>
    <s v="Electronics"/>
    <s v="Bluetooth Speaker"/>
    <n v="1"/>
    <n v="0.1"/>
    <n v="1756.42"/>
    <n v="279.54000000000002"/>
    <x v="1"/>
    <b v="0"/>
    <b v="0"/>
    <b v="0"/>
    <m/>
  </r>
  <r>
    <n v="844"/>
    <s v="ORD-2025-0844"/>
    <d v="2025-09-04T00:00:00"/>
    <x v="5"/>
    <d v="2025-09-09T00:00:00"/>
    <s v="Standard"/>
    <s v="CUST-0236"/>
    <s v="Shreya Kapoor"/>
    <x v="2"/>
    <x v="8"/>
    <s v="West"/>
    <s v="Home &amp; Kitchen"/>
    <s v="Electric Kettle"/>
    <n v="1"/>
    <n v="0.1"/>
    <n v="1618.64"/>
    <n v="212.06"/>
    <x v="1"/>
    <b v="0"/>
    <b v="0"/>
    <b v="0"/>
    <m/>
  </r>
  <r>
    <n v="845"/>
    <s v="ORD-2025-0845"/>
    <d v="2025-08-29T00:00:00"/>
    <x v="6"/>
    <d v="2025-08-31T00:00:00"/>
    <s v="Standard"/>
    <s v="CUST-0043"/>
    <s v="Ishita Roy"/>
    <x v="0"/>
    <x v="11"/>
    <s v="West"/>
    <s v="Office Supplies"/>
    <s v="Notebook"/>
    <n v="1"/>
    <n v="0"/>
    <n v="178.12"/>
    <n v="37.08"/>
    <x v="4"/>
    <b v="0"/>
    <b v="0"/>
    <b v="0"/>
    <m/>
  </r>
  <r>
    <n v="846"/>
    <s v="ORD-2025-0846"/>
    <d v="2025-02-05T00:00:00"/>
    <x v="3"/>
    <d v="2025-02-10T00:00:00"/>
    <s v="Standard"/>
    <s v="CUST-0091"/>
    <s v="Ananya Singh"/>
    <x v="0"/>
    <x v="9"/>
    <s v="South"/>
    <s v="Furniture"/>
    <s v="Folding Chair"/>
    <n v="1"/>
    <n v="0.2"/>
    <n v="1467.67"/>
    <n v="322.7"/>
    <x v="3"/>
    <b v="0"/>
    <b v="0"/>
    <b v="0"/>
    <m/>
  </r>
  <r>
    <n v="847"/>
    <s v="ORD-2025-0847"/>
    <d v="2025-07-06T00:00:00"/>
    <x v="7"/>
    <d v="2025-07-09T00:00:00"/>
    <s v="Standard"/>
    <s v="CUST-0123"/>
    <s v="Kiran Joshi"/>
    <x v="2"/>
    <x v="4"/>
    <s v="North"/>
    <s v="Furniture"/>
    <s v="Folding Chair"/>
    <n v="1"/>
    <n v="0.05"/>
    <n v="1768.34"/>
    <n v="517.54"/>
    <x v="2"/>
    <b v="0"/>
    <b v="0"/>
    <b v="0"/>
    <m/>
  </r>
  <r>
    <n v="848"/>
    <s v="ORD-2025-0848"/>
    <d v="2025-07-08T00:00:00"/>
    <x v="7"/>
    <d v="2025-07-10T00:00:00"/>
    <s v="Same Day"/>
    <s v="CUST-0136"/>
    <s v="Vikram Rao"/>
    <x v="0"/>
    <x v="2"/>
    <s v="West"/>
    <s v="Home &amp; Kitchen"/>
    <s v="Lunch Box"/>
    <n v="2"/>
    <n v="0"/>
    <n v="1434.29"/>
    <n v="329.04"/>
    <x v="2"/>
    <b v="0"/>
    <b v="0"/>
    <b v="0"/>
    <m/>
  </r>
  <r>
    <n v="849"/>
    <s v="ORD-2025-0849"/>
    <d v="2025-04-19T00:00:00"/>
    <x v="10"/>
    <d v="2025-04-20T00:00:00"/>
    <s v="Standard"/>
    <s v="CUST-0054"/>
    <s v="Ananya Singh"/>
    <x v="0"/>
    <x v="11"/>
    <s v="West"/>
    <s v="Office Supplies"/>
    <s v="Notebook"/>
    <n v="3"/>
    <n v="0.25"/>
    <n v="398"/>
    <n v="31.91"/>
    <x v="3"/>
    <b v="0"/>
    <b v="0"/>
    <b v="0"/>
    <m/>
  </r>
  <r>
    <n v="850"/>
    <s v="ORD-2025-0850"/>
    <d v="2025-09-16T00:00:00"/>
    <x v="5"/>
    <d v="2025-09-17T00:00:00"/>
    <s v="Standard"/>
    <s v="CUST-0175"/>
    <s v="Meera Shah"/>
    <x v="2"/>
    <x v="4"/>
    <s v="North"/>
    <s v="Office Supplies"/>
    <s v="Calculator"/>
    <n v="1"/>
    <n v="0.1"/>
    <n v="561.79"/>
    <n v="152.02000000000001"/>
    <x v="1"/>
    <b v="0"/>
    <b v="0"/>
    <b v="0"/>
    <m/>
  </r>
  <r>
    <n v="851"/>
    <s v="ORD-2025-0851"/>
    <d v="2025-10-10T00:00:00"/>
    <x v="9"/>
    <d v="2025-10-14T00:00:00"/>
    <s v="Standard"/>
    <s v="CUST-0247"/>
    <s v="Aditya Kumar"/>
    <x v="0"/>
    <x v="5"/>
    <s v="North"/>
    <s v="Furniture"/>
    <s v="Bookshelf"/>
    <n v="1"/>
    <n v="0"/>
    <n v="4706.9399999999996"/>
    <n v="1167.79"/>
    <x v="2"/>
    <b v="0"/>
    <b v="0"/>
    <b v="0"/>
    <m/>
  </r>
  <r>
    <n v="852"/>
    <s v="ORD-2025-0852"/>
    <d v="2025-10-25T00:00:00"/>
    <x v="9"/>
    <d v="2025-10-28T00:00:00"/>
    <s v="Standard"/>
    <s v="CUST-0219"/>
    <s v="Sanjay Menon"/>
    <x v="0"/>
    <x v="1"/>
    <s v="East"/>
    <s v="Electronics"/>
    <s v="Keyboard"/>
    <n v="2"/>
    <n v="0.05"/>
    <n v="2346.92"/>
    <n v="613.80999999999995"/>
    <x v="2"/>
    <b v="0"/>
    <b v="0"/>
    <b v="0"/>
    <m/>
  </r>
  <r>
    <n v="853"/>
    <s v="ORD-2025-0853"/>
    <d v="2025-03-01T00:00:00"/>
    <x v="11"/>
    <d v="2025-03-02T00:00:00"/>
    <s v="Standard"/>
    <s v="CUST-0208"/>
    <s v="Nikhil Jain"/>
    <x v="0"/>
    <x v="9"/>
    <s v="South"/>
    <s v="Office Supplies"/>
    <s v="Desk Organizer"/>
    <n v="1"/>
    <n v="0"/>
    <n v="446.93"/>
    <n v="127.16"/>
    <x v="3"/>
    <b v="0"/>
    <b v="0"/>
    <b v="0"/>
    <m/>
  </r>
  <r>
    <n v="854"/>
    <s v="ORD-2025-0854"/>
    <d v="2025-06-22T00:00:00"/>
    <x v="8"/>
    <d v="2025-06-24T00:00:00"/>
    <s v="Same Day"/>
    <s v="CUST-0196"/>
    <s v="Aditya Kumar"/>
    <x v="0"/>
    <x v="8"/>
    <s v="West"/>
    <s v="Furniture"/>
    <s v="Office Chair"/>
    <n v="2"/>
    <n v="0.1"/>
    <n v="10334.969999999999"/>
    <n v="2198.39"/>
    <x v="4"/>
    <b v="0"/>
    <b v="0"/>
    <b v="0"/>
    <m/>
  </r>
  <r>
    <n v="855"/>
    <s v="ORD-2025-0855"/>
    <d v="2025-12-07T00:00:00"/>
    <x v="4"/>
    <d v="2025-12-11T00:00:00"/>
    <s v="Standard"/>
    <s v="CUST-0112"/>
    <s v="Ananya Singh"/>
    <x v="0"/>
    <x v="0"/>
    <s v="East"/>
    <s v="Home &amp; Kitchen"/>
    <s v="Storage Box"/>
    <n v="4"/>
    <n v="0"/>
    <n v="3689.06"/>
    <n v="774.06"/>
    <x v="1"/>
    <b v="0"/>
    <b v="0"/>
    <b v="0"/>
    <m/>
  </r>
  <r>
    <n v="856"/>
    <s v="ORD-2025-0856"/>
    <d v="2025-07-22T00:00:00"/>
    <x v="7"/>
    <d v="2025-07-26T00:00:00"/>
    <s v="Standard"/>
    <s v="CUST-0191"/>
    <s v="Rohan Mehta"/>
    <x v="0"/>
    <x v="2"/>
    <s v="West"/>
    <s v="Electronics"/>
    <s v="Wireless Mouse"/>
    <n v="2"/>
    <n v="0"/>
    <n v="1545.4"/>
    <n v="455.21"/>
    <x v="1"/>
    <b v="0"/>
    <b v="0"/>
    <b v="0"/>
    <m/>
  </r>
  <r>
    <n v="857"/>
    <s v="ORD-2025-0857"/>
    <d v="2025-12-22T00:00:00"/>
    <x v="4"/>
    <d v="2025-12-26T00:00:00"/>
    <s v="Standard"/>
    <s v="CUST-0223"/>
    <s v="Ishita Roy"/>
    <x v="0"/>
    <x v="6"/>
    <s v="South"/>
    <s v="Office Supplies"/>
    <s v="File Folder"/>
    <n v="2"/>
    <n v="0.1"/>
    <n v="160.03"/>
    <n v="22.87"/>
    <x v="0"/>
    <b v="0"/>
    <b v="0"/>
    <b v="0"/>
    <m/>
  </r>
  <r>
    <n v="858"/>
    <s v="ORD-2025-0858"/>
    <d v="2025-03-20T00:00:00"/>
    <x v="11"/>
    <d v="2025-03-25T00:00:00"/>
    <s v="Express"/>
    <s v="CUST-0142"/>
    <s v="Ananya Singh"/>
    <x v="0"/>
    <x v="4"/>
    <s v="North"/>
    <s v="Electronics"/>
    <s v="Power Bank"/>
    <n v="3"/>
    <n v="0.2"/>
    <n v="3000.91"/>
    <n v="346.11"/>
    <x v="1"/>
    <b v="0"/>
    <b v="0"/>
    <b v="0"/>
    <m/>
  </r>
  <r>
    <n v="859"/>
    <s v="ORD-2025-0859"/>
    <d v="2025-07-17T00:00:00"/>
    <x v="7"/>
    <d v="2025-07-21T00:00:00"/>
    <s v="Express"/>
    <s v="CUST-0130"/>
    <s v="Nikhil Jain"/>
    <x v="1"/>
    <x v="10"/>
    <s v="North"/>
    <s v="Electronics"/>
    <s v="Bluetooth Speaker"/>
    <n v="3"/>
    <n v="0.2"/>
    <n v="4413.46"/>
    <n v="449.66"/>
    <x v="3"/>
    <b v="0"/>
    <b v="0"/>
    <b v="0"/>
    <m/>
  </r>
  <r>
    <n v="860"/>
    <s v="ORD-2025-0860"/>
    <d v="2025-09-19T00:00:00"/>
    <x v="5"/>
    <d v="2025-09-23T00:00:00"/>
    <s v="Standard"/>
    <s v="CUST-0134"/>
    <s v="Kiran Joshi"/>
    <x v="1"/>
    <x v="11"/>
    <s v="West"/>
    <s v="Electronics"/>
    <s v="Power Bank"/>
    <n v="1"/>
    <n v="0.2"/>
    <n v="971.27"/>
    <n v="129.78"/>
    <x v="3"/>
    <b v="0"/>
    <b v="0"/>
    <b v="0"/>
    <m/>
  </r>
  <r>
    <n v="861"/>
    <s v="ORD-2025-0861"/>
    <d v="2025-07-12T00:00:00"/>
    <x v="7"/>
    <d v="2025-07-17T00:00:00"/>
    <s v="Standard"/>
    <s v="CUST-0095"/>
    <s v="Meera Shah"/>
    <x v="0"/>
    <x v="5"/>
    <s v="North"/>
    <s v="Furniture"/>
    <s v="Study Table"/>
    <n v="2"/>
    <n v="0"/>
    <n v="13753.34"/>
    <n v="2489.4699999999998"/>
    <x v="1"/>
    <b v="0"/>
    <b v="0"/>
    <b v="0"/>
    <m/>
  </r>
  <r>
    <n v="862"/>
    <s v="ORD-2025-0862"/>
    <d v="2025-04-02T00:00:00"/>
    <x v="10"/>
    <d v="2025-04-06T00:00:00"/>
    <s v="Same Day"/>
    <s v="CUST-0018"/>
    <s v="Rahul Verma"/>
    <x v="0"/>
    <x v="0"/>
    <s v="East"/>
    <s v="Furniture"/>
    <s v="Bookshelf"/>
    <n v="4"/>
    <n v="0.1"/>
    <n v="16386.21"/>
    <n v="4200.04"/>
    <x v="1"/>
    <b v="0"/>
    <b v="0"/>
    <b v="0"/>
    <m/>
  </r>
  <r>
    <n v="863"/>
    <s v="ORD-2025-0863"/>
    <d v="2025-08-02T00:00:00"/>
    <x v="6"/>
    <d v="2025-08-06T00:00:00"/>
    <s v="Express"/>
    <s v="CUST-0101"/>
    <s v="Divya Rao"/>
    <x v="0"/>
    <x v="2"/>
    <s v="West"/>
    <s v="Furniture"/>
    <s v="Desk Lamp"/>
    <n v="3"/>
    <n v="0.2"/>
    <n v="3125.3"/>
    <n v="276.52999999999997"/>
    <x v="1"/>
    <b v="0"/>
    <b v="0"/>
    <b v="0"/>
    <m/>
  </r>
  <r>
    <n v="864"/>
    <s v="ORD-2025-0864"/>
    <d v="2025-02-16T00:00:00"/>
    <x v="3"/>
    <d v="2025-02-19T00:00:00"/>
    <s v="Standard"/>
    <s v="CUST-0144"/>
    <s v="Ishita Roy"/>
    <x v="1"/>
    <x v="11"/>
    <s v="West"/>
    <s v="Home &amp; Kitchen"/>
    <s v="Water Bottle"/>
    <n v="3"/>
    <n v="0.15"/>
    <n v="1281.5999999999999"/>
    <n v="85.71"/>
    <x v="3"/>
    <b v="0"/>
    <b v="0"/>
    <b v="0"/>
    <m/>
  </r>
  <r>
    <n v="865"/>
    <s v="ORD-2025-0865"/>
    <d v="2025-03-15T00:00:00"/>
    <x v="11"/>
    <d v="2025-03-16T00:00:00"/>
    <s v="Same Day"/>
    <s v="CUST-0052"/>
    <s v="Sanjay Menon"/>
    <x v="0"/>
    <x v="8"/>
    <s v="West"/>
    <s v="Office Supplies"/>
    <s v="Desk Organizer"/>
    <n v="2"/>
    <n v="0.05"/>
    <n v="860.91"/>
    <n v="234.08"/>
    <x v="3"/>
    <b v="0"/>
    <b v="0"/>
    <b v="0"/>
    <m/>
  </r>
  <r>
    <n v="866"/>
    <s v="ORD-2025-0866"/>
    <d v="2025-09-15T00:00:00"/>
    <x v="5"/>
    <d v="2025-09-20T00:00:00"/>
    <s v="Standard"/>
    <s v="CUST-0118"/>
    <s v="Rohan Mehta"/>
    <x v="0"/>
    <x v="5"/>
    <s v="North"/>
    <s v="Furniture"/>
    <s v="Study Table"/>
    <n v="1"/>
    <n v="0.2"/>
    <n v="5555.91"/>
    <n v="304.58"/>
    <x v="3"/>
    <b v="0"/>
    <b v="0"/>
    <b v="0"/>
    <m/>
  </r>
  <r>
    <n v="867"/>
    <s v="ORD-2025-0867"/>
    <d v="2025-09-20T00:00:00"/>
    <x v="5"/>
    <d v="2025-09-24T00:00:00"/>
    <s v="Standard"/>
    <s v="CUST-0135"/>
    <s v="Ananya Singh"/>
    <x v="0"/>
    <x v="9"/>
    <s v="South"/>
    <s v="Electronics"/>
    <s v="Power Bank"/>
    <n v="1"/>
    <n v="0"/>
    <n v="1243.97"/>
    <n v="353.31"/>
    <x v="0"/>
    <b v="0"/>
    <b v="0"/>
    <b v="0"/>
    <m/>
  </r>
  <r>
    <n v="868"/>
    <s v="ORD-2025-0868"/>
    <d v="2025-09-21T00:00:00"/>
    <x v="5"/>
    <d v="2025-09-22T00:00:00"/>
    <s v="Same Day"/>
    <s v="CUST-0060"/>
    <s v="Neha Gupta"/>
    <x v="0"/>
    <x v="9"/>
    <s v="South"/>
    <s v="Electronics"/>
    <s v="Wireless Mouse"/>
    <n v="1"/>
    <n v="0.05"/>
    <n v="785.37"/>
    <n v="240.68"/>
    <x v="1"/>
    <b v="0"/>
    <b v="0"/>
    <b v="0"/>
    <m/>
  </r>
  <r>
    <n v="869"/>
    <s v="ORD-2025-0869"/>
    <d v="2025-11-07T00:00:00"/>
    <x v="2"/>
    <d v="2025-11-11T00:00:00"/>
    <s v="Standard"/>
    <s v="CUST-0131"/>
    <s v="Aarav Sharma"/>
    <x v="0"/>
    <x v="8"/>
    <s v="West"/>
    <s v="Home &amp; Kitchen"/>
    <s v="Electric Kettle"/>
    <n v="1"/>
    <n v="0"/>
    <n v="1733.04"/>
    <n v="569.80999999999995"/>
    <x v="1"/>
    <b v="0"/>
    <b v="0"/>
    <b v="0"/>
    <m/>
  </r>
  <r>
    <n v="870"/>
    <s v="ORD-2025-0870"/>
    <d v="2025-12-13T00:00:00"/>
    <x v="4"/>
    <d v="2025-12-14T00:00:00"/>
    <s v="Same Day"/>
    <s v="CUST-0078"/>
    <s v="Meera Shah"/>
    <x v="0"/>
    <x v="2"/>
    <s v="West"/>
    <s v="Office Supplies"/>
    <s v="Desk Organizer"/>
    <n v="1"/>
    <n v="0.15"/>
    <n v="399.34"/>
    <n v="51.75"/>
    <x v="1"/>
    <b v="0"/>
    <b v="0"/>
    <b v="0"/>
    <m/>
  </r>
  <r>
    <n v="871"/>
    <s v="ORD-2025-0871"/>
    <d v="2025-03-15T00:00:00"/>
    <x v="11"/>
    <d v="2025-03-17T00:00:00"/>
    <s v="Standard"/>
    <s v="CUST-0040"/>
    <s v="Aarav Sharma"/>
    <x v="0"/>
    <x v="5"/>
    <s v="North"/>
    <s v="Electronics"/>
    <s v="Keyboard"/>
    <n v="1"/>
    <n v="0.1"/>
    <n v="1191.75"/>
    <n v="283.85000000000002"/>
    <x v="2"/>
    <b v="0"/>
    <b v="0"/>
    <b v="0"/>
    <m/>
  </r>
  <r>
    <n v="872"/>
    <s v="ORD-2025-0872"/>
    <d v="2025-12-11T00:00:00"/>
    <x v="4"/>
    <d v="2025-12-12T00:00:00"/>
    <s v="Standard"/>
    <s v="CUST-0243"/>
    <s v="Nikhil Jain"/>
    <x v="0"/>
    <x v="3"/>
    <s v="South"/>
    <s v="Office Supplies"/>
    <s v="Calculator"/>
    <n v="3"/>
    <n v="0.1"/>
    <n v="1704.09"/>
    <n v="192.39"/>
    <x v="1"/>
    <b v="0"/>
    <b v="0"/>
    <b v="0"/>
    <m/>
  </r>
  <r>
    <n v="873"/>
    <s v="ORD-2025-0873"/>
    <d v="2025-07-17T00:00:00"/>
    <x v="7"/>
    <d v="2025-07-21T00:00:00"/>
    <s v="Standard"/>
    <s v="CUST-0214"/>
    <s v="Neha Gupta"/>
    <x v="1"/>
    <x v="10"/>
    <s v="North"/>
    <s v="Home &amp; Kitchen"/>
    <s v="Coffee Mug"/>
    <n v="1"/>
    <n v="0.15"/>
    <n v="262.58"/>
    <n v="66.75"/>
    <x v="3"/>
    <b v="0"/>
    <b v="0"/>
    <b v="0"/>
    <m/>
  </r>
  <r>
    <n v="874"/>
    <s v="ORD-2025-0874"/>
    <d v="2025-08-26T00:00:00"/>
    <x v="6"/>
    <d v="2025-08-29T00:00:00"/>
    <s v="Standard"/>
    <s v="CUST-0181"/>
    <s v="Rohan Mehta"/>
    <x v="1"/>
    <x v="9"/>
    <s v="South"/>
    <s v="Furniture"/>
    <s v="Office Chair"/>
    <n v="2"/>
    <n v="0"/>
    <n v="10821.03"/>
    <n v="2440.7800000000002"/>
    <x v="1"/>
    <b v="0"/>
    <b v="0"/>
    <b v="0"/>
    <m/>
  </r>
  <r>
    <n v="875"/>
    <s v="ORD-2025-0875"/>
    <d v="2025-05-10T00:00:00"/>
    <x v="0"/>
    <d v="2025-05-13T00:00:00"/>
    <s v="Express"/>
    <s v="CUST-0031"/>
    <s v="Pooja Das"/>
    <x v="2"/>
    <x v="9"/>
    <s v="South"/>
    <s v="Home &amp; Kitchen"/>
    <s v="Water Bottle"/>
    <n v="1"/>
    <n v="0.2"/>
    <n v="419.15"/>
    <n v="60.3"/>
    <x v="1"/>
    <b v="0"/>
    <b v="0"/>
    <b v="0"/>
    <m/>
  </r>
  <r>
    <n v="876"/>
    <s v="ORD-2025-0876"/>
    <d v="2025-04-05T00:00:00"/>
    <x v="10"/>
    <d v="2025-04-07T00:00:00"/>
    <s v="Express"/>
    <s v="CUST-0153"/>
    <s v="Neha Gupta"/>
    <x v="1"/>
    <x v="7"/>
    <s v="South"/>
    <s v="Furniture"/>
    <s v="Folding Chair"/>
    <n v="3"/>
    <n v="0"/>
    <n v="5398.3"/>
    <n v="1062.3699999999999"/>
    <x v="1"/>
    <b v="0"/>
    <b v="0"/>
    <b v="0"/>
    <m/>
  </r>
  <r>
    <n v="877"/>
    <s v="ORD-2025-0877"/>
    <d v="2025-03-05T00:00:00"/>
    <x v="11"/>
    <d v="2025-03-10T00:00:00"/>
    <s v="Standard"/>
    <s v="CUST-0122"/>
    <s v="Vikram Rao"/>
    <x v="0"/>
    <x v="11"/>
    <s v="West"/>
    <s v="Home &amp; Kitchen"/>
    <s v="Coffee Mug"/>
    <n v="2"/>
    <n v="0.1"/>
    <n v="549.36"/>
    <n v="98.27"/>
    <x v="2"/>
    <b v="0"/>
    <b v="0"/>
    <b v="0"/>
    <m/>
  </r>
  <r>
    <n v="878"/>
    <s v="ORD-2025-0878"/>
    <d v="2025-06-16T00:00:00"/>
    <x v="8"/>
    <d v="2025-06-18T00:00:00"/>
    <s v="Standard"/>
    <s v="CUST-0067"/>
    <s v="Priya Nair"/>
    <x v="1"/>
    <x v="11"/>
    <s v="West"/>
    <s v="Furniture"/>
    <s v="Folding Chair"/>
    <n v="2"/>
    <n v="0.2"/>
    <n v="2752.88"/>
    <n v="402.67"/>
    <x v="1"/>
    <b v="0"/>
    <b v="0"/>
    <b v="0"/>
    <m/>
  </r>
  <r>
    <n v="879"/>
    <s v="ORD-2025-0879"/>
    <d v="2025-04-06T00:00:00"/>
    <x v="10"/>
    <d v="2025-04-09T00:00:00"/>
    <s v="Express"/>
    <s v="CUST-0106"/>
    <s v="Priya Nair"/>
    <x v="0"/>
    <x v="11"/>
    <s v="West"/>
    <s v="Office Supplies"/>
    <s v="Desk Organizer"/>
    <n v="1"/>
    <n v="0.2"/>
    <n v="347.61"/>
    <n v="3.61"/>
    <x v="3"/>
    <b v="0"/>
    <b v="0"/>
    <b v="0"/>
    <m/>
  </r>
  <r>
    <n v="880"/>
    <s v="ORD-2025-0880"/>
    <d v="2025-02-28T00:00:00"/>
    <x v="3"/>
    <d v="2025-03-05T00:00:00"/>
    <s v="Standard"/>
    <s v="CUST-0149"/>
    <s v="Sanjay Menon"/>
    <x v="0"/>
    <x v="5"/>
    <s v="North"/>
    <s v="Electronics"/>
    <s v="Wireless Mouse"/>
    <n v="2"/>
    <n v="0"/>
    <n v="1654.22"/>
    <n v="495.91"/>
    <x v="1"/>
    <b v="0"/>
    <b v="0"/>
    <b v="0"/>
    <m/>
  </r>
  <r>
    <n v="881"/>
    <s v="ORD-2025-0881"/>
    <d v="2025-11-24T00:00:00"/>
    <x v="2"/>
    <d v="2025-11-26T00:00:00"/>
    <s v="Standard"/>
    <s v="CUST-0197"/>
    <s v="Shreya Kapoor"/>
    <x v="0"/>
    <x v="2"/>
    <s v="West"/>
    <s v="Office Supplies"/>
    <s v="Notebook"/>
    <n v="4"/>
    <n v="0.15"/>
    <n v="605.98"/>
    <n v="44.51"/>
    <x v="2"/>
    <b v="0"/>
    <b v="0"/>
    <b v="0"/>
    <m/>
  </r>
  <r>
    <n v="882"/>
    <s v="ORD-2025-0882"/>
    <d v="2025-09-18T00:00:00"/>
    <x v="5"/>
    <d v="2025-09-23T00:00:00"/>
    <s v="Standard"/>
    <s v="CUST-0079"/>
    <s v="Manish Yadav"/>
    <x v="1"/>
    <x v="4"/>
    <s v="North"/>
    <s v="Furniture"/>
    <s v="Study Table"/>
    <n v="4"/>
    <n v="0"/>
    <n v="28155.01"/>
    <n v="6829.18"/>
    <x v="0"/>
    <b v="0"/>
    <b v="0"/>
    <b v="0"/>
    <m/>
  </r>
  <r>
    <n v="883"/>
    <s v="ORD-2025-0883"/>
    <d v="2025-07-29T00:00:00"/>
    <x v="7"/>
    <d v="2025-08-01T00:00:00"/>
    <s v="Express"/>
    <s v="CUST-0050"/>
    <s v="Ishita Roy"/>
    <x v="1"/>
    <x v="10"/>
    <s v="North"/>
    <s v="Office Supplies"/>
    <s v="Notebook"/>
    <n v="2"/>
    <n v="0"/>
    <n v="349.38"/>
    <n v="79.69"/>
    <x v="3"/>
    <b v="0"/>
    <b v="0"/>
    <b v="0"/>
    <m/>
  </r>
  <r>
    <n v="884"/>
    <s v="ORD-2025-0884"/>
    <d v="2025-02-13T00:00:00"/>
    <x v="3"/>
    <d v="2025-02-16T00:00:00"/>
    <s v="Standard"/>
    <s v="CUST-0093"/>
    <s v="Rahul Verma"/>
    <x v="0"/>
    <x v="8"/>
    <s v="West"/>
    <s v="Electronics"/>
    <s v="Keyboard"/>
    <n v="1"/>
    <n v="0.1"/>
    <n v="1122.3599999999999"/>
    <n v="74.8"/>
    <x v="2"/>
    <b v="0"/>
    <b v="0"/>
    <b v="0"/>
    <m/>
  </r>
  <r>
    <n v="885"/>
    <s v="ORD-2025-0885"/>
    <d v="2025-03-07T00:00:00"/>
    <x v="11"/>
    <d v="2025-03-12T00:00:00"/>
    <s v="Standard"/>
    <s v="CUST-0158"/>
    <s v="Manish Yadav"/>
    <x v="0"/>
    <x v="6"/>
    <s v="South"/>
    <s v="Office Supplies"/>
    <s v="File Folder"/>
    <n v="1"/>
    <n v="0.05"/>
    <n v="81.91"/>
    <n v="10.71"/>
    <x v="2"/>
    <b v="0"/>
    <b v="0"/>
    <b v="0"/>
    <m/>
  </r>
  <r>
    <n v="886"/>
    <s v="ORD-2025-0886"/>
    <d v="2025-11-09T00:00:00"/>
    <x v="2"/>
    <d v="2025-11-12T00:00:00"/>
    <s v="Express"/>
    <s v="CUST-0116"/>
    <s v="Sneha Reddy"/>
    <x v="1"/>
    <x v="5"/>
    <s v="North"/>
    <s v="Electronics"/>
    <s v="Wireless Mouse"/>
    <n v="1"/>
    <n v="0"/>
    <n v="800.15"/>
    <n v="210.69"/>
    <x v="3"/>
    <b v="0"/>
    <b v="0"/>
    <b v="0"/>
    <m/>
  </r>
  <r>
    <n v="887"/>
    <s v="ORD-2025-0887"/>
    <d v="2025-01-13T00:00:00"/>
    <x v="1"/>
    <d v="2025-01-17T00:00:00"/>
    <s v="Express"/>
    <s v="CUST-0172"/>
    <s v="Pooja Das"/>
    <x v="0"/>
    <x v="8"/>
    <s v="West"/>
    <s v="Office Supplies"/>
    <s v="Calculator"/>
    <n v="1"/>
    <n v="0"/>
    <n v="630.66"/>
    <n v="111.95"/>
    <x v="3"/>
    <b v="0"/>
    <b v="0"/>
    <b v="0"/>
    <m/>
  </r>
  <r>
    <n v="888"/>
    <s v="ORD-2025-0888"/>
    <d v="2025-05-28T00:00:00"/>
    <x v="0"/>
    <d v="2025-05-29T00:00:00"/>
    <s v="Express"/>
    <s v="CUST-0227"/>
    <s v="Manish Yadav"/>
    <x v="0"/>
    <x v="3"/>
    <s v="South"/>
    <s v="Furniture"/>
    <s v="Study Table"/>
    <n v="1"/>
    <n v="0.1"/>
    <n v="6051.37"/>
    <n v="419.68"/>
    <x v="1"/>
    <b v="0"/>
    <b v="0"/>
    <b v="0"/>
    <m/>
  </r>
  <r>
    <n v="889"/>
    <s v="ORD-2025-0889"/>
    <d v="2025-08-28T00:00:00"/>
    <x v="6"/>
    <d v="2025-08-30T00:00:00"/>
    <s v="Standard"/>
    <s v="CUST-0009"/>
    <s v="Aditya Kumar"/>
    <x v="2"/>
    <x v="2"/>
    <s v="West"/>
    <s v="Electronics"/>
    <s v="Bluetooth Speaker"/>
    <n v="1"/>
    <n v="0.1"/>
    <n v="1705.81"/>
    <n v="527.29999999999995"/>
    <x v="0"/>
    <b v="0"/>
    <b v="0"/>
    <b v="0"/>
    <m/>
  </r>
  <r>
    <n v="890"/>
    <s v="ORD-2025-0890"/>
    <d v="2025-08-23T00:00:00"/>
    <x v="6"/>
    <d v="2025-08-26T00:00:00"/>
    <s v="Standard"/>
    <s v="CUST-0212"/>
    <s v="Aditya Kumar"/>
    <x v="2"/>
    <x v="3"/>
    <s v="South"/>
    <s v="Home &amp; Kitchen"/>
    <s v="Lunch Box"/>
    <n v="2"/>
    <n v="0.2"/>
    <n v="1101.6300000000001"/>
    <n v="162.02000000000001"/>
    <x v="0"/>
    <b v="0"/>
    <b v="0"/>
    <b v="0"/>
    <m/>
  </r>
  <r>
    <n v="891"/>
    <s v="ORD-2025-0891"/>
    <d v="2025-08-31T00:00:00"/>
    <x v="6"/>
    <d v="2025-09-05T00:00:00"/>
    <s v="Express"/>
    <s v="CUST-0224"/>
    <s v="Ishita Roy"/>
    <x v="1"/>
    <x v="3"/>
    <s v="South"/>
    <s v="Electronics"/>
    <s v="Keyboard"/>
    <n v="4"/>
    <n v="0.05"/>
    <n v="4928.9799999999996"/>
    <n v="1339.68"/>
    <x v="2"/>
    <b v="0"/>
    <b v="0"/>
    <b v="0"/>
    <m/>
  </r>
  <r>
    <n v="892"/>
    <s v="ORD-2025-0892"/>
    <d v="2025-04-06T00:00:00"/>
    <x v="10"/>
    <d v="2025-04-08T00:00:00"/>
    <s v="Express"/>
    <s v="CUST-0156"/>
    <s v="Meera Shah"/>
    <x v="1"/>
    <x v="11"/>
    <s v="West"/>
    <s v="Electronics"/>
    <s v="Wireless Mouse"/>
    <n v="2"/>
    <n v="0"/>
    <n v="1589.71"/>
    <n v="299.32"/>
    <x v="2"/>
    <b v="0"/>
    <b v="0"/>
    <b v="0"/>
    <m/>
  </r>
  <r>
    <n v="893"/>
    <s v="ORD-2025-0893"/>
    <d v="2025-09-17T00:00:00"/>
    <x v="5"/>
    <d v="2025-09-20T00:00:00"/>
    <s v="Express"/>
    <s v="CUST-0115"/>
    <s v="Kavya Iyer"/>
    <x v="2"/>
    <x v="5"/>
    <s v="North"/>
    <s v="Furniture"/>
    <s v="Desk Lamp"/>
    <n v="1"/>
    <n v="0"/>
    <n v="1308.27"/>
    <n v="436.97"/>
    <x v="3"/>
    <b v="0"/>
    <b v="0"/>
    <b v="0"/>
    <m/>
  </r>
  <r>
    <n v="894"/>
    <s v="ORD-2025-0894"/>
    <d v="2025-07-30T00:00:00"/>
    <x v="7"/>
    <d v="2025-07-31T00:00:00"/>
    <s v="Standard"/>
    <s v="CUST-0159"/>
    <s v="Aditya Kumar"/>
    <x v="2"/>
    <x v="8"/>
    <s v="West"/>
    <s v="Home &amp; Kitchen"/>
    <s v="Lunch Box"/>
    <n v="1"/>
    <n v="0.1"/>
    <n v="606.32000000000005"/>
    <n v="90.28"/>
    <x v="2"/>
    <b v="0"/>
    <b v="0"/>
    <b v="0"/>
    <m/>
  </r>
  <r>
    <n v="895"/>
    <s v="ORD-2025-0895"/>
    <d v="2025-12-15T00:00:00"/>
    <x v="4"/>
    <d v="2025-12-17T00:00:00"/>
    <s v="Express"/>
    <s v="CUST-0244"/>
    <s v="Neha Gupta"/>
    <x v="0"/>
    <x v="3"/>
    <s v="South"/>
    <s v="Home &amp; Kitchen"/>
    <s v="Lunch Box"/>
    <n v="2"/>
    <n v="0.1"/>
    <n v="1245.02"/>
    <n v="247.88"/>
    <x v="0"/>
    <b v="0"/>
    <b v="0"/>
    <b v="0"/>
    <m/>
  </r>
  <r>
    <n v="896"/>
    <s v="ORD-2025-0896"/>
    <d v="2025-02-22T00:00:00"/>
    <x v="3"/>
    <d v="2025-02-24T00:00:00"/>
    <s v="Standard"/>
    <s v="CUST-0135"/>
    <s v="Manish Yadav"/>
    <x v="0"/>
    <x v="7"/>
    <s v="South"/>
    <s v="Electronics"/>
    <s v="USB-C Hub"/>
    <n v="1"/>
    <n v="0.15"/>
    <n v="1317.78"/>
    <n v="248.71"/>
    <x v="1"/>
    <b v="0"/>
    <b v="0"/>
    <b v="0"/>
    <m/>
  </r>
  <r>
    <n v="897"/>
    <s v="ORD-2025-0897"/>
    <d v="2025-12-08T00:00:00"/>
    <x v="4"/>
    <d v="2025-12-12T00:00:00"/>
    <s v="Standard"/>
    <s v="CUST-0052"/>
    <s v="Rohan Mehta"/>
    <x v="0"/>
    <x v="1"/>
    <s v="East"/>
    <s v="Electronics"/>
    <s v="Keyboard"/>
    <n v="1"/>
    <n v="0"/>
    <n v="1354.1"/>
    <n v="347.29"/>
    <x v="2"/>
    <b v="0"/>
    <b v="0"/>
    <b v="0"/>
    <m/>
  </r>
  <r>
    <n v="898"/>
    <s v="ORD-2025-0898"/>
    <d v="2025-01-18T00:00:00"/>
    <x v="1"/>
    <d v="2025-01-23T00:00:00"/>
    <s v="Express"/>
    <s v="CUST-0127"/>
    <s v="Neha Gupta"/>
    <x v="0"/>
    <x v="11"/>
    <s v="West"/>
    <s v="Electronics"/>
    <s v="Wireless Mouse"/>
    <n v="2"/>
    <n v="0"/>
    <n v="1539.41"/>
    <n v="339.43"/>
    <x v="3"/>
    <b v="0"/>
    <b v="0"/>
    <b v="0"/>
    <m/>
  </r>
  <r>
    <n v="899"/>
    <s v="ORD-2025-0899"/>
    <d v="2025-12-14T00:00:00"/>
    <x v="4"/>
    <d v="2025-12-19T00:00:00"/>
    <s v="Standard"/>
    <s v="CUST-0153"/>
    <s v="Ananya Singh"/>
    <x v="0"/>
    <x v="10"/>
    <s v="North"/>
    <s v="Electronics"/>
    <s v="Keyboard"/>
    <n v="1"/>
    <n v="0.05"/>
    <n v="1272.69"/>
    <n v="458.63"/>
    <x v="3"/>
    <b v="0"/>
    <b v="0"/>
    <b v="0"/>
    <m/>
  </r>
  <r>
    <n v="900"/>
    <s v="ORD-2025-0900"/>
    <d v="2025-01-15T00:00:00"/>
    <x v="1"/>
    <d v="2025-01-19T00:00:00"/>
    <s v="Express"/>
    <s v="CUST-0077"/>
    <s v="Pooja Das"/>
    <x v="0"/>
    <x v="6"/>
    <s v="South"/>
    <s v="Office Supplies"/>
    <s v="File Folder"/>
    <n v="5"/>
    <n v="0.1"/>
    <n v="385.29"/>
    <n v="56.99"/>
    <x v="3"/>
    <b v="0"/>
    <b v="0"/>
    <b v="0"/>
    <m/>
  </r>
  <r>
    <n v="901"/>
    <s v="ORD-2025-0901"/>
    <d v="2025-09-16T00:00:00"/>
    <x v="5"/>
    <d v="2025-09-18T00:00:00"/>
    <s v="Express"/>
    <s v="CUST-0135"/>
    <s v="Rohan Mehta"/>
    <x v="1"/>
    <x v="2"/>
    <s v="West"/>
    <s v="Office Supplies"/>
    <s v="Calculator"/>
    <n v="2"/>
    <n v="0.1"/>
    <n v="1123.81"/>
    <n v="117.88"/>
    <x v="3"/>
    <b v="0"/>
    <b v="0"/>
    <b v="0"/>
    <m/>
  </r>
  <r>
    <n v="902"/>
    <s v="ORD-2025-0902"/>
    <d v="2025-07-09T00:00:00"/>
    <x v="7"/>
    <d v="2025-07-12T00:00:00"/>
    <s v="Express"/>
    <s v="CUST-0006"/>
    <s v="Ananya Singh"/>
    <x v="0"/>
    <x v="10"/>
    <s v="North"/>
    <s v="Electronics"/>
    <s v="Bluetooth Speaker"/>
    <n v="3"/>
    <n v="0.2"/>
    <n v="4780.62"/>
    <n v="937.94"/>
    <x v="3"/>
    <b v="0"/>
    <b v="0"/>
    <b v="0"/>
    <m/>
  </r>
  <r>
    <n v="903"/>
    <s v="ORD-2025-0903"/>
    <d v="2025-10-16T00:00:00"/>
    <x v="9"/>
    <d v="2025-10-20T00:00:00"/>
    <s v="Standard"/>
    <s v="CUST-0152"/>
    <s v="Pooja Das"/>
    <x v="0"/>
    <x v="5"/>
    <s v="North"/>
    <s v="Furniture"/>
    <s v="Desk Lamp"/>
    <n v="4"/>
    <n v="0.1"/>
    <n v="4888.28"/>
    <n v="1226.74"/>
    <x v="0"/>
    <b v="0"/>
    <b v="0"/>
    <b v="0"/>
    <m/>
  </r>
  <r>
    <n v="904"/>
    <s v="ORD-2025-0904"/>
    <d v="2025-03-01T00:00:00"/>
    <x v="11"/>
    <d v="2025-03-04T00:00:00"/>
    <s v="Express"/>
    <s v="CUST-0193"/>
    <s v="Pooja Das"/>
    <x v="0"/>
    <x v="8"/>
    <s v="West"/>
    <s v="Home &amp; Kitchen"/>
    <s v="Storage Box"/>
    <n v="1"/>
    <n v="0.05"/>
    <n v="812.9"/>
    <n v="125.62"/>
    <x v="4"/>
    <b v="0"/>
    <b v="0"/>
    <b v="0"/>
    <m/>
  </r>
  <r>
    <n v="905"/>
    <s v="ORD-2025-0905"/>
    <d v="2025-07-10T00:00:00"/>
    <x v="7"/>
    <d v="2025-07-14T00:00:00"/>
    <s v="Express"/>
    <s v="CUST-0096"/>
    <s v="Neha Gupta"/>
    <x v="1"/>
    <x v="6"/>
    <s v="South"/>
    <s v="Home &amp; Kitchen"/>
    <s v="Lunch Box"/>
    <n v="4"/>
    <n v="0.2"/>
    <n v="2224.94"/>
    <n v="348.27"/>
    <x v="1"/>
    <b v="0"/>
    <b v="0"/>
    <b v="0"/>
    <m/>
  </r>
  <r>
    <n v="906"/>
    <s v="ORD-2025-0906"/>
    <d v="2025-06-21T00:00:00"/>
    <x v="8"/>
    <d v="2025-06-24T00:00:00"/>
    <s v="Standard"/>
    <s v="CUST-0020"/>
    <s v="Aditya Kumar"/>
    <x v="0"/>
    <x v="2"/>
    <s v="West"/>
    <s v="Electronics"/>
    <s v="Power Bank"/>
    <n v="3"/>
    <n v="0.1"/>
    <n v="3354.62"/>
    <n v="509.92"/>
    <x v="3"/>
    <b v="0"/>
    <b v="0"/>
    <b v="0"/>
    <m/>
  </r>
  <r>
    <n v="907"/>
    <s v="ORD-2025-0907"/>
    <d v="2025-07-15T00:00:00"/>
    <x v="7"/>
    <d v="2025-07-16T00:00:00"/>
    <s v="Same Day"/>
    <s v="CUST-0195"/>
    <s v="Neha Gupta"/>
    <x v="0"/>
    <x v="0"/>
    <s v="East"/>
    <s v="Home &amp; Kitchen"/>
    <s v="Electric Kettle"/>
    <n v="3"/>
    <n v="0"/>
    <n v="5165.9399999999996"/>
    <n v="1194.3399999999999"/>
    <x v="3"/>
    <b v="0"/>
    <b v="0"/>
    <b v="0"/>
    <m/>
  </r>
  <r>
    <n v="908"/>
    <s v="ORD-2025-0908"/>
    <d v="2025-09-28T00:00:00"/>
    <x v="5"/>
    <d v="2025-09-29T00:00:00"/>
    <s v="Express"/>
    <s v="CUST-0234"/>
    <s v="Neha Gupta"/>
    <x v="1"/>
    <x v="6"/>
    <s v="South"/>
    <s v="Electronics"/>
    <s v="Power Bank"/>
    <n v="2"/>
    <n v="0"/>
    <n v="2450.2800000000002"/>
    <n v="510.95"/>
    <x v="2"/>
    <b v="0"/>
    <b v="0"/>
    <b v="0"/>
    <m/>
  </r>
  <r>
    <n v="909"/>
    <s v="ORD-2025-0909"/>
    <d v="2025-09-03T00:00:00"/>
    <x v="5"/>
    <d v="2025-09-05T00:00:00"/>
    <s v="Standard"/>
    <s v="CUST-0158"/>
    <s v="Rohan Mehta"/>
    <x v="1"/>
    <x v="4"/>
    <s v="North"/>
    <s v="Home &amp; Kitchen"/>
    <s v="Electric Kettle"/>
    <n v="1"/>
    <n v="0.15"/>
    <n v="1555.34"/>
    <n v="83.69"/>
    <x v="4"/>
    <b v="0"/>
    <b v="0"/>
    <b v="0"/>
    <m/>
  </r>
  <r>
    <n v="910"/>
    <s v="ORD-2025-0910"/>
    <d v="2025-02-16T00:00:00"/>
    <x v="3"/>
    <d v="2025-02-20T00:00:00"/>
    <s v="Standard"/>
    <s v="CUST-0018"/>
    <s v="Shreya Kapoor"/>
    <x v="1"/>
    <x v="8"/>
    <s v="West"/>
    <s v="Office Supplies"/>
    <s v="File Folder"/>
    <n v="2"/>
    <n v="0"/>
    <n v="184.31"/>
    <n v="44.5"/>
    <x v="4"/>
    <b v="0"/>
    <b v="0"/>
    <b v="0"/>
    <m/>
  </r>
  <r>
    <n v="911"/>
    <s v="ORD-2025-0911"/>
    <d v="2025-12-15T00:00:00"/>
    <x v="4"/>
    <d v="2025-12-19T00:00:00"/>
    <s v="Express"/>
    <s v="CUST-0162"/>
    <s v="Kiran Joshi"/>
    <x v="0"/>
    <x v="8"/>
    <s v="West"/>
    <s v="Home &amp; Kitchen"/>
    <s v="Coffee Mug"/>
    <n v="4"/>
    <n v="0.15"/>
    <n v="1004.78"/>
    <n v="229.4"/>
    <x v="3"/>
    <b v="0"/>
    <b v="0"/>
    <b v="0"/>
    <m/>
  </r>
  <r>
    <n v="912"/>
    <s v="ORD-2025-0912"/>
    <d v="2025-12-09T00:00:00"/>
    <x v="4"/>
    <d v="2025-12-13T00:00:00"/>
    <s v="Express"/>
    <s v="CUST-0147"/>
    <s v="Ananya Singh"/>
    <x v="0"/>
    <x v="9"/>
    <s v="South"/>
    <s v="Furniture"/>
    <s v="Bookshelf"/>
    <n v="2"/>
    <n v="0"/>
    <n v="9118.43"/>
    <n v="2636.44"/>
    <x v="3"/>
    <b v="0"/>
    <b v="0"/>
    <b v="0"/>
    <m/>
  </r>
  <r>
    <n v="913"/>
    <s v="ORD-2025-0913"/>
    <d v="2025-07-14T00:00:00"/>
    <x v="7"/>
    <d v="2025-07-17T00:00:00"/>
    <s v="Express"/>
    <s v="CUST-0082"/>
    <s v="Rahul Verma"/>
    <x v="0"/>
    <x v="9"/>
    <s v="South"/>
    <s v="Home &amp; Kitchen"/>
    <s v="Water Bottle"/>
    <n v="1"/>
    <n v="0.1"/>
    <n v="449.56"/>
    <n v="87.38"/>
    <x v="3"/>
    <b v="0"/>
    <b v="0"/>
    <b v="0"/>
    <m/>
  </r>
  <r>
    <n v="914"/>
    <s v="ORD-2025-0914"/>
    <d v="2025-02-12T00:00:00"/>
    <x v="3"/>
    <d v="2025-02-17T00:00:00"/>
    <s v="Express"/>
    <s v="CUST-0049"/>
    <s v="Aditya Kumar"/>
    <x v="1"/>
    <x v="1"/>
    <s v="East"/>
    <s v="Furniture"/>
    <s v="Bookshelf"/>
    <n v="1"/>
    <n v="0.15"/>
    <n v="3850.96"/>
    <n v="667.44"/>
    <x v="0"/>
    <b v="0"/>
    <b v="0"/>
    <b v="0"/>
    <m/>
  </r>
  <r>
    <n v="915"/>
    <s v="ORD-2025-0915"/>
    <d v="2025-03-10T00:00:00"/>
    <x v="11"/>
    <d v="2025-03-13T00:00:00"/>
    <s v="Standard"/>
    <s v="CUST-0158"/>
    <s v="Sanjay Menon"/>
    <x v="1"/>
    <x v="9"/>
    <s v="South"/>
    <s v="Home &amp; Kitchen"/>
    <s v="Electric Kettle"/>
    <n v="2"/>
    <n v="0.2"/>
    <n v="2970.82"/>
    <n v="347.26"/>
    <x v="1"/>
    <b v="0"/>
    <b v="0"/>
    <b v="0"/>
    <m/>
  </r>
  <r>
    <n v="916"/>
    <s v="ORD-2025-0916"/>
    <d v="2025-01-13T00:00:00"/>
    <x v="1"/>
    <d v="2025-01-15T00:00:00"/>
    <s v="Standard"/>
    <s v="CUST-0155"/>
    <s v="Kiran Joshi"/>
    <x v="0"/>
    <x v="11"/>
    <s v="West"/>
    <s v="Office Supplies"/>
    <s v="Calculator"/>
    <n v="4"/>
    <n v="0.1"/>
    <n v="2401.56"/>
    <n v="444.1"/>
    <x v="1"/>
    <b v="0"/>
    <b v="0"/>
    <b v="0"/>
    <m/>
  </r>
  <r>
    <n v="917"/>
    <s v="ORD-2025-0917"/>
    <d v="2025-10-21T00:00:00"/>
    <x v="9"/>
    <d v="2025-10-26T00:00:00"/>
    <s v="Same Day"/>
    <s v="CUST-0082"/>
    <s v="Ishita Roy"/>
    <x v="0"/>
    <x v="3"/>
    <s v="South"/>
    <s v="Electronics"/>
    <s v="Keyboard"/>
    <n v="1"/>
    <n v="0.25"/>
    <n v="1011.24"/>
    <n v="153.97"/>
    <x v="2"/>
    <b v="0"/>
    <b v="0"/>
    <b v="0"/>
    <m/>
  </r>
  <r>
    <n v="918"/>
    <s v="ORD-2025-0918"/>
    <d v="2025-05-31T00:00:00"/>
    <x v="0"/>
    <d v="2025-06-05T00:00:00"/>
    <s v="Standard"/>
    <s v="CUST-0169"/>
    <s v="Aarav Sharma"/>
    <x v="0"/>
    <x v="3"/>
    <s v="South"/>
    <s v="Furniture"/>
    <s v="Folding Chair"/>
    <n v="2"/>
    <n v="0.15"/>
    <n v="2908.81"/>
    <n v="348.43"/>
    <x v="1"/>
    <b v="0"/>
    <b v="0"/>
    <b v="0"/>
    <m/>
  </r>
  <r>
    <n v="919"/>
    <s v="ORD-2025-0919"/>
    <d v="2025-02-18T00:00:00"/>
    <x v="3"/>
    <d v="2025-02-22T00:00:00"/>
    <s v="Standard"/>
    <s v="CUST-0223"/>
    <s v="Arjun Patel"/>
    <x v="0"/>
    <x v="6"/>
    <s v="South"/>
    <s v="Electronics"/>
    <s v="Keyboard"/>
    <n v="1"/>
    <n v="0"/>
    <n v="1326.08"/>
    <n v="503.05"/>
    <x v="0"/>
    <b v="0"/>
    <b v="0"/>
    <b v="0"/>
    <m/>
  </r>
  <r>
    <n v="920"/>
    <s v="ORD-2025-0920"/>
    <d v="2025-02-22T00:00:00"/>
    <x v="3"/>
    <d v="2025-02-25T00:00:00"/>
    <s v="Standard"/>
    <s v="CUST-0061"/>
    <s v="Arjun Patel"/>
    <x v="0"/>
    <x v="6"/>
    <s v="South"/>
    <s v="Home &amp; Kitchen"/>
    <s v="Coffee Mug"/>
    <n v="2"/>
    <n v="0.1"/>
    <n v="562.26"/>
    <n v="119.39"/>
    <x v="2"/>
    <b v="0"/>
    <b v="0"/>
    <b v="0"/>
    <m/>
  </r>
  <r>
    <n v="921"/>
    <s v="ORD-2025-0921"/>
    <d v="2025-06-15T00:00:00"/>
    <x v="8"/>
    <d v="2025-06-18T00:00:00"/>
    <s v="Same Day"/>
    <s v="CUST-0097"/>
    <s v="Nikhil Jain"/>
    <x v="0"/>
    <x v="6"/>
    <s v="South"/>
    <s v="Furniture"/>
    <s v="Bookshelf"/>
    <n v="3"/>
    <n v="0"/>
    <n v="13468.53"/>
    <n v="3013.57"/>
    <x v="3"/>
    <b v="0"/>
    <b v="0"/>
    <b v="0"/>
    <m/>
  </r>
  <r>
    <n v="922"/>
    <s v="ORD-2025-0922"/>
    <d v="2025-12-26T00:00:00"/>
    <x v="4"/>
    <d v="2025-12-30T00:00:00"/>
    <s v="Standard"/>
    <s v="CUST-0129"/>
    <s v="Rahul Verma"/>
    <x v="0"/>
    <x v="0"/>
    <s v="East"/>
    <s v="Electronics"/>
    <s v="Keyboard"/>
    <n v="2"/>
    <n v="0.05"/>
    <n v="2439.2399999999998"/>
    <n v="375.59"/>
    <x v="4"/>
    <b v="0"/>
    <b v="0"/>
    <b v="0"/>
    <m/>
  </r>
  <r>
    <n v="923"/>
    <s v="ORD-2025-0923"/>
    <d v="2025-03-20T00:00:00"/>
    <x v="11"/>
    <d v="2025-03-23T00:00:00"/>
    <s v="Standard"/>
    <s v="CUST-0219"/>
    <s v="Vikram Rao"/>
    <x v="1"/>
    <x v="9"/>
    <s v="South"/>
    <s v="Furniture"/>
    <s v="Folding Chair"/>
    <n v="1"/>
    <n v="0.25"/>
    <n v="1369.98"/>
    <n v="247.81"/>
    <x v="3"/>
    <b v="0"/>
    <b v="0"/>
    <b v="0"/>
    <m/>
  </r>
  <r>
    <n v="924"/>
    <s v="ORD-2025-0924"/>
    <d v="2025-12-01T00:00:00"/>
    <x v="4"/>
    <d v="2025-12-04T00:00:00"/>
    <s v="Same Day"/>
    <s v="CUST-0117"/>
    <s v="Nikhil Jain"/>
    <x v="2"/>
    <x v="7"/>
    <s v="South"/>
    <s v="Home &amp; Kitchen"/>
    <s v="Coffee Mug"/>
    <n v="3"/>
    <n v="0.05"/>
    <n v="871.67"/>
    <n v="240.24"/>
    <x v="0"/>
    <b v="0"/>
    <b v="0"/>
    <b v="0"/>
    <m/>
  </r>
  <r>
    <n v="925"/>
    <s v="ORD-2025-0925"/>
    <d v="2025-02-18T00:00:00"/>
    <x v="3"/>
    <d v="2025-02-21T00:00:00"/>
    <s v="Standard"/>
    <s v="CUST-0002"/>
    <s v="Nikhil Jain"/>
    <x v="0"/>
    <x v="8"/>
    <s v="West"/>
    <s v="Electronics"/>
    <s v="Keyboard"/>
    <n v="2"/>
    <n v="0.2"/>
    <n v="2071.5300000000002"/>
    <n v="342.4"/>
    <x v="1"/>
    <b v="0"/>
    <b v="0"/>
    <b v="0"/>
    <m/>
  </r>
  <r>
    <n v="926"/>
    <s v="ORD-2025-0926"/>
    <d v="2025-09-11T00:00:00"/>
    <x v="5"/>
    <d v="2025-09-13T00:00:00"/>
    <s v="Express"/>
    <s v="CUST-0150"/>
    <s v="Shreya Kapoor"/>
    <x v="0"/>
    <x v="10"/>
    <s v="North"/>
    <s v="Furniture"/>
    <s v="Office Chair"/>
    <n v="1"/>
    <n v="0.1"/>
    <n v="4707.07"/>
    <n v="1110.95"/>
    <x v="2"/>
    <b v="0"/>
    <b v="0"/>
    <b v="0"/>
    <m/>
  </r>
  <r>
    <n v="927"/>
    <s v="ORD-2025-0927"/>
    <d v="2025-01-18T00:00:00"/>
    <x v="1"/>
    <d v="2025-01-19T00:00:00"/>
    <s v="Standard"/>
    <s v="CUST-0005"/>
    <s v="Vikram Rao"/>
    <x v="1"/>
    <x v="10"/>
    <s v="North"/>
    <s v="Electronics"/>
    <s v="Power Bank"/>
    <n v="1"/>
    <n v="0.1"/>
    <n v="1070.5999999999999"/>
    <n v="125.89"/>
    <x v="3"/>
    <b v="0"/>
    <b v="0"/>
    <b v="0"/>
    <m/>
  </r>
  <r>
    <n v="928"/>
    <s v="ORD-2025-0928"/>
    <d v="2025-07-12T00:00:00"/>
    <x v="7"/>
    <d v="2025-07-13T00:00:00"/>
    <s v="Standard"/>
    <s v="CUST-0099"/>
    <s v="Pooja Das"/>
    <x v="0"/>
    <x v="7"/>
    <s v="South"/>
    <s v="Office Supplies"/>
    <s v="Pen Set"/>
    <n v="1"/>
    <n v="0.2"/>
    <n v="92.04"/>
    <n v="1.25"/>
    <x v="2"/>
    <b v="0"/>
    <b v="0"/>
    <b v="0"/>
    <m/>
  </r>
  <r>
    <n v="929"/>
    <s v="ORD-2025-0929"/>
    <d v="2025-06-17T00:00:00"/>
    <x v="8"/>
    <d v="2025-06-18T00:00:00"/>
    <s v="Standard"/>
    <s v="CUST-0190"/>
    <s v="Shreya Kapoor"/>
    <x v="2"/>
    <x v="7"/>
    <s v="South"/>
    <s v="Electronics"/>
    <s v="Bluetooth Speaker"/>
    <n v="3"/>
    <n v="0"/>
    <n v="5747.92"/>
    <n v="1436.17"/>
    <x v="1"/>
    <b v="0"/>
    <b v="0"/>
    <b v="0"/>
    <m/>
  </r>
  <r>
    <n v="930"/>
    <s v="ORD-2025-0930"/>
    <d v="2025-02-06T00:00:00"/>
    <x v="3"/>
    <d v="2025-02-09T00:00:00"/>
    <s v="Same Day"/>
    <s v="CUST-0209"/>
    <s v="Rahul Verma"/>
    <x v="2"/>
    <x v="11"/>
    <s v="West"/>
    <s v="Home &amp; Kitchen"/>
    <s v="Water Bottle"/>
    <n v="4"/>
    <n v="0.1"/>
    <n v="1727.62"/>
    <n v="370.6"/>
    <x v="3"/>
    <b v="0"/>
    <b v="0"/>
    <b v="0"/>
    <m/>
  </r>
  <r>
    <n v="931"/>
    <s v="ORD-2025-0931"/>
    <d v="2025-02-08T00:00:00"/>
    <x v="3"/>
    <d v="2025-02-09T00:00:00"/>
    <s v="Standard"/>
    <s v="CUST-0148"/>
    <s v="Meera Shah"/>
    <x v="0"/>
    <x v="3"/>
    <s v="South"/>
    <s v="Electronics"/>
    <s v="Power Bank"/>
    <n v="1"/>
    <n v="0.1"/>
    <n v="1068.26"/>
    <n v="88.45"/>
    <x v="3"/>
    <b v="0"/>
    <b v="0"/>
    <b v="0"/>
    <m/>
  </r>
  <r>
    <n v="932"/>
    <s v="ORD-2025-0932"/>
    <d v="2025-04-05T00:00:00"/>
    <x v="10"/>
    <d v="2025-04-06T00:00:00"/>
    <s v="Express"/>
    <s v="CUST-0134"/>
    <s v="Divya Rao"/>
    <x v="0"/>
    <x v="4"/>
    <s v="North"/>
    <s v="Electronics"/>
    <s v="USB-C Hub"/>
    <n v="2"/>
    <n v="0.05"/>
    <n v="2900.32"/>
    <n v="884.19"/>
    <x v="4"/>
    <b v="0"/>
    <b v="0"/>
    <b v="0"/>
    <m/>
  </r>
  <r>
    <n v="933"/>
    <s v="ORD-2025-0933"/>
    <d v="2025-12-31T00:00:00"/>
    <x v="4"/>
    <d v="2026-01-01T00:00:00"/>
    <s v="Express"/>
    <s v="CUST-0015"/>
    <s v="Sneha Reddy"/>
    <x v="0"/>
    <x v="1"/>
    <s v="East"/>
    <s v="Electronics"/>
    <s v="Wireless Mouse"/>
    <n v="3"/>
    <n v="0"/>
    <n v="2451.1999999999998"/>
    <n v="814.3"/>
    <x v="3"/>
    <b v="0"/>
    <b v="0"/>
    <b v="0"/>
    <m/>
  </r>
  <r>
    <n v="934"/>
    <s v="ORD-2025-0934"/>
    <d v="2025-08-10T00:00:00"/>
    <x v="6"/>
    <d v="2025-08-15T00:00:00"/>
    <s v="Express"/>
    <s v="CUST-0185"/>
    <s v="Ishita Roy"/>
    <x v="1"/>
    <x v="6"/>
    <s v="South"/>
    <s v="Furniture"/>
    <s v="Desk Lamp"/>
    <n v="3"/>
    <n v="0"/>
    <n v="4069.73"/>
    <n v="1090.1500000000001"/>
    <x v="1"/>
    <b v="0"/>
    <b v="0"/>
    <b v="0"/>
    <m/>
  </r>
  <r>
    <n v="935"/>
    <s v="ORD-2025-0935"/>
    <d v="2025-11-16T00:00:00"/>
    <x v="2"/>
    <d v="2025-11-21T00:00:00"/>
    <s v="Express"/>
    <s v="CUST-0036"/>
    <s v="Sanjay Menon"/>
    <x v="0"/>
    <x v="6"/>
    <s v="South"/>
    <s v="Office Supplies"/>
    <s v="Calculator"/>
    <n v="2"/>
    <n v="0.05"/>
    <n v="1211.33"/>
    <n v="175.36"/>
    <x v="4"/>
    <b v="0"/>
    <b v="0"/>
    <b v="0"/>
    <m/>
  </r>
  <r>
    <n v="936"/>
    <s v="ORD-2025-0936"/>
    <d v="2025-06-20T00:00:00"/>
    <x v="8"/>
    <d v="2025-06-22T00:00:00"/>
    <s v="Standard"/>
    <s v="CUST-0110"/>
    <s v="Rahul Verma"/>
    <x v="0"/>
    <x v="5"/>
    <s v="North"/>
    <s v="Home &amp; Kitchen"/>
    <s v="Water Bottle"/>
    <n v="1"/>
    <n v="0.05"/>
    <n v="494.49"/>
    <n v="149.04"/>
    <x v="1"/>
    <b v="0"/>
    <b v="0"/>
    <b v="0"/>
    <m/>
  </r>
  <r>
    <n v="937"/>
    <s v="ORD-2025-0937"/>
    <d v="2025-01-31T00:00:00"/>
    <x v="1"/>
    <d v="2025-02-02T00:00:00"/>
    <s v="Standard"/>
    <s v="CUST-0171"/>
    <s v="Sanjay Menon"/>
    <x v="2"/>
    <x v="5"/>
    <s v="North"/>
    <s v="Furniture"/>
    <s v="Office Chair"/>
    <n v="3"/>
    <n v="0"/>
    <n v="16847.63"/>
    <n v="5405.63"/>
    <x v="1"/>
    <b v="0"/>
    <b v="0"/>
    <b v="0"/>
    <m/>
  </r>
  <r>
    <n v="938"/>
    <s v="ORD-2025-0938"/>
    <d v="2025-09-17T00:00:00"/>
    <x v="5"/>
    <d v="2025-09-21T00:00:00"/>
    <s v="Express"/>
    <s v="CUST-0026"/>
    <s v="Sneha Reddy"/>
    <x v="0"/>
    <x v="3"/>
    <s v="South"/>
    <s v="Electronics"/>
    <s v="Power Bank"/>
    <n v="2"/>
    <n v="0"/>
    <n v="2399.5300000000002"/>
    <n v="627.84"/>
    <x v="1"/>
    <b v="0"/>
    <b v="0"/>
    <b v="0"/>
    <m/>
  </r>
  <r>
    <n v="939"/>
    <s v="ORD-2025-0939"/>
    <d v="2025-07-15T00:00:00"/>
    <x v="7"/>
    <d v="2025-07-17T00:00:00"/>
    <s v="Express"/>
    <s v="CUST-0045"/>
    <s v="Shreya Kapoor"/>
    <x v="1"/>
    <x v="3"/>
    <s v="South"/>
    <s v="Office Supplies"/>
    <s v="File Folder"/>
    <n v="2"/>
    <n v="0"/>
    <n v="188.16"/>
    <n v="70.069999999999993"/>
    <x v="2"/>
    <b v="0"/>
    <b v="0"/>
    <b v="0"/>
    <m/>
  </r>
  <r>
    <n v="940"/>
    <s v="ORD-2025-0940"/>
    <d v="2025-05-29T00:00:00"/>
    <x v="0"/>
    <d v="2025-05-30T00:00:00"/>
    <s v="Standard"/>
    <s v="CUST-0006"/>
    <s v="Sneha Reddy"/>
    <x v="0"/>
    <x v="8"/>
    <s v="West"/>
    <s v="Furniture"/>
    <s v="Study Table"/>
    <n v="2"/>
    <n v="0.05"/>
    <n v="13081.86"/>
    <n v="4059.2"/>
    <x v="1"/>
    <b v="0"/>
    <b v="0"/>
    <b v="0"/>
    <m/>
  </r>
  <r>
    <n v="941"/>
    <s v="ORD-2025-0941"/>
    <d v="2025-07-30T00:00:00"/>
    <x v="7"/>
    <d v="2025-08-03T00:00:00"/>
    <s v="Express"/>
    <s v="CUST-0178"/>
    <s v="Shreya Kapoor"/>
    <x v="0"/>
    <x v="5"/>
    <s v="North"/>
    <s v="Furniture"/>
    <s v="Folding Chair"/>
    <n v="2"/>
    <n v="0.15"/>
    <n v="3144.39"/>
    <n v="804.55"/>
    <x v="3"/>
    <b v="0"/>
    <b v="0"/>
    <b v="0"/>
    <m/>
  </r>
  <r>
    <n v="942"/>
    <s v="ORD-2025-0942"/>
    <d v="2025-08-30T00:00:00"/>
    <x v="6"/>
    <d v="2025-09-03T00:00:00"/>
    <s v="Standard"/>
    <s v="CUST-0168"/>
    <s v="Kiran Joshi"/>
    <x v="0"/>
    <x v="2"/>
    <s v="West"/>
    <s v="Office Supplies"/>
    <s v="Pen Set"/>
    <n v="2"/>
    <n v="0.15"/>
    <n v="200.64"/>
    <n v="10.41"/>
    <x v="3"/>
    <b v="0"/>
    <b v="0"/>
    <b v="0"/>
    <m/>
  </r>
  <r>
    <n v="943"/>
    <s v="ORD-2025-0943"/>
    <d v="2025-05-23T00:00:00"/>
    <x v="0"/>
    <d v="2025-05-28T00:00:00"/>
    <s v="Same Day"/>
    <s v="CUST-0162"/>
    <s v="Kiran Joshi"/>
    <x v="2"/>
    <x v="0"/>
    <s v="East"/>
    <s v="Home &amp; Kitchen"/>
    <s v="Storage Box"/>
    <n v="2"/>
    <n v="0"/>
    <n v="1777.33"/>
    <n v="361.77"/>
    <x v="2"/>
    <b v="0"/>
    <b v="0"/>
    <b v="0"/>
    <m/>
  </r>
  <r>
    <n v="944"/>
    <s v="ORD-2025-0944"/>
    <d v="2025-07-09T00:00:00"/>
    <x v="7"/>
    <d v="2025-07-10T00:00:00"/>
    <s v="Same Day"/>
    <s v="CUST-0118"/>
    <s v="Ishita Roy"/>
    <x v="1"/>
    <x v="8"/>
    <s v="West"/>
    <s v="Home &amp; Kitchen"/>
    <s v="Lunch Box"/>
    <n v="4"/>
    <n v="0.2"/>
    <n v="2205.98"/>
    <n v="350.86"/>
    <x v="1"/>
    <b v="0"/>
    <b v="0"/>
    <b v="0"/>
    <m/>
  </r>
  <r>
    <n v="945"/>
    <s v="ORD-2025-0945"/>
    <d v="2025-02-15T00:00:00"/>
    <x v="3"/>
    <d v="2025-02-20T00:00:00"/>
    <s v="Standard"/>
    <s v="CUST-0156"/>
    <s v="Divya Rao"/>
    <x v="1"/>
    <x v="7"/>
    <s v="South"/>
    <s v="Home &amp; Kitchen"/>
    <s v="Water Bottle"/>
    <n v="3"/>
    <n v="0.1"/>
    <n v="1341.69"/>
    <n v="330.6"/>
    <x v="1"/>
    <b v="0"/>
    <b v="0"/>
    <b v="0"/>
    <m/>
  </r>
  <r>
    <n v="946"/>
    <s v="ORD-2025-0946"/>
    <d v="2025-10-21T00:00:00"/>
    <x v="9"/>
    <d v="2025-10-25T00:00:00"/>
    <s v="Same Day"/>
    <s v="CUST-0118"/>
    <s v="Kavya Iyer"/>
    <x v="0"/>
    <x v="11"/>
    <s v="West"/>
    <s v="Electronics"/>
    <s v="Bluetooth Speaker"/>
    <n v="1"/>
    <n v="0.05"/>
    <n v="1800.75"/>
    <n v="471.2"/>
    <x v="2"/>
    <b v="0"/>
    <b v="0"/>
    <b v="0"/>
    <m/>
  </r>
  <r>
    <n v="947"/>
    <s v="ORD-2025-0947"/>
    <d v="2025-11-09T00:00:00"/>
    <x v="2"/>
    <d v="2025-11-11T00:00:00"/>
    <s v="Same Day"/>
    <s v="CUST-0093"/>
    <s v="Sneha Reddy"/>
    <x v="0"/>
    <x v="7"/>
    <s v="South"/>
    <s v="Electronics"/>
    <s v="Keyboard"/>
    <n v="3"/>
    <n v="0.05"/>
    <n v="3658.19"/>
    <n v="851.62"/>
    <x v="1"/>
    <b v="0"/>
    <b v="0"/>
    <b v="0"/>
    <m/>
  </r>
  <r>
    <n v="948"/>
    <s v="ORD-2025-0948"/>
    <d v="2025-06-08T00:00:00"/>
    <x v="8"/>
    <d v="2025-06-13T00:00:00"/>
    <s v="Standard"/>
    <s v="CUST-0124"/>
    <s v="Ananya Singh"/>
    <x v="1"/>
    <x v="8"/>
    <s v="West"/>
    <s v="Electronics"/>
    <s v="Bluetooth Speaker"/>
    <n v="3"/>
    <n v="0.05"/>
    <n v="5624.2"/>
    <n v="1050.8800000000001"/>
    <x v="4"/>
    <b v="0"/>
    <b v="0"/>
    <b v="0"/>
    <m/>
  </r>
  <r>
    <n v="949"/>
    <s v="ORD-2025-0949"/>
    <d v="2025-07-04T00:00:00"/>
    <x v="7"/>
    <d v="2025-07-05T00:00:00"/>
    <s v="Standard"/>
    <s v="CUST-0187"/>
    <s v="Nikhil Jain"/>
    <x v="1"/>
    <x v="9"/>
    <s v="South"/>
    <s v="Furniture"/>
    <s v="Folding Chair"/>
    <n v="4"/>
    <n v="0.15"/>
    <n v="6053.47"/>
    <n v="993.17"/>
    <x v="1"/>
    <b v="0"/>
    <b v="0"/>
    <b v="0"/>
    <m/>
  </r>
  <r>
    <n v="950"/>
    <s v="ORD-2025-0950"/>
    <d v="2025-01-21T00:00:00"/>
    <x v="1"/>
    <d v="2025-01-26T00:00:00"/>
    <s v="Express"/>
    <s v="CUST-0137"/>
    <s v="Vikram Rao"/>
    <x v="0"/>
    <x v="5"/>
    <s v="North"/>
    <s v="Electronics"/>
    <s v="Keyboard"/>
    <n v="1"/>
    <n v="0.15"/>
    <n v="1138.7"/>
    <n v="302.56"/>
    <x v="2"/>
    <b v="0"/>
    <b v="0"/>
    <b v="0"/>
    <m/>
  </r>
  <r>
    <n v="951"/>
    <s v="ORD-2025-0951"/>
    <d v="2025-12-25T00:00:00"/>
    <x v="4"/>
    <d v="2025-12-30T00:00:00"/>
    <s v="Same Day"/>
    <s v="CUST-0094"/>
    <s v="Pooja Das"/>
    <x v="0"/>
    <x v="1"/>
    <s v="East"/>
    <s v="Electronics"/>
    <s v="Power Bank"/>
    <n v="4"/>
    <n v="0.2"/>
    <n v="3823.09"/>
    <n v="-39.78"/>
    <x v="0"/>
    <b v="0"/>
    <b v="0"/>
    <b v="0"/>
    <m/>
  </r>
  <r>
    <n v="952"/>
    <s v="ORD-2025-0952"/>
    <d v="2025-04-07T00:00:00"/>
    <x v="10"/>
    <d v="2025-04-09T00:00:00"/>
    <s v="Standard"/>
    <s v="CUST-0162"/>
    <s v="Divya Rao"/>
    <x v="0"/>
    <x v="1"/>
    <s v="East"/>
    <s v="Furniture"/>
    <s v="Study Table"/>
    <n v="2"/>
    <n v="0"/>
    <n v="13573.6"/>
    <n v="4850.34"/>
    <x v="1"/>
    <b v="0"/>
    <b v="0"/>
    <b v="0"/>
    <m/>
  </r>
  <r>
    <n v="953"/>
    <s v="ORD-2025-0953"/>
    <d v="2025-07-23T00:00:00"/>
    <x v="7"/>
    <d v="2025-07-25T00:00:00"/>
    <s v="Standard"/>
    <s v="CUST-0180"/>
    <s v="Ishita Roy"/>
    <x v="2"/>
    <x v="3"/>
    <s v="South"/>
    <s v="Furniture"/>
    <s v="Study Table"/>
    <n v="2"/>
    <n v="0.15"/>
    <n v="12199.64"/>
    <n v="1390.96"/>
    <x v="1"/>
    <b v="0"/>
    <b v="0"/>
    <b v="0"/>
    <m/>
  </r>
  <r>
    <n v="954"/>
    <s v="ORD-2025-0954"/>
    <d v="2025-06-30T00:00:00"/>
    <x v="8"/>
    <d v="2025-07-05T00:00:00"/>
    <s v="Express"/>
    <s v="CUST-0210"/>
    <s v="Shreya Kapoor"/>
    <x v="1"/>
    <x v="5"/>
    <s v="North"/>
    <s v="Home &amp; Kitchen"/>
    <s v="Lunch Box"/>
    <n v="1"/>
    <n v="0"/>
    <n v="697.27"/>
    <n v="201.07"/>
    <x v="2"/>
    <b v="0"/>
    <b v="0"/>
    <b v="0"/>
    <m/>
  </r>
  <r>
    <n v="955"/>
    <s v="ORD-2025-0955"/>
    <d v="2025-12-05T00:00:00"/>
    <x v="4"/>
    <d v="2025-12-09T00:00:00"/>
    <s v="Standard"/>
    <s v="CUST-0050"/>
    <s v="Vikram Rao"/>
    <x v="0"/>
    <x v="1"/>
    <s v="East"/>
    <s v="Electronics"/>
    <s v="Bluetooth Speaker"/>
    <n v="2"/>
    <n v="0.05"/>
    <n v="3721.41"/>
    <n v="1241.58"/>
    <x v="1"/>
    <b v="0"/>
    <b v="0"/>
    <b v="0"/>
    <m/>
  </r>
  <r>
    <n v="956"/>
    <s v="ORD-2025-0956"/>
    <d v="2025-07-20T00:00:00"/>
    <x v="7"/>
    <d v="2025-07-21T00:00:00"/>
    <s v="Standard"/>
    <s v="CUST-0066"/>
    <s v="Rohan Mehta"/>
    <x v="0"/>
    <x v="7"/>
    <s v="South"/>
    <s v="Office Supplies"/>
    <s v="Calculator"/>
    <n v="3"/>
    <n v="0.1"/>
    <n v="1819.52"/>
    <n v="480.79"/>
    <x v="1"/>
    <b v="0"/>
    <b v="0"/>
    <b v="0"/>
    <m/>
  </r>
  <r>
    <n v="957"/>
    <s v="ORD-2025-0957"/>
    <d v="2025-05-25T00:00:00"/>
    <x v="0"/>
    <d v="2025-05-27T00:00:00"/>
    <s v="Standard"/>
    <s v="CUST-0069"/>
    <s v="Divya Rao"/>
    <x v="0"/>
    <x v="6"/>
    <s v="South"/>
    <s v="Home &amp; Kitchen"/>
    <s v="Lunch Box"/>
    <n v="2"/>
    <n v="0.1"/>
    <n v="1201.8599999999999"/>
    <n v="332.24"/>
    <x v="1"/>
    <b v="0"/>
    <b v="0"/>
    <b v="0"/>
    <m/>
  </r>
  <r>
    <n v="958"/>
    <s v="ORD-2025-0958"/>
    <d v="2025-08-02T00:00:00"/>
    <x v="6"/>
    <d v="2025-08-06T00:00:00"/>
    <s v="Same Day"/>
    <s v="CUST-0092"/>
    <s v="Pooja Das"/>
    <x v="1"/>
    <x v="8"/>
    <s v="West"/>
    <s v="Electronics"/>
    <s v="Keyboard"/>
    <n v="1"/>
    <n v="0"/>
    <n v="1262.53"/>
    <n v="377.85"/>
    <x v="4"/>
    <b v="0"/>
    <b v="0"/>
    <b v="0"/>
    <m/>
  </r>
  <r>
    <n v="959"/>
    <s v="ORD-2025-0959"/>
    <d v="2025-12-22T00:00:00"/>
    <x v="4"/>
    <d v="2025-12-25T00:00:00"/>
    <s v="Express"/>
    <s v="CUST-0111"/>
    <s v="Aditya Kumar"/>
    <x v="0"/>
    <x v="1"/>
    <s v="East"/>
    <s v="Home &amp; Kitchen"/>
    <s v="Storage Box"/>
    <n v="2"/>
    <n v="0.2"/>
    <n v="1392.79"/>
    <n v="108.93"/>
    <x v="1"/>
    <b v="0"/>
    <b v="0"/>
    <b v="0"/>
    <m/>
  </r>
  <r>
    <n v="960"/>
    <s v="ORD-2025-0960"/>
    <d v="2025-08-04T00:00:00"/>
    <x v="6"/>
    <d v="2025-08-09T00:00:00"/>
    <s v="Express"/>
    <s v="CUST-0029"/>
    <s v="Sneha Reddy"/>
    <x v="1"/>
    <x v="1"/>
    <s v="East"/>
    <s v="Office Supplies"/>
    <s v="Notebook"/>
    <n v="2"/>
    <n v="0.05"/>
    <n v="358.92"/>
    <n v="127.46"/>
    <x v="0"/>
    <b v="0"/>
    <b v="0"/>
    <b v="0"/>
    <m/>
  </r>
  <r>
    <n v="961"/>
    <s v="ORD-2025-0961"/>
    <d v="2025-09-06T00:00:00"/>
    <x v="5"/>
    <d v="2025-09-11T00:00:00"/>
    <s v="Standard"/>
    <s v="CUST-0052"/>
    <s v="Ananya Singh"/>
    <x v="1"/>
    <x v="7"/>
    <s v="South"/>
    <s v="Office Supplies"/>
    <s v="File Folder"/>
    <n v="1"/>
    <n v="0.1"/>
    <n v="83.21"/>
    <n v="17.14"/>
    <x v="0"/>
    <b v="0"/>
    <b v="0"/>
    <b v="0"/>
    <m/>
  </r>
  <r>
    <n v="962"/>
    <s v="ORD-2025-0962"/>
    <d v="2025-08-26T00:00:00"/>
    <x v="6"/>
    <d v="2025-08-28T00:00:00"/>
    <s v="Same Day"/>
    <s v="CUST-0074"/>
    <s v="Vikram Rao"/>
    <x v="1"/>
    <x v="8"/>
    <s v="West"/>
    <s v="Electronics"/>
    <s v="Power Bank"/>
    <n v="1"/>
    <n v="0"/>
    <n v="1233.4100000000001"/>
    <n v="379.29"/>
    <x v="4"/>
    <b v="0"/>
    <b v="0"/>
    <b v="0"/>
    <m/>
  </r>
  <r>
    <n v="963"/>
    <s v="ORD-2025-0963"/>
    <d v="2025-05-25T00:00:00"/>
    <x v="0"/>
    <d v="2025-05-26T00:00:00"/>
    <s v="Same Day"/>
    <s v="CUST-0099"/>
    <s v="Ananya Singh"/>
    <x v="0"/>
    <x v="4"/>
    <s v="North"/>
    <s v="Furniture"/>
    <s v="Study Table"/>
    <n v="1"/>
    <n v="0.1"/>
    <n v="6602.74"/>
    <n v="2175.13"/>
    <x v="0"/>
    <b v="0"/>
    <b v="0"/>
    <b v="0"/>
    <m/>
  </r>
  <r>
    <n v="964"/>
    <s v="ORD-2025-0964"/>
    <d v="2025-01-24T00:00:00"/>
    <x v="1"/>
    <d v="2025-01-28T00:00:00"/>
    <s v="Express"/>
    <s v="CUST-0001"/>
    <s v="Priya Nair"/>
    <x v="2"/>
    <x v="5"/>
    <s v="North"/>
    <s v="Electronics"/>
    <s v="Power Bank"/>
    <n v="4"/>
    <n v="0.15"/>
    <n v="4196.01"/>
    <n v="960.62"/>
    <x v="0"/>
    <b v="0"/>
    <b v="0"/>
    <b v="0"/>
    <m/>
  </r>
  <r>
    <n v="965"/>
    <s v="ORD-2025-0965"/>
    <d v="2025-01-30T00:00:00"/>
    <x v="1"/>
    <d v="2025-02-01T00:00:00"/>
    <s v="Standard"/>
    <s v="CUST-0232"/>
    <s v="Pooja Das"/>
    <x v="2"/>
    <x v="7"/>
    <s v="South"/>
    <s v="Home &amp; Kitchen"/>
    <s v="Lunch Box"/>
    <n v="3"/>
    <n v="0.15"/>
    <n v="1869.24"/>
    <n v="402.16"/>
    <x v="0"/>
    <b v="0"/>
    <b v="0"/>
    <b v="0"/>
    <m/>
  </r>
  <r>
    <n v="966"/>
    <s v="ORD-2025-0966"/>
    <d v="2025-06-21T00:00:00"/>
    <x v="8"/>
    <d v="2025-06-25T00:00:00"/>
    <s v="Express"/>
    <s v="CUST-0215"/>
    <s v="Aarav Sharma"/>
    <x v="0"/>
    <x v="3"/>
    <s v="South"/>
    <s v="Home &amp; Kitchen"/>
    <s v="Water Bottle"/>
    <n v="4"/>
    <n v="0.1"/>
    <n v="1737.07"/>
    <n v="499.49"/>
    <x v="1"/>
    <b v="0"/>
    <b v="0"/>
    <b v="0"/>
    <m/>
  </r>
  <r>
    <n v="967"/>
    <s v="ORD-2025-0967"/>
    <d v="2025-07-11T00:00:00"/>
    <x v="7"/>
    <d v="2025-07-12T00:00:00"/>
    <s v="Standard"/>
    <s v="CUST-0131"/>
    <s v="Sneha Reddy"/>
    <x v="2"/>
    <x v="0"/>
    <s v="East"/>
    <s v="Furniture"/>
    <s v="Study Table"/>
    <n v="3"/>
    <n v="0"/>
    <n v="20995.34"/>
    <n v="6562.15"/>
    <x v="2"/>
    <b v="0"/>
    <b v="0"/>
    <b v="0"/>
    <m/>
  </r>
  <r>
    <n v="968"/>
    <s v="ORD-2025-0968"/>
    <d v="2025-08-22T00:00:00"/>
    <x v="6"/>
    <d v="2025-08-25T00:00:00"/>
    <s v="Standard"/>
    <s v="CUST-0229"/>
    <s v="Meera Shah"/>
    <x v="2"/>
    <x v="5"/>
    <s v="North"/>
    <s v="Electronics"/>
    <s v="Bluetooth Speaker"/>
    <n v="2"/>
    <n v="0"/>
    <n v="3895.35"/>
    <n v="948.13"/>
    <x v="2"/>
    <b v="0"/>
    <b v="0"/>
    <b v="0"/>
    <m/>
  </r>
  <r>
    <n v="969"/>
    <s v="ORD-2025-0969"/>
    <d v="2025-02-17T00:00:00"/>
    <x v="3"/>
    <d v="2025-02-21T00:00:00"/>
    <s v="Express"/>
    <s v="CUST-0181"/>
    <s v="Sneha Reddy"/>
    <x v="0"/>
    <x v="3"/>
    <s v="South"/>
    <s v="Electronics"/>
    <s v="Keyboard"/>
    <n v="5"/>
    <n v="0.2"/>
    <n v="5062.3999999999996"/>
    <n v="81.540000000000006"/>
    <x v="2"/>
    <b v="0"/>
    <b v="0"/>
    <b v="0"/>
    <m/>
  </r>
  <r>
    <n v="970"/>
    <s v="ORD-2025-0970"/>
    <d v="2025-01-07T00:00:00"/>
    <x v="1"/>
    <d v="2025-01-12T00:00:00"/>
    <s v="Express"/>
    <s v="CUST-0042"/>
    <s v="Kiran Joshi"/>
    <x v="0"/>
    <x v="6"/>
    <s v="South"/>
    <s v="Office Supplies"/>
    <s v="Pen Set"/>
    <n v="3"/>
    <n v="0.2"/>
    <n v="284.77999999999997"/>
    <n v="48.22"/>
    <x v="3"/>
    <b v="0"/>
    <b v="0"/>
    <b v="0"/>
    <m/>
  </r>
  <r>
    <n v="971"/>
    <s v="ORD-2025-0971"/>
    <d v="2025-04-13T00:00:00"/>
    <x v="10"/>
    <d v="2025-04-14T00:00:00"/>
    <s v="Standard"/>
    <s v="CUST-0117"/>
    <s v="Ishita Roy"/>
    <x v="1"/>
    <x v="9"/>
    <s v="South"/>
    <s v="Electronics"/>
    <s v="Bluetooth Speaker"/>
    <n v="1"/>
    <n v="0.15"/>
    <n v="1587.37"/>
    <n v="306.51"/>
    <x v="1"/>
    <b v="0"/>
    <b v="0"/>
    <b v="0"/>
    <m/>
  </r>
  <r>
    <n v="972"/>
    <s v="ORD-2025-0972"/>
    <d v="2025-05-18T00:00:00"/>
    <x v="0"/>
    <d v="2025-05-22T00:00:00"/>
    <s v="Standard"/>
    <s v="CUST-0069"/>
    <s v="Arjun Patel"/>
    <x v="0"/>
    <x v="3"/>
    <s v="South"/>
    <s v="Electronics"/>
    <s v="Power Bank"/>
    <n v="4"/>
    <n v="0.05"/>
    <n v="4649.59"/>
    <n v="1330.63"/>
    <x v="3"/>
    <b v="0"/>
    <b v="0"/>
    <b v="0"/>
    <m/>
  </r>
  <r>
    <n v="973"/>
    <s v="ORD-2025-0973"/>
    <d v="2025-08-04T00:00:00"/>
    <x v="6"/>
    <d v="2025-08-05T00:00:00"/>
    <s v="Express"/>
    <s v="CUST-0095"/>
    <s v="Sneha Reddy"/>
    <x v="2"/>
    <x v="10"/>
    <s v="North"/>
    <s v="Home &amp; Kitchen"/>
    <s v="Electric Kettle"/>
    <n v="2"/>
    <n v="0.1"/>
    <n v="3220.01"/>
    <n v="812.16"/>
    <x v="3"/>
    <b v="0"/>
    <b v="0"/>
    <b v="0"/>
    <m/>
  </r>
  <r>
    <n v="974"/>
    <s v="ORD-2025-0974"/>
    <d v="2025-09-10T00:00:00"/>
    <x v="5"/>
    <d v="2025-09-14T00:00:00"/>
    <s v="Standard"/>
    <s v="CUST-0215"/>
    <s v="Ananya Singh"/>
    <x v="1"/>
    <x v="8"/>
    <s v="West"/>
    <s v="Office Supplies"/>
    <s v="Notebook"/>
    <n v="3"/>
    <n v="0.2"/>
    <n v="435.15"/>
    <n v="56.99"/>
    <x v="3"/>
    <b v="0"/>
    <b v="0"/>
    <b v="0"/>
    <m/>
  </r>
  <r>
    <n v="975"/>
    <s v="ORD-2025-0975"/>
    <d v="2025-01-13T00:00:00"/>
    <x v="1"/>
    <d v="2025-01-15T00:00:00"/>
    <s v="Express"/>
    <s v="CUST-0167"/>
    <s v="Rahul Verma"/>
    <x v="0"/>
    <x v="0"/>
    <s v="East"/>
    <s v="Electronics"/>
    <s v="Power Bank"/>
    <n v="1"/>
    <n v="0.25"/>
    <n v="938.69"/>
    <n v="119.31"/>
    <x v="2"/>
    <b v="0"/>
    <b v="0"/>
    <b v="0"/>
    <m/>
  </r>
  <r>
    <n v="976"/>
    <s v="ORD-2025-0976"/>
    <d v="2025-03-10T00:00:00"/>
    <x v="11"/>
    <d v="2025-03-13T00:00:00"/>
    <s v="Express"/>
    <s v="CUST-0154"/>
    <s v="Ishita Roy"/>
    <x v="2"/>
    <x v="4"/>
    <s v="North"/>
    <s v="Office Supplies"/>
    <s v="Notebook"/>
    <n v="2"/>
    <n v="0.2"/>
    <n v="276.92"/>
    <n v="-13.07"/>
    <x v="1"/>
    <b v="0"/>
    <b v="0"/>
    <b v="0"/>
    <m/>
  </r>
  <r>
    <n v="977"/>
    <s v="ORD-2025-0977"/>
    <d v="2025-12-04T00:00:00"/>
    <x v="4"/>
    <d v="2025-12-09T00:00:00"/>
    <s v="Standard"/>
    <s v="CUST-0066"/>
    <s v="Aditya Kumar"/>
    <x v="1"/>
    <x v="5"/>
    <s v="North"/>
    <s v="Electronics"/>
    <s v="Bluetooth Speaker"/>
    <n v="4"/>
    <n v="0.05"/>
    <n v="7558.42"/>
    <n v="2181.2199999999998"/>
    <x v="1"/>
    <b v="0"/>
    <b v="0"/>
    <b v="0"/>
    <m/>
  </r>
  <r>
    <n v="978"/>
    <s v="ORD-2025-0978"/>
    <d v="2025-01-27T00:00:00"/>
    <x v="1"/>
    <d v="2025-01-31T00:00:00"/>
    <s v="Standard"/>
    <s v="CUST-0135"/>
    <s v="Priya Nair"/>
    <x v="1"/>
    <x v="1"/>
    <s v="East"/>
    <s v="Home &amp; Kitchen"/>
    <s v="Water Bottle"/>
    <n v="2"/>
    <n v="0.2"/>
    <n v="821.26"/>
    <n v="52.31"/>
    <x v="3"/>
    <b v="0"/>
    <b v="0"/>
    <b v="0"/>
    <m/>
  </r>
  <r>
    <n v="979"/>
    <s v="ORD-2025-0979"/>
    <d v="2025-09-06T00:00:00"/>
    <x v="5"/>
    <d v="2025-09-08T00:00:00"/>
    <s v="Standard"/>
    <s v="CUST-0103"/>
    <s v="Neha Gupta"/>
    <x v="1"/>
    <x v="0"/>
    <s v="East"/>
    <s v="Home &amp; Kitchen"/>
    <s v="Lunch Box"/>
    <n v="2"/>
    <n v="0.25"/>
    <n v="1012.84"/>
    <n v="68.42"/>
    <x v="3"/>
    <b v="0"/>
    <b v="0"/>
    <b v="0"/>
    <m/>
  </r>
  <r>
    <n v="980"/>
    <s v="ORD-2025-0980"/>
    <d v="2025-10-05T00:00:00"/>
    <x v="9"/>
    <d v="2025-10-07T00:00:00"/>
    <s v="Standard"/>
    <s v="CUST-0115"/>
    <s v="Manish Yadav"/>
    <x v="0"/>
    <x v="9"/>
    <s v="South"/>
    <s v="Office Supplies"/>
    <s v="File Folder"/>
    <n v="1"/>
    <n v="0"/>
    <n v="87.41"/>
    <n v="27.86"/>
    <x v="2"/>
    <b v="0"/>
    <b v="0"/>
    <b v="0"/>
    <m/>
  </r>
  <r>
    <n v="981"/>
    <s v="ORD-2025-0981"/>
    <d v="2025-04-25T00:00:00"/>
    <x v="10"/>
    <d v="2025-04-28T00:00:00"/>
    <s v="Express"/>
    <s v="CUST-0062"/>
    <s v="Ishita Roy"/>
    <x v="0"/>
    <x v="11"/>
    <s v="West"/>
    <s v="Office Supplies"/>
    <s v="Notebook"/>
    <n v="2"/>
    <n v="0.1"/>
    <n v="323.25"/>
    <n v="33.78"/>
    <x v="2"/>
    <b v="0"/>
    <b v="0"/>
    <b v="0"/>
    <m/>
  </r>
  <r>
    <n v="982"/>
    <s v="ORD-2025-0982"/>
    <d v="2025-01-24T00:00:00"/>
    <x v="1"/>
    <d v="2025-01-26T00:00:00"/>
    <s v="Standard"/>
    <s v="CUST-0117"/>
    <s v="Neha Gupta"/>
    <x v="0"/>
    <x v="2"/>
    <s v="West"/>
    <s v="Electronics"/>
    <s v="Wireless Mouse"/>
    <n v="2"/>
    <n v="0.05"/>
    <n v="1564.79"/>
    <n v="556.82000000000005"/>
    <x v="2"/>
    <b v="0"/>
    <b v="0"/>
    <b v="0"/>
    <m/>
  </r>
  <r>
    <n v="983"/>
    <s v="ORD-2025-0983"/>
    <d v="2025-07-16T00:00:00"/>
    <x v="7"/>
    <d v="2025-07-17T00:00:00"/>
    <s v="Standard"/>
    <s v="CUST-0096"/>
    <s v="Ishita Roy"/>
    <x v="0"/>
    <x v="8"/>
    <s v="West"/>
    <s v="Furniture"/>
    <s v="Bookshelf"/>
    <n v="1"/>
    <n v="0.15"/>
    <n v="3846.56"/>
    <n v="167.4"/>
    <x v="0"/>
    <b v="0"/>
    <b v="0"/>
    <b v="0"/>
    <m/>
  </r>
  <r>
    <n v="984"/>
    <s v="ORD-2025-0984"/>
    <d v="2025-12-07T00:00:00"/>
    <x v="4"/>
    <d v="2025-12-09T00:00:00"/>
    <s v="Express"/>
    <s v="CUST-0039"/>
    <s v="Vikram Rao"/>
    <x v="2"/>
    <x v="1"/>
    <s v="East"/>
    <s v="Home &amp; Kitchen"/>
    <s v="Lunch Box"/>
    <n v="1"/>
    <n v="0.2"/>
    <n v="541.64"/>
    <n v="92.73"/>
    <x v="1"/>
    <b v="0"/>
    <b v="0"/>
    <b v="0"/>
    <m/>
  </r>
  <r>
    <n v="985"/>
    <s v="ORD-2025-0985"/>
    <d v="2025-03-16T00:00:00"/>
    <x v="11"/>
    <d v="2025-03-21T00:00:00"/>
    <s v="Standard"/>
    <s v="CUST-0099"/>
    <s v="Shreya Kapoor"/>
    <x v="0"/>
    <x v="5"/>
    <s v="North"/>
    <s v="Office Supplies"/>
    <s v="Desk Organizer"/>
    <n v="3"/>
    <n v="0.15"/>
    <n v="1158.4000000000001"/>
    <n v="58.44"/>
    <x v="0"/>
    <b v="0"/>
    <b v="0"/>
    <b v="0"/>
    <m/>
  </r>
  <r>
    <n v="986"/>
    <s v="ORD-2025-0986"/>
    <d v="2025-09-21T00:00:00"/>
    <x v="5"/>
    <d v="2025-09-22T00:00:00"/>
    <s v="Express"/>
    <s v="CUST-0138"/>
    <s v="Kiran Joshi"/>
    <x v="0"/>
    <x v="11"/>
    <s v="West"/>
    <s v="Furniture"/>
    <s v="Study Table"/>
    <n v="1"/>
    <n v="0.05"/>
    <n v="6392.43"/>
    <n v="1566.38"/>
    <x v="4"/>
    <b v="0"/>
    <b v="0"/>
    <b v="0"/>
    <m/>
  </r>
  <r>
    <n v="987"/>
    <s v="ORD-2025-0987"/>
    <d v="2025-05-11T00:00:00"/>
    <x v="0"/>
    <d v="2025-05-16T00:00:00"/>
    <s v="Express"/>
    <s v="CUST-0073"/>
    <s v="Ananya Singh"/>
    <x v="0"/>
    <x v="1"/>
    <s v="East"/>
    <s v="Furniture"/>
    <s v="Study Table"/>
    <n v="3"/>
    <n v="0"/>
    <n v="20275.22"/>
    <n v="3236.04"/>
    <x v="3"/>
    <b v="0"/>
    <b v="0"/>
    <b v="0"/>
    <m/>
  </r>
  <r>
    <n v="988"/>
    <s v="ORD-2025-0988"/>
    <d v="2025-02-16T00:00:00"/>
    <x v="3"/>
    <d v="2025-02-18T00:00:00"/>
    <s v="Standard"/>
    <s v="CUST-0135"/>
    <s v="Rahul Verma"/>
    <x v="0"/>
    <x v="10"/>
    <s v="North"/>
    <s v="Electronics"/>
    <s v="Bluetooth Speaker"/>
    <n v="1"/>
    <n v="0"/>
    <n v="1963.29"/>
    <n v="564.21"/>
    <x v="4"/>
    <b v="0"/>
    <b v="0"/>
    <b v="0"/>
    <m/>
  </r>
  <r>
    <n v="989"/>
    <s v="ORD-2025-0989"/>
    <d v="2025-02-07T00:00:00"/>
    <x v="3"/>
    <d v="2025-02-08T00:00:00"/>
    <s v="Standard"/>
    <s v="CUST-0127"/>
    <s v="Aarav Sharma"/>
    <x v="0"/>
    <x v="7"/>
    <s v="South"/>
    <s v="Furniture"/>
    <s v="Folding Chair"/>
    <n v="2"/>
    <n v="0.05"/>
    <n v="3474.29"/>
    <n v="753.38"/>
    <x v="1"/>
    <b v="0"/>
    <b v="0"/>
    <b v="0"/>
    <m/>
  </r>
  <r>
    <n v="990"/>
    <s v="ORD-2025-0990"/>
    <d v="2025-10-02T00:00:00"/>
    <x v="9"/>
    <d v="2025-10-03T00:00:00"/>
    <s v="Standard"/>
    <s v="CUST-0151"/>
    <s v="Arjun Patel"/>
    <x v="1"/>
    <x v="8"/>
    <s v="West"/>
    <s v="Home &amp; Kitchen"/>
    <s v="Lunch Box"/>
    <n v="2"/>
    <n v="0"/>
    <n v="1426.36"/>
    <n v="387.91"/>
    <x v="1"/>
    <b v="0"/>
    <b v="0"/>
    <b v="0"/>
    <m/>
  </r>
  <r>
    <n v="991"/>
    <s v="ORD-2025-0991"/>
    <d v="2025-06-14T00:00:00"/>
    <x v="8"/>
    <d v="2025-06-19T00:00:00"/>
    <s v="Standard"/>
    <s v="CUST-0225"/>
    <s v="Kiran Joshi"/>
    <x v="0"/>
    <x v="1"/>
    <s v="East"/>
    <s v="Home &amp; Kitchen"/>
    <s v="Water Bottle"/>
    <n v="4"/>
    <n v="0.2"/>
    <n v="1563.72"/>
    <n v="54.94"/>
    <x v="2"/>
    <b v="0"/>
    <b v="0"/>
    <b v="0"/>
    <m/>
  </r>
  <r>
    <n v="992"/>
    <s v="ORD-2025-0992"/>
    <d v="2025-04-26T00:00:00"/>
    <x v="10"/>
    <d v="2025-04-27T00:00:00"/>
    <s v="Same Day"/>
    <s v="CUST-0243"/>
    <s v="Rohan Mehta"/>
    <x v="0"/>
    <x v="4"/>
    <s v="North"/>
    <s v="Electronics"/>
    <s v="Power Bank"/>
    <n v="2"/>
    <n v="0.05"/>
    <n v="2304.73"/>
    <n v="573.85"/>
    <x v="1"/>
    <b v="0"/>
    <b v="0"/>
    <b v="0"/>
    <m/>
  </r>
  <r>
    <n v="993"/>
    <s v="ORD-2025-0993"/>
    <d v="2025-03-20T00:00:00"/>
    <x v="11"/>
    <d v="2025-03-21T00:00:00"/>
    <s v="Standard"/>
    <s v="CUST-0017"/>
    <s v="Divya Rao"/>
    <x v="0"/>
    <x v="9"/>
    <s v="South"/>
    <s v="Electronics"/>
    <s v="Keyboard"/>
    <n v="2"/>
    <n v="0.05"/>
    <n v="2459.89"/>
    <n v="797.02"/>
    <x v="1"/>
    <b v="0"/>
    <b v="0"/>
    <b v="0"/>
    <m/>
  </r>
  <r>
    <n v="994"/>
    <s v="ORD-2025-0994"/>
    <d v="2025-12-11T00:00:00"/>
    <x v="4"/>
    <d v="2025-12-16T00:00:00"/>
    <s v="Express"/>
    <s v="CUST-0189"/>
    <s v="Nikhil Jain"/>
    <x v="1"/>
    <x v="1"/>
    <s v="East"/>
    <s v="Furniture"/>
    <s v="Office Chair"/>
    <n v="1"/>
    <n v="0"/>
    <n v="5242.1499999999996"/>
    <n v="1167.23"/>
    <x v="1"/>
    <b v="0"/>
    <b v="0"/>
    <b v="0"/>
    <m/>
  </r>
  <r>
    <n v="995"/>
    <s v="ORD-2025-0995"/>
    <d v="2025-01-06T00:00:00"/>
    <x v="1"/>
    <d v="2025-01-07T00:00:00"/>
    <s v="Same Day"/>
    <s v="CUST-0057"/>
    <s v="Rahul Verma"/>
    <x v="1"/>
    <x v="4"/>
    <s v="North"/>
    <s v="Home &amp; Kitchen"/>
    <s v="Water Bottle"/>
    <n v="1"/>
    <n v="0"/>
    <n v="479.26"/>
    <n v="148.97999999999999"/>
    <x v="2"/>
    <b v="0"/>
    <b v="0"/>
    <b v="0"/>
    <m/>
  </r>
  <r>
    <n v="996"/>
    <s v="ORD-2025-0996"/>
    <d v="2025-08-03T00:00:00"/>
    <x v="6"/>
    <d v="2025-08-07T00:00:00"/>
    <s v="Standard"/>
    <s v="CUST-0227"/>
    <s v="Shreya Kapoor"/>
    <x v="1"/>
    <x v="11"/>
    <s v="West"/>
    <s v="Office Supplies"/>
    <s v="Notebook"/>
    <n v="1"/>
    <n v="0.1"/>
    <n v="169.94"/>
    <n v="35.56"/>
    <x v="1"/>
    <b v="0"/>
    <b v="0"/>
    <b v="0"/>
    <m/>
  </r>
  <r>
    <n v="997"/>
    <s v="ORD-2025-0997"/>
    <d v="2025-01-26T00:00:00"/>
    <x v="1"/>
    <d v="2025-01-28T00:00:00"/>
    <s v="Standard"/>
    <s v="CUST-0134"/>
    <s v="Meera Shah"/>
    <x v="1"/>
    <x v="3"/>
    <s v="South"/>
    <s v="Electronics"/>
    <s v="Keyboard"/>
    <n v="2"/>
    <n v="0.1"/>
    <n v="2417.17"/>
    <n v="307.20999999999998"/>
    <x v="2"/>
    <b v="0"/>
    <b v="0"/>
    <b v="0"/>
    <m/>
  </r>
  <r>
    <n v="998"/>
    <s v="ORD-2025-0998"/>
    <d v="2025-06-16T00:00:00"/>
    <x v="8"/>
    <d v="2025-06-20T00:00:00"/>
    <s v="Standard"/>
    <s v="CUST-0246"/>
    <s v="Meera Shah"/>
    <x v="0"/>
    <x v="3"/>
    <s v="South"/>
    <s v="Furniture"/>
    <s v="Bookshelf"/>
    <n v="5"/>
    <n v="0"/>
    <n v="23604.62"/>
    <n v="5834.03"/>
    <x v="3"/>
    <b v="0"/>
    <b v="0"/>
    <b v="0"/>
    <m/>
  </r>
  <r>
    <n v="999"/>
    <s v="ORD-2025-0999"/>
    <d v="2025-01-15T00:00:00"/>
    <x v="1"/>
    <d v="2025-01-16T00:00:00"/>
    <s v="Same Day"/>
    <s v="CUST-0197"/>
    <s v="Divya Rao"/>
    <x v="0"/>
    <x v="5"/>
    <s v="North"/>
    <s v="Office Supplies"/>
    <s v="Calculator"/>
    <n v="1"/>
    <n v="0.25"/>
    <n v="487.31"/>
    <n v="28.29"/>
    <x v="1"/>
    <b v="0"/>
    <b v="0"/>
    <b v="0"/>
    <m/>
  </r>
  <r>
    <n v="1000"/>
    <s v="ORD-2025-1000"/>
    <d v="2025-12-18T00:00:00"/>
    <x v="4"/>
    <d v="2025-12-22T00:00:00"/>
    <s v="Express"/>
    <s v="CUST-0007"/>
    <s v="Meera Shah"/>
    <x v="0"/>
    <x v="3"/>
    <s v="South"/>
    <s v="Office Supplies"/>
    <s v="File Folder"/>
    <n v="4"/>
    <n v="0.05"/>
    <n v="347.8"/>
    <n v="123.37"/>
    <x v="2"/>
    <b v="0"/>
    <b v="0"/>
    <b v="0"/>
    <m/>
  </r>
  <r>
    <n v="0"/>
    <n v="0"/>
    <n v="0"/>
    <x v="12"/>
    <n v="0"/>
    <n v="0"/>
    <n v="0"/>
    <n v="0"/>
    <x v="3"/>
    <x v="12"/>
    <n v="0"/>
    <n v="0"/>
    <n v="0"/>
    <n v="0"/>
    <n v="0"/>
    <n v="0"/>
    <n v="0"/>
    <x v="6"/>
    <m/>
    <m/>
    <m/>
    <m/>
  </r>
  <r>
    <m/>
    <m/>
    <m/>
    <x v="12"/>
    <m/>
    <m/>
    <m/>
    <m/>
    <x v="4"/>
    <x v="13"/>
    <m/>
    <m/>
    <m/>
    <m/>
    <m/>
    <m/>
    <m/>
    <x v="7"/>
    <m/>
    <m/>
    <m/>
    <m/>
  </r>
  <r>
    <m/>
    <m/>
    <m/>
    <x v="12"/>
    <m/>
    <m/>
    <m/>
    <m/>
    <x v="4"/>
    <x v="13"/>
    <m/>
    <m/>
    <m/>
    <m/>
    <m/>
    <m/>
    <m/>
    <x v="7"/>
    <m/>
    <m/>
    <m/>
    <m/>
  </r>
  <r>
    <m/>
    <m/>
    <m/>
    <x v="12"/>
    <m/>
    <m/>
    <m/>
    <m/>
    <x v="4"/>
    <x v="13"/>
    <m/>
    <m/>
    <m/>
    <m/>
    <m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AD098-B5D3-4287-88DC-954D2F06BC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1001">
        <item x="999"/>
        <item x="697"/>
        <item x="541"/>
        <item x="217"/>
        <item x="240"/>
        <item x="369"/>
        <item x="411"/>
        <item x="715"/>
        <item x="194"/>
        <item x="884"/>
        <item x="803"/>
        <item x="83"/>
        <item x="959"/>
        <item x="269"/>
        <item x="722"/>
        <item x="230"/>
        <item x="603"/>
        <item x="978"/>
        <item x="54"/>
        <item x="704"/>
        <item x="299"/>
        <item x="926"/>
        <item x="779"/>
        <item x="503"/>
        <item x="398"/>
        <item x="237"/>
        <item x="693"/>
        <item x="560"/>
        <item x="641"/>
        <item x="840"/>
        <item x="550"/>
        <item x="175"/>
        <item x="591"/>
        <item x="667"/>
        <item x="576"/>
        <item x="441"/>
        <item x="477"/>
        <item x="391"/>
        <item x="570"/>
        <item x="52"/>
        <item x="167"/>
        <item x="23"/>
        <item x="69"/>
        <item x="655"/>
        <item x="430"/>
        <item x="831"/>
        <item x="358"/>
        <item x="856"/>
        <item x="740"/>
        <item x="820"/>
        <item x="586"/>
        <item x="703"/>
        <item x="606"/>
        <item x="994"/>
        <item x="532"/>
        <item x="732"/>
        <item x="501"/>
        <item x="844"/>
        <item x="122"/>
        <item x="566"/>
        <item x="834"/>
        <item x="908"/>
        <item x="53"/>
        <item x="303"/>
        <item x="506"/>
        <item x="937"/>
        <item x="504"/>
        <item x="32"/>
        <item x="636"/>
        <item x="452"/>
        <item x="680"/>
        <item x="940"/>
        <item x="401"/>
        <item x="602"/>
        <item x="105"/>
        <item x="320"/>
        <item x="785"/>
        <item x="662"/>
        <item x="439"/>
        <item x="583"/>
        <item x="233"/>
        <item x="284"/>
        <item x="206"/>
        <item x="312"/>
        <item x="788"/>
        <item x="118"/>
        <item x="421"/>
        <item x="112"/>
        <item x="390"/>
        <item x="66"/>
        <item x="814"/>
        <item x="494"/>
        <item x="510"/>
        <item x="373"/>
        <item x="491"/>
        <item x="481"/>
        <item x="872"/>
        <item x="46"/>
        <item x="325"/>
        <item x="180"/>
        <item x="974"/>
        <item x="14"/>
        <item x="651"/>
        <item x="293"/>
        <item x="145"/>
        <item x="1"/>
        <item x="165"/>
        <item x="968"/>
        <item x="29"/>
        <item x="573"/>
        <item x="707"/>
        <item x="536"/>
        <item x="186"/>
        <item x="259"/>
        <item x="238"/>
        <item x="448"/>
        <item x="344"/>
        <item x="70"/>
        <item x="475"/>
        <item x="271"/>
        <item x="830"/>
        <item x="979"/>
        <item x="723"/>
        <item x="555"/>
        <item x="781"/>
        <item x="211"/>
        <item x="695"/>
        <item x="261"/>
        <item x="138"/>
        <item x="277"/>
        <item x="146"/>
        <item x="559"/>
        <item x="453"/>
        <item x="878"/>
        <item x="998"/>
        <item x="882"/>
        <item x="177"/>
        <item x="763"/>
        <item x="775"/>
        <item x="816"/>
        <item x="958"/>
        <item x="408"/>
        <item x="811"/>
        <item x="500"/>
        <item x="123"/>
        <item x="898"/>
        <item x="694"/>
        <item x="569"/>
        <item x="372"/>
        <item x="848"/>
        <item x="869"/>
        <item x="282"/>
        <item x="308"/>
        <item x="600"/>
        <item x="874"/>
        <item x="815"/>
        <item x="7"/>
        <item x="505"/>
        <item x="620"/>
        <item x="972"/>
        <item x="192"/>
        <item x="852"/>
        <item x="248"/>
        <item x="911"/>
        <item x="337"/>
        <item x="120"/>
        <item x="154"/>
        <item x="777"/>
        <item x="743"/>
        <item x="805"/>
        <item x="724"/>
        <item x="158"/>
        <item x="993"/>
        <item x="74"/>
        <item x="26"/>
        <item x="646"/>
        <item x="671"/>
        <item x="997"/>
        <item x="934"/>
        <item x="99"/>
        <item x="471"/>
        <item x="109"/>
        <item x="37"/>
        <item x="399"/>
        <item x="41"/>
        <item x="21"/>
        <item x="234"/>
        <item x="982"/>
        <item x="798"/>
        <item x="876"/>
        <item x="324"/>
        <item x="485"/>
        <item x="257"/>
        <item x="395"/>
        <item x="849"/>
        <item x="918"/>
        <item x="734"/>
        <item x="107"/>
        <item x="346"/>
        <item x="218"/>
        <item x="581"/>
        <item x="590"/>
        <item x="498"/>
        <item x="757"/>
        <item x="611"/>
        <item x="357"/>
        <item x="413"/>
        <item x="426"/>
        <item x="33"/>
        <item x="162"/>
        <item x="593"/>
        <item x="688"/>
        <item x="880"/>
        <item x="893"/>
        <item x="328"/>
        <item x="659"/>
        <item x="241"/>
        <item x="410"/>
        <item x="558"/>
        <item x="402"/>
        <item x="579"/>
        <item x="886"/>
        <item x="207"/>
        <item x="520"/>
        <item x="50"/>
        <item x="204"/>
        <item x="94"/>
        <item x="236"/>
        <item x="565"/>
        <item x="352"/>
        <item x="255"/>
        <item x="556"/>
        <item x="134"/>
        <item x="343"/>
        <item x="755"/>
        <item x="800"/>
        <item x="250"/>
        <item x="792"/>
        <item x="952"/>
        <item x="493"/>
        <item x="495"/>
        <item x="827"/>
        <item x="126"/>
        <item x="100"/>
        <item x="838"/>
        <item x="412"/>
        <item x="673"/>
        <item x="205"/>
        <item x="223"/>
        <item x="810"/>
        <item x="538"/>
        <item x="310"/>
        <item x="393"/>
        <item x="588"/>
        <item x="793"/>
        <item x="87"/>
        <item x="571"/>
        <item x="258"/>
        <item x="737"/>
        <item x="201"/>
        <item x="633"/>
        <item x="760"/>
        <item x="125"/>
        <item x="839"/>
        <item x="25"/>
        <item x="867"/>
        <item x="665"/>
        <item x="208"/>
        <item x="98"/>
        <item x="265"/>
        <item x="193"/>
        <item x="267"/>
        <item x="30"/>
        <item x="885"/>
        <item x="336"/>
        <item x="117"/>
        <item x="446"/>
        <item x="902"/>
        <item x="524"/>
        <item x="318"/>
        <item x="635"/>
        <item x="361"/>
        <item x="119"/>
        <item x="976"/>
        <item x="567"/>
        <item x="326"/>
        <item x="291"/>
        <item x="543"/>
        <item x="61"/>
        <item x="456"/>
        <item x="12"/>
        <item x="759"/>
        <item x="403"/>
        <item x="511"/>
        <item x="171"/>
        <item x="508"/>
        <item x="85"/>
        <item x="745"/>
        <item x="637"/>
        <item x="719"/>
        <item x="574"/>
        <item x="222"/>
        <item x="864"/>
        <item x="922"/>
        <item x="147"/>
        <item x="305"/>
        <item x="104"/>
        <item x="229"/>
        <item x="341"/>
        <item x="348"/>
        <item x="245"/>
        <item x="163"/>
        <item x="794"/>
        <item x="417"/>
        <item x="544"/>
        <item x="825"/>
        <item x="111"/>
        <item x="467"/>
        <item x="473"/>
        <item x="656"/>
        <item x="31"/>
        <item x="712"/>
        <item x="224"/>
        <item x="166"/>
        <item x="429"/>
        <item x="466"/>
        <item x="973"/>
        <item x="859"/>
        <item x="438"/>
        <item x="92"/>
        <item x="294"/>
        <item x="575"/>
        <item x="909"/>
        <item x="645"/>
        <item x="915"/>
        <item x="977"/>
        <item x="609"/>
        <item x="86"/>
        <item x="652"/>
        <item x="621"/>
        <item x="528"/>
        <item x="434"/>
        <item x="227"/>
        <item x="629"/>
        <item x="929"/>
        <item x="686"/>
        <item x="351"/>
        <item x="706"/>
        <item x="925"/>
        <item x="349"/>
        <item x="684"/>
        <item x="889"/>
        <item x="451"/>
        <item x="747"/>
        <item x="622"/>
        <item x="835"/>
        <item x="141"/>
        <item x="674"/>
        <item x="387"/>
        <item x="608"/>
        <item x="883"/>
        <item x="478"/>
        <item x="899"/>
        <item x="795"/>
        <item x="20"/>
        <item x="766"/>
        <item x="596"/>
        <item x="184"/>
        <item x="663"/>
        <item x="948"/>
        <item x="379"/>
        <item x="190"/>
        <item x="113"/>
        <item x="151"/>
        <item x="173"/>
        <item x="368"/>
        <item x="983"/>
        <item x="273"/>
        <item x="48"/>
        <item x="638"/>
        <item x="385"/>
        <item x="160"/>
        <item x="339"/>
        <item x="709"/>
        <item x="409"/>
        <item x="563"/>
        <item x="18"/>
        <item x="644"/>
        <item x="870"/>
        <item x="690"/>
        <item x="153"/>
        <item x="455"/>
        <item x="955"/>
        <item x="727"/>
        <item x="492"/>
        <item x="298"/>
        <item x="933"/>
        <item x="164"/>
        <item x="296"/>
        <item x="345"/>
        <item x="353"/>
        <item x="730"/>
        <item x="739"/>
        <item x="22"/>
        <item x="624"/>
        <item x="526"/>
        <item x="960"/>
        <item x="542"/>
        <item x="200"/>
        <item x="431"/>
        <item x="866"/>
        <item x="894"/>
        <item x="366"/>
        <item x="73"/>
        <item x="235"/>
        <item x="714"/>
        <item x="11"/>
        <item x="956"/>
        <item x="132"/>
        <item x="276"/>
        <item x="548"/>
        <item x="897"/>
        <item x="106"/>
        <item x="642"/>
        <item x="347"/>
        <item x="713"/>
        <item x="479"/>
        <item x="292"/>
        <item x="698"/>
        <item x="863"/>
        <item x="746"/>
        <item x="360"/>
        <item x="562"/>
        <item x="804"/>
        <item x="295"/>
        <item x="333"/>
        <item x="19"/>
        <item x="242"/>
        <item x="892"/>
        <item x="561"/>
        <item x="301"/>
        <item x="263"/>
        <item x="3"/>
        <item x="828"/>
        <item x="917"/>
        <item x="735"/>
        <item x="464"/>
        <item x="943"/>
        <item x="634"/>
        <item x="461"/>
        <item x="476"/>
        <item x="378"/>
        <item x="895"/>
        <item x="832"/>
        <item x="67"/>
        <item x="285"/>
        <item x="8"/>
        <item x="253"/>
        <item x="254"/>
        <item x="921"/>
        <item x="4"/>
        <item x="306"/>
        <item x="957"/>
        <item x="226"/>
        <item x="738"/>
        <item x="988"/>
        <item x="377"/>
        <item x="304"/>
        <item x="36"/>
        <item x="847"/>
        <item x="802"/>
        <item x="450"/>
        <item x="93"/>
        <item x="631"/>
        <item x="685"/>
        <item x="225"/>
        <item x="470"/>
        <item x="384"/>
        <item x="845"/>
        <item x="274"/>
        <item x="72"/>
        <item x="101"/>
        <item x="210"/>
        <item x="601"/>
        <item x="780"/>
        <item x="57"/>
        <item x="653"/>
        <item x="38"/>
        <item x="135"/>
        <item x="420"/>
        <item x="239"/>
        <item x="750"/>
        <item x="796"/>
        <item x="355"/>
        <item x="896"/>
        <item x="5"/>
        <item x="855"/>
        <item x="397"/>
        <item x="691"/>
        <item x="729"/>
        <item x="907"/>
        <item x="137"/>
        <item x="989"/>
        <item x="980"/>
        <item x="329"/>
        <item x="331"/>
        <item x="322"/>
        <item x="131"/>
        <item x="587"/>
        <item x="783"/>
        <item x="539"/>
        <item x="969"/>
        <item x="195"/>
        <item x="144"/>
        <item x="891"/>
        <item x="216"/>
        <item x="311"/>
        <item x="350"/>
        <item x="51"/>
        <item x="309"/>
        <item x="843"/>
        <item x="728"/>
        <item x="753"/>
        <item x="736"/>
        <item x="619"/>
        <item x="483"/>
        <item x="879"/>
        <item x="9"/>
        <item x="362"/>
        <item x="130"/>
        <item x="465"/>
        <item x="472"/>
        <item x="806"/>
        <item x="449"/>
        <item x="0"/>
        <item x="281"/>
        <item x="551"/>
        <item x="871"/>
        <item x="888"/>
        <item x="136"/>
        <item x="319"/>
        <item x="744"/>
        <item x="716"/>
        <item x="676"/>
        <item x="627"/>
        <item x="928"/>
        <item x="868"/>
        <item x="964"/>
        <item x="428"/>
        <item x="552"/>
        <item x="842"/>
        <item x="45"/>
        <item x="846"/>
        <item x="549"/>
        <item x="756"/>
        <item x="140"/>
        <item x="418"/>
        <item x="941"/>
        <item x="364"/>
        <item x="632"/>
        <item x="944"/>
        <item x="702"/>
        <item x="148"/>
        <item x="78"/>
        <item x="954"/>
        <item x="272"/>
        <item x="836"/>
        <item x="657"/>
        <item x="963"/>
        <item x="170"/>
        <item x="300"/>
        <item x="297"/>
        <item x="335"/>
        <item x="837"/>
        <item x="260"/>
        <item x="986"/>
        <item x="664"/>
        <item x="415"/>
        <item x="17"/>
        <item x="509"/>
        <item x="159"/>
        <item x="442"/>
        <item x="172"/>
        <item x="363"/>
        <item x="841"/>
        <item x="215"/>
        <item x="923"/>
        <item x="182"/>
        <item x="114"/>
        <item x="60"/>
        <item x="262"/>
        <item x="268"/>
        <item x="79"/>
        <item x="315"/>
        <item x="809"/>
        <item x="726"/>
        <item x="314"/>
        <item x="181"/>
        <item x="942"/>
        <item x="903"/>
        <item x="202"/>
        <item x="64"/>
        <item x="616"/>
        <item x="751"/>
        <item x="76"/>
        <item x="356"/>
        <item x="990"/>
        <item x="367"/>
        <item x="463"/>
        <item x="330"/>
        <item x="97"/>
        <item x="90"/>
        <item x="595"/>
        <item x="16"/>
        <item x="851"/>
        <item x="178"/>
        <item x="287"/>
        <item x="547"/>
        <item x="626"/>
        <item x="701"/>
        <item x="191"/>
        <item x="661"/>
        <item x="537"/>
        <item x="768"/>
        <item x="406"/>
        <item x="264"/>
        <item x="43"/>
        <item x="742"/>
        <item x="936"/>
        <item x="914"/>
        <item x="995"/>
        <item x="607"/>
        <item x="599"/>
        <item x="754"/>
        <item x="764"/>
        <item x="920"/>
        <item x="174"/>
        <item x="906"/>
        <item x="376"/>
        <item x="931"/>
        <item x="991"/>
        <item x="679"/>
        <item x="534"/>
        <item x="128"/>
        <item x="400"/>
        <item x="246"/>
        <item x="209"/>
        <item x="521"/>
        <item x="554"/>
        <item x="614"/>
        <item x="414"/>
        <item x="540"/>
        <item x="129"/>
        <item x="801"/>
        <item x="244"/>
        <item x="307"/>
        <item x="808"/>
        <item x="370"/>
        <item x="767"/>
        <item x="214"/>
        <item x="221"/>
        <item x="585"/>
        <item x="88"/>
        <item x="80"/>
        <item x="196"/>
        <item x="877"/>
        <item x="247"/>
        <item x="529"/>
        <item x="444"/>
        <item x="435"/>
        <item x="189"/>
        <item x="187"/>
        <item x="589"/>
        <item x="658"/>
        <item x="436"/>
        <item x="682"/>
        <item x="568"/>
        <item x="613"/>
        <item x="516"/>
        <item x="733"/>
        <item x="930"/>
        <item x="916"/>
        <item x="321"/>
        <item x="65"/>
        <item x="39"/>
        <item x="124"/>
        <item x="594"/>
        <item x="256"/>
        <item x="913"/>
        <item x="283"/>
        <item x="857"/>
        <item x="773"/>
        <item x="807"/>
        <item x="597"/>
        <item x="771"/>
        <item x="731"/>
        <item x="553"/>
        <item x="862"/>
        <item x="424"/>
        <item x="675"/>
        <item x="939"/>
        <item x="405"/>
        <item x="752"/>
        <item x="605"/>
        <item x="517"/>
        <item x="971"/>
        <item x="717"/>
        <item x="489"/>
        <item x="388"/>
        <item x="75"/>
        <item x="381"/>
        <item x="786"/>
        <item x="670"/>
        <item x="279"/>
        <item x="584"/>
        <item x="155"/>
        <item x="669"/>
        <item x="681"/>
        <item x="577"/>
        <item x="749"/>
        <item x="219"/>
        <item x="818"/>
        <item x="392"/>
        <item x="640"/>
        <item x="904"/>
        <item x="533"/>
        <item x="313"/>
        <item x="813"/>
        <item x="34"/>
        <item x="185"/>
        <item x="199"/>
        <item x="44"/>
        <item x="531"/>
        <item x="280"/>
        <item x="623"/>
        <item x="987"/>
        <item x="610"/>
        <item x="286"/>
        <item x="797"/>
        <item x="198"/>
        <item x="383"/>
        <item x="371"/>
        <item x="338"/>
        <item x="49"/>
        <item x="598"/>
        <item x="332"/>
        <item x="6"/>
        <item x="672"/>
        <item x="289"/>
        <item x="468"/>
        <item x="334"/>
        <item x="945"/>
        <item x="454"/>
        <item x="787"/>
        <item x="854"/>
        <item x="58"/>
        <item x="150"/>
        <item x="380"/>
        <item x="953"/>
        <item x="386"/>
        <item x="572"/>
        <item x="469"/>
        <item x="530"/>
        <item x="340"/>
        <item x="949"/>
        <item x="981"/>
        <item x="912"/>
        <item x="790"/>
        <item x="316"/>
        <item x="604"/>
        <item x="24"/>
        <item x="546"/>
        <item x="84"/>
        <item x="966"/>
        <item x="778"/>
        <item x="497"/>
        <item x="152"/>
        <item x="460"/>
        <item x="677"/>
        <item x="407"/>
        <item x="628"/>
        <item x="179"/>
        <item x="932"/>
        <item x="615"/>
        <item x="564"/>
        <item x="354"/>
        <item x="394"/>
        <item x="56"/>
        <item x="445"/>
        <item x="13"/>
        <item x="720"/>
        <item x="232"/>
        <item x="962"/>
        <item x="824"/>
        <item x="502"/>
        <item x="168"/>
        <item x="149"/>
        <item x="266"/>
        <item x="323"/>
        <item x="487"/>
        <item x="288"/>
        <item x="514"/>
        <item x="40"/>
        <item x="482"/>
        <item x="176"/>
        <item x="858"/>
        <item x="317"/>
        <item x="643"/>
        <item x="203"/>
        <item x="116"/>
        <item x="654"/>
        <item x="812"/>
        <item x="488"/>
        <item x="527"/>
        <item x="970"/>
        <item x="447"/>
        <item x="496"/>
        <item x="62"/>
        <item x="648"/>
        <item x="382"/>
        <item x="270"/>
        <item x="850"/>
        <item x="924"/>
        <item x="484"/>
        <item x="82"/>
        <item x="900"/>
        <item x="290"/>
        <item x="901"/>
        <item x="490"/>
        <item x="708"/>
        <item x="774"/>
        <item x="890"/>
        <item x="96"/>
        <item x="829"/>
        <item x="110"/>
        <item x="251"/>
        <item x="612"/>
        <item x="789"/>
        <item x="758"/>
        <item x="252"/>
        <item x="967"/>
        <item x="327"/>
        <item x="243"/>
        <item x="905"/>
        <item x="89"/>
        <item x="519"/>
        <item x="772"/>
        <item x="817"/>
        <item x="302"/>
        <item x="992"/>
        <item x="513"/>
        <item x="422"/>
        <item x="404"/>
        <item x="649"/>
        <item x="91"/>
        <item x="15"/>
        <item x="121"/>
        <item x="821"/>
        <item x="213"/>
        <item x="133"/>
        <item x="875"/>
        <item x="819"/>
        <item x="375"/>
        <item x="68"/>
        <item x="427"/>
        <item x="440"/>
        <item x="865"/>
        <item x="618"/>
        <item x="946"/>
        <item x="95"/>
        <item x="103"/>
        <item x="927"/>
        <item x="545"/>
        <item x="2"/>
        <item x="512"/>
        <item x="578"/>
        <item x="374"/>
        <item x="161"/>
        <item x="887"/>
        <item x="947"/>
        <item x="696"/>
        <item x="63"/>
        <item x="71"/>
        <item x="115"/>
        <item x="396"/>
        <item x="157"/>
        <item x="625"/>
        <item x="718"/>
        <item x="102"/>
        <item x="984"/>
        <item x="432"/>
        <item x="423"/>
        <item x="220"/>
        <item x="518"/>
        <item x="711"/>
        <item x="961"/>
        <item x="169"/>
        <item x="212"/>
        <item x="692"/>
        <item x="275"/>
        <item x="776"/>
        <item x="35"/>
        <item x="769"/>
        <item x="678"/>
        <item x="647"/>
        <item x="499"/>
        <item x="721"/>
        <item x="975"/>
        <item x="799"/>
        <item x="782"/>
        <item x="580"/>
        <item x="443"/>
        <item x="231"/>
        <item x="826"/>
        <item x="525"/>
        <item x="699"/>
        <item x="42"/>
        <item x="389"/>
        <item x="687"/>
        <item x="183"/>
        <item x="59"/>
        <item x="28"/>
        <item x="228"/>
        <item x="639"/>
        <item x="457"/>
        <item x="139"/>
        <item x="77"/>
        <item x="910"/>
        <item x="700"/>
        <item x="770"/>
        <item x="507"/>
        <item x="748"/>
        <item x="853"/>
        <item x="10"/>
        <item x="535"/>
        <item x="81"/>
        <item x="249"/>
        <item x="523"/>
        <item x="725"/>
        <item x="873"/>
        <item x="480"/>
        <item x="582"/>
        <item x="188"/>
        <item x="951"/>
        <item x="127"/>
        <item x="197"/>
        <item x="617"/>
        <item x="108"/>
        <item x="666"/>
        <item x="515"/>
        <item x="938"/>
        <item x="156"/>
        <item x="919"/>
        <item x="359"/>
        <item x="950"/>
        <item x="784"/>
        <item x="860"/>
        <item x="710"/>
        <item x="416"/>
        <item x="47"/>
        <item x="765"/>
        <item x="342"/>
        <item x="660"/>
        <item x="861"/>
        <item x="462"/>
        <item x="935"/>
        <item x="278"/>
        <item x="689"/>
        <item x="142"/>
        <item x="668"/>
        <item x="822"/>
        <item x="365"/>
        <item x="791"/>
        <item x="458"/>
        <item x="486"/>
        <item x="459"/>
        <item x="630"/>
        <item x="985"/>
        <item x="965"/>
        <item x="557"/>
        <item x="437"/>
        <item x="683"/>
        <item x="833"/>
        <item x="762"/>
        <item x="27"/>
        <item x="419"/>
        <item x="823"/>
        <item x="996"/>
        <item x="592"/>
        <item x="705"/>
        <item x="55"/>
        <item x="881"/>
        <item x="741"/>
        <item x="761"/>
        <item x="425"/>
        <item x="522"/>
        <item x="650"/>
        <item x="433"/>
        <item x="474"/>
        <item x="14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10" baseItem="0"/>
    <dataField name="Sum of Profit" fld="15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9B234-F6FB-4E4D-BD82-B19750E75143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x="12"/>
        <item x="2"/>
        <item x="9"/>
        <item x="1"/>
        <item x="6"/>
        <item x="10"/>
        <item x="7"/>
        <item x="4"/>
        <item x="0"/>
        <item x="5"/>
        <item x="8"/>
        <item x="3"/>
        <item x="11"/>
        <item h="1"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5" baseField="8" baseItem="4"/>
  </dataFields>
  <chartFormats count="1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E6F1A-B7F7-431B-B11E-9A0BFB8A5A0B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7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1206E-53D1-4AB5-A66E-1CC39819FE03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h="1" x="6"/>
        <item x="4"/>
        <item x="3"/>
        <item x="2"/>
        <item x="0"/>
        <item x="5"/>
        <item x="1"/>
        <item h="1" x="7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5" baseField="16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629E1-8004-46A7-9549-D07EF86A59AA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6" firstHeaderRow="1" firstDataRow="1" firstDataCol="1"/>
  <pivotFields count="22">
    <pivotField showAll="0"/>
    <pivotField showAll="0"/>
    <pivotField showAll="0"/>
    <pivotField axis="axisRow" showAll="0">
      <items count="14">
        <item x="10"/>
        <item x="6"/>
        <item x="4"/>
        <item x="3"/>
        <item x="1"/>
        <item x="7"/>
        <item x="8"/>
        <item x="11"/>
        <item x="0"/>
        <item x="2"/>
        <item x="9"/>
        <item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5" baseField="3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4"/>
  <sheetViews>
    <sheetView tabSelected="1" topLeftCell="A855" workbookViewId="0">
      <selection activeCell="B1009" sqref="B1009"/>
    </sheetView>
  </sheetViews>
  <sheetFormatPr defaultRowHeight="14.4" x14ac:dyDescent="0.3"/>
  <cols>
    <col min="1" max="1" width="11.88671875" bestFit="1" customWidth="1"/>
    <col min="2" max="2" width="14.109375" bestFit="1" customWidth="1"/>
    <col min="3" max="4" width="18.109375" bestFit="1" customWidth="1"/>
    <col min="5" max="5" width="15.109375" bestFit="1" customWidth="1"/>
    <col min="6" max="6" width="16.33203125" bestFit="1" customWidth="1"/>
    <col min="7" max="7" width="19.6640625" bestFit="1" customWidth="1"/>
    <col min="8" max="8" width="12.88671875" bestFit="1" customWidth="1"/>
    <col min="9" max="9" width="12" bestFit="1" customWidth="1"/>
    <col min="10" max="10" width="11.21875" bestFit="1" customWidth="1"/>
    <col min="11" max="11" width="14.21875" bestFit="1" customWidth="1"/>
    <col min="12" max="12" width="16.109375" bestFit="1" customWidth="1"/>
    <col min="13" max="14" width="12.77734375" bestFit="1" customWidth="1"/>
    <col min="15" max="15" width="9.6640625" bestFit="1" customWidth="1"/>
    <col min="16" max="16" width="10.109375" bestFit="1" customWidth="1"/>
    <col min="17" max="17" width="19.109375" bestFit="1" customWidth="1"/>
    <col min="18" max="18" width="11" bestFit="1" customWidth="1"/>
    <col min="19" max="20" width="14.5546875" bestFit="1" customWidth="1"/>
    <col min="21" max="21" width="16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1341</v>
      </c>
      <c r="S1" s="3" t="s">
        <v>1342</v>
      </c>
      <c r="T1" s="3" t="s">
        <v>1344</v>
      </c>
      <c r="U1" s="3" t="s">
        <v>1348</v>
      </c>
    </row>
    <row r="2" spans="1:21" x14ac:dyDescent="0.3">
      <c r="A2">
        <v>1</v>
      </c>
      <c r="B2" t="s">
        <v>17</v>
      </c>
      <c r="C2" s="2">
        <v>45779</v>
      </c>
      <c r="D2" s="2">
        <v>45782</v>
      </c>
      <c r="E2" t="s">
        <v>1017</v>
      </c>
      <c r="F2" t="s">
        <v>1020</v>
      </c>
      <c r="G2" t="s">
        <v>1267</v>
      </c>
      <c r="H2" t="s">
        <v>1287</v>
      </c>
      <c r="I2" t="s">
        <v>1290</v>
      </c>
      <c r="J2" t="s">
        <v>1302</v>
      </c>
      <c r="K2" t="s">
        <v>1306</v>
      </c>
      <c r="L2" t="s">
        <v>1310</v>
      </c>
      <c r="M2">
        <v>3</v>
      </c>
      <c r="N2">
        <v>0.1</v>
      </c>
      <c r="O2">
        <v>1684.8</v>
      </c>
      <c r="P2">
        <v>296.69</v>
      </c>
      <c r="Q2" t="s">
        <v>1330</v>
      </c>
      <c r="R2" t="b">
        <f>D2&lt;C2</f>
        <v>0</v>
      </c>
      <c r="S2" t="b">
        <f>M2&lt;=0</f>
        <v>0</v>
      </c>
      <c r="T2" t="b">
        <f>OR(N2&lt;0,N2&gt;1)</f>
        <v>0</v>
      </c>
    </row>
    <row r="3" spans="1:21" x14ac:dyDescent="0.3">
      <c r="A3">
        <v>2</v>
      </c>
      <c r="B3" t="s">
        <v>18</v>
      </c>
      <c r="C3" s="2">
        <v>45679</v>
      </c>
      <c r="D3" s="2">
        <v>45684</v>
      </c>
      <c r="E3" t="s">
        <v>1018</v>
      </c>
      <c r="F3" t="s">
        <v>1021</v>
      </c>
      <c r="G3" t="s">
        <v>1268</v>
      </c>
      <c r="H3" t="s">
        <v>1287</v>
      </c>
      <c r="I3" t="s">
        <v>1291</v>
      </c>
      <c r="J3" t="s">
        <v>1302</v>
      </c>
      <c r="K3" t="s">
        <v>1307</v>
      </c>
      <c r="L3" t="s">
        <v>1311</v>
      </c>
      <c r="M3">
        <v>1</v>
      </c>
      <c r="N3">
        <v>0.05</v>
      </c>
      <c r="O3">
        <v>282.12</v>
      </c>
      <c r="P3">
        <v>79.319999999999993</v>
      </c>
      <c r="Q3" t="s">
        <v>1331</v>
      </c>
      <c r="R3" t="b">
        <f t="shared" ref="R3:R66" si="0">D3&lt;C3</f>
        <v>0</v>
      </c>
      <c r="S3" t="b">
        <f t="shared" ref="S3:S9" si="1">M3&lt;=0</f>
        <v>0</v>
      </c>
      <c r="T3" t="b">
        <f t="shared" ref="T3:T66" si="2">OR(N3&lt;0,N3&gt;1)</f>
        <v>0</v>
      </c>
    </row>
    <row r="4" spans="1:21" x14ac:dyDescent="0.3">
      <c r="A4">
        <v>3</v>
      </c>
      <c r="B4" t="s">
        <v>19</v>
      </c>
      <c r="C4" s="2">
        <v>45964</v>
      </c>
      <c r="D4" s="2">
        <v>45969</v>
      </c>
      <c r="E4" t="s">
        <v>1019</v>
      </c>
      <c r="F4" t="s">
        <v>1022</v>
      </c>
      <c r="G4" t="s">
        <v>1269</v>
      </c>
      <c r="H4" t="s">
        <v>1287</v>
      </c>
      <c r="I4" t="s">
        <v>1292</v>
      </c>
      <c r="J4" t="s">
        <v>1303</v>
      </c>
      <c r="K4" t="s">
        <v>1308</v>
      </c>
      <c r="L4" t="s">
        <v>1312</v>
      </c>
      <c r="M4">
        <v>5</v>
      </c>
      <c r="N4">
        <v>0.1</v>
      </c>
      <c r="O4">
        <v>5816.56</v>
      </c>
      <c r="P4">
        <v>1772.43</v>
      </c>
      <c r="Q4" t="s">
        <v>1331</v>
      </c>
      <c r="R4" t="b">
        <f t="shared" si="0"/>
        <v>0</v>
      </c>
      <c r="S4" t="b">
        <f t="shared" si="1"/>
        <v>0</v>
      </c>
      <c r="T4" t="b">
        <f t="shared" si="2"/>
        <v>0</v>
      </c>
    </row>
    <row r="5" spans="1:21" x14ac:dyDescent="0.3">
      <c r="A5">
        <v>4</v>
      </c>
      <c r="B5" t="s">
        <v>20</v>
      </c>
      <c r="C5" s="2">
        <v>45692</v>
      </c>
      <c r="D5" s="2">
        <v>45693</v>
      </c>
      <c r="E5" t="s">
        <v>1017</v>
      </c>
      <c r="F5" t="s">
        <v>1023</v>
      </c>
      <c r="G5" t="s">
        <v>1270</v>
      </c>
      <c r="H5" t="s">
        <v>1288</v>
      </c>
      <c r="I5" t="s">
        <v>1291</v>
      </c>
      <c r="J5" t="s">
        <v>1302</v>
      </c>
      <c r="K5" t="s">
        <v>1309</v>
      </c>
      <c r="L5" t="s">
        <v>1313</v>
      </c>
      <c r="M5">
        <v>1</v>
      </c>
      <c r="N5">
        <v>0.1</v>
      </c>
      <c r="O5">
        <v>1316.56</v>
      </c>
      <c r="P5">
        <v>188.56</v>
      </c>
      <c r="Q5" t="s">
        <v>1331</v>
      </c>
      <c r="R5" t="b">
        <f t="shared" si="0"/>
        <v>0</v>
      </c>
      <c r="S5" t="b">
        <f t="shared" si="1"/>
        <v>0</v>
      </c>
      <c r="T5" t="b">
        <f t="shared" si="2"/>
        <v>0</v>
      </c>
    </row>
    <row r="6" spans="1:21" x14ac:dyDescent="0.3">
      <c r="A6">
        <v>5</v>
      </c>
      <c r="B6" t="s">
        <v>21</v>
      </c>
      <c r="C6" s="2">
        <v>46008</v>
      </c>
      <c r="D6" s="2">
        <v>46012</v>
      </c>
      <c r="E6" t="s">
        <v>1017</v>
      </c>
      <c r="F6" t="s">
        <v>1024</v>
      </c>
      <c r="G6" t="s">
        <v>1271</v>
      </c>
      <c r="H6" t="s">
        <v>1289</v>
      </c>
      <c r="I6" t="s">
        <v>1293</v>
      </c>
      <c r="J6" t="s">
        <v>1304</v>
      </c>
      <c r="K6" t="s">
        <v>1307</v>
      </c>
      <c r="L6" t="s">
        <v>1314</v>
      </c>
      <c r="M6">
        <v>2</v>
      </c>
      <c r="N6">
        <v>0.2</v>
      </c>
      <c r="O6">
        <v>1372.99</v>
      </c>
      <c r="P6">
        <v>141.24</v>
      </c>
      <c r="Q6" t="s">
        <v>1331</v>
      </c>
      <c r="R6" t="b">
        <f t="shared" si="0"/>
        <v>0</v>
      </c>
      <c r="S6" t="b">
        <f t="shared" si="1"/>
        <v>0</v>
      </c>
      <c r="T6" t="b">
        <f t="shared" si="2"/>
        <v>0</v>
      </c>
    </row>
    <row r="7" spans="1:21" x14ac:dyDescent="0.3">
      <c r="A7">
        <v>6</v>
      </c>
      <c r="B7" t="s">
        <v>22</v>
      </c>
      <c r="C7" s="2">
        <v>46002</v>
      </c>
      <c r="D7" s="2">
        <v>46003</v>
      </c>
      <c r="E7" t="s">
        <v>1017</v>
      </c>
      <c r="F7" t="s">
        <v>1025</v>
      </c>
      <c r="G7" t="s">
        <v>1272</v>
      </c>
      <c r="H7" t="s">
        <v>1288</v>
      </c>
      <c r="I7" t="s">
        <v>1294</v>
      </c>
      <c r="J7" t="s">
        <v>1305</v>
      </c>
      <c r="K7" t="s">
        <v>1309</v>
      </c>
      <c r="L7" t="s">
        <v>1313</v>
      </c>
      <c r="M7">
        <v>1</v>
      </c>
      <c r="N7">
        <v>0</v>
      </c>
      <c r="O7">
        <v>1539.81</v>
      </c>
      <c r="P7">
        <v>550.86</v>
      </c>
      <c r="Q7" t="s">
        <v>1332</v>
      </c>
      <c r="R7" t="b">
        <f t="shared" si="0"/>
        <v>0</v>
      </c>
      <c r="S7" t="b">
        <f t="shared" si="1"/>
        <v>0</v>
      </c>
      <c r="T7" t="b">
        <f t="shared" si="2"/>
        <v>0</v>
      </c>
    </row>
    <row r="8" spans="1:21" x14ac:dyDescent="0.3">
      <c r="A8">
        <v>7</v>
      </c>
      <c r="B8" t="s">
        <v>23</v>
      </c>
      <c r="C8" s="2">
        <v>45792</v>
      </c>
      <c r="D8" s="2">
        <v>45793</v>
      </c>
      <c r="E8" t="s">
        <v>1017</v>
      </c>
      <c r="F8" t="s">
        <v>1026</v>
      </c>
      <c r="G8" t="s">
        <v>1273</v>
      </c>
      <c r="H8" t="s">
        <v>1288</v>
      </c>
      <c r="I8" t="s">
        <v>1295</v>
      </c>
      <c r="J8" t="s">
        <v>1305</v>
      </c>
      <c r="K8" t="s">
        <v>1307</v>
      </c>
      <c r="L8" t="s">
        <v>1315</v>
      </c>
      <c r="M8">
        <v>2</v>
      </c>
      <c r="N8">
        <v>0</v>
      </c>
      <c r="O8">
        <v>3642.36</v>
      </c>
      <c r="P8">
        <v>1173.49</v>
      </c>
      <c r="Q8" t="s">
        <v>1332</v>
      </c>
      <c r="R8" t="b">
        <f t="shared" si="0"/>
        <v>0</v>
      </c>
      <c r="S8" t="b">
        <f t="shared" si="1"/>
        <v>0</v>
      </c>
      <c r="T8" t="b">
        <f t="shared" si="2"/>
        <v>0</v>
      </c>
    </row>
    <row r="9" spans="1:21" x14ac:dyDescent="0.3">
      <c r="A9">
        <v>8</v>
      </c>
      <c r="B9" t="s">
        <v>24</v>
      </c>
      <c r="C9" s="2">
        <v>45914</v>
      </c>
      <c r="D9" s="2">
        <v>45919</v>
      </c>
      <c r="E9" t="s">
        <v>1017</v>
      </c>
      <c r="F9" t="s">
        <v>1027</v>
      </c>
      <c r="G9" t="s">
        <v>1271</v>
      </c>
      <c r="H9" t="s">
        <v>1287</v>
      </c>
      <c r="I9" t="s">
        <v>1296</v>
      </c>
      <c r="J9" t="s">
        <v>1304</v>
      </c>
      <c r="K9" t="s">
        <v>1307</v>
      </c>
      <c r="L9" t="s">
        <v>1316</v>
      </c>
      <c r="M9">
        <v>1</v>
      </c>
      <c r="N9">
        <v>0.15</v>
      </c>
      <c r="O9">
        <v>426.75</v>
      </c>
      <c r="P9">
        <v>40.43</v>
      </c>
      <c r="Q9" t="s">
        <v>1331</v>
      </c>
      <c r="R9" t="b">
        <f t="shared" si="0"/>
        <v>0</v>
      </c>
      <c r="S9" t="b">
        <f t="shared" si="1"/>
        <v>0</v>
      </c>
      <c r="T9" t="b">
        <f t="shared" si="2"/>
        <v>0</v>
      </c>
    </row>
    <row r="10" spans="1:21" x14ac:dyDescent="0.3">
      <c r="A10">
        <v>9</v>
      </c>
      <c r="B10" t="s">
        <v>25</v>
      </c>
      <c r="C10" s="2">
        <v>45888</v>
      </c>
      <c r="D10" s="2">
        <v>45893</v>
      </c>
      <c r="E10" t="s">
        <v>1019</v>
      </c>
      <c r="F10" t="s">
        <v>1028</v>
      </c>
      <c r="G10" t="s">
        <v>1272</v>
      </c>
      <c r="H10" t="s">
        <v>1287</v>
      </c>
      <c r="I10" t="s">
        <v>1297</v>
      </c>
      <c r="J10" t="s">
        <v>1304</v>
      </c>
      <c r="K10" t="s">
        <v>1309</v>
      </c>
      <c r="L10" t="s">
        <v>1317</v>
      </c>
      <c r="M10">
        <v>2</v>
      </c>
      <c r="N10">
        <v>0.15</v>
      </c>
      <c r="O10">
        <v>1363.71</v>
      </c>
      <c r="P10">
        <v>308.05</v>
      </c>
      <c r="Q10" t="s">
        <v>1330</v>
      </c>
      <c r="R10" t="b">
        <f t="shared" si="0"/>
        <v>0</v>
      </c>
      <c r="S10" t="b">
        <f t="shared" ref="S10:S66" si="3">M10&lt;=0</f>
        <v>0</v>
      </c>
      <c r="T10" t="b">
        <f t="shared" si="2"/>
        <v>0</v>
      </c>
    </row>
    <row r="11" spans="1:21" x14ac:dyDescent="0.3">
      <c r="A11">
        <v>10</v>
      </c>
      <c r="B11" t="s">
        <v>26</v>
      </c>
      <c r="C11" s="2">
        <v>45701</v>
      </c>
      <c r="D11" s="2">
        <v>45705</v>
      </c>
      <c r="E11" t="s">
        <v>1018</v>
      </c>
      <c r="F11" t="s">
        <v>1029</v>
      </c>
      <c r="G11" t="s">
        <v>1274</v>
      </c>
      <c r="H11" t="s">
        <v>1289</v>
      </c>
      <c r="I11" t="s">
        <v>1298</v>
      </c>
      <c r="J11" t="s">
        <v>1303</v>
      </c>
      <c r="K11" t="s">
        <v>1307</v>
      </c>
      <c r="L11" t="s">
        <v>1316</v>
      </c>
      <c r="M11">
        <v>4</v>
      </c>
      <c r="N11">
        <v>0.2</v>
      </c>
      <c r="O11">
        <v>1659.48</v>
      </c>
      <c r="P11">
        <v>206.65</v>
      </c>
      <c r="Q11" t="s">
        <v>1331</v>
      </c>
      <c r="R11" t="b">
        <f t="shared" si="0"/>
        <v>0</v>
      </c>
      <c r="S11" t="b">
        <f t="shared" si="3"/>
        <v>0</v>
      </c>
      <c r="T11" t="b">
        <f t="shared" si="2"/>
        <v>0</v>
      </c>
    </row>
    <row r="12" spans="1:21" x14ac:dyDescent="0.3">
      <c r="A12">
        <v>11</v>
      </c>
      <c r="B12" t="s">
        <v>27</v>
      </c>
      <c r="C12" s="2">
        <v>45855</v>
      </c>
      <c r="D12" s="2">
        <v>45858</v>
      </c>
      <c r="E12" t="s">
        <v>1017</v>
      </c>
      <c r="F12" t="s">
        <v>1030</v>
      </c>
      <c r="G12" t="s">
        <v>1271</v>
      </c>
      <c r="H12" t="s">
        <v>1287</v>
      </c>
      <c r="I12" t="s">
        <v>1297</v>
      </c>
      <c r="J12" t="s">
        <v>1304</v>
      </c>
      <c r="K12" t="s">
        <v>1308</v>
      </c>
      <c r="L12" t="s">
        <v>1318</v>
      </c>
      <c r="M12">
        <v>2</v>
      </c>
      <c r="N12">
        <v>0.05</v>
      </c>
      <c r="O12">
        <v>10361.81</v>
      </c>
      <c r="P12">
        <v>3054.5</v>
      </c>
      <c r="Q12" t="s">
        <v>1331</v>
      </c>
      <c r="R12" t="b">
        <f t="shared" si="0"/>
        <v>0</v>
      </c>
      <c r="S12" t="b">
        <f t="shared" si="3"/>
        <v>0</v>
      </c>
      <c r="T12" t="b">
        <f t="shared" si="2"/>
        <v>0</v>
      </c>
    </row>
    <row r="13" spans="1:21" x14ac:dyDescent="0.3">
      <c r="A13">
        <v>12</v>
      </c>
      <c r="B13" t="s">
        <v>28</v>
      </c>
      <c r="C13" s="2">
        <v>45925</v>
      </c>
      <c r="D13" s="2">
        <v>45927</v>
      </c>
      <c r="E13" t="s">
        <v>1019</v>
      </c>
      <c r="F13" t="s">
        <v>1031</v>
      </c>
      <c r="G13" t="s">
        <v>1275</v>
      </c>
      <c r="H13" t="s">
        <v>1289</v>
      </c>
      <c r="I13" t="s">
        <v>1299</v>
      </c>
      <c r="J13" t="s">
        <v>1304</v>
      </c>
      <c r="K13" t="s">
        <v>1308</v>
      </c>
      <c r="L13" t="s">
        <v>1312</v>
      </c>
      <c r="M13">
        <v>1</v>
      </c>
      <c r="N13">
        <v>0.05</v>
      </c>
      <c r="O13">
        <v>1260.25</v>
      </c>
      <c r="P13">
        <v>416.4</v>
      </c>
      <c r="Q13" t="s">
        <v>1333</v>
      </c>
      <c r="R13" t="b">
        <f t="shared" si="0"/>
        <v>0</v>
      </c>
      <c r="S13" t="b">
        <f t="shared" si="3"/>
        <v>0</v>
      </c>
      <c r="T13" t="b">
        <f t="shared" si="2"/>
        <v>0</v>
      </c>
    </row>
    <row r="14" spans="1:21" x14ac:dyDescent="0.3">
      <c r="A14">
        <v>13</v>
      </c>
      <c r="B14" t="s">
        <v>29</v>
      </c>
      <c r="C14" s="2">
        <v>45829</v>
      </c>
      <c r="D14" s="2">
        <v>45831</v>
      </c>
      <c r="E14" t="s">
        <v>1018</v>
      </c>
      <c r="F14" t="s">
        <v>1032</v>
      </c>
      <c r="G14" t="s">
        <v>1275</v>
      </c>
      <c r="H14" t="s">
        <v>1288</v>
      </c>
      <c r="I14" t="s">
        <v>1299</v>
      </c>
      <c r="J14" t="s">
        <v>1304</v>
      </c>
      <c r="K14" t="s">
        <v>1309</v>
      </c>
      <c r="L14" t="s">
        <v>1317</v>
      </c>
      <c r="M14">
        <v>1</v>
      </c>
      <c r="N14">
        <v>0</v>
      </c>
      <c r="O14">
        <v>837.8</v>
      </c>
      <c r="P14">
        <v>303.74</v>
      </c>
      <c r="Q14" t="s">
        <v>1331</v>
      </c>
      <c r="R14" t="b">
        <f t="shared" si="0"/>
        <v>0</v>
      </c>
      <c r="S14" t="b">
        <f t="shared" si="3"/>
        <v>0</v>
      </c>
      <c r="T14" t="b">
        <f t="shared" si="2"/>
        <v>0</v>
      </c>
    </row>
    <row r="15" spans="1:21" x14ac:dyDescent="0.3">
      <c r="A15">
        <v>14</v>
      </c>
      <c r="B15" t="s">
        <v>30</v>
      </c>
      <c r="C15" s="2">
        <v>46006</v>
      </c>
      <c r="D15" s="2">
        <v>46009</v>
      </c>
      <c r="E15" t="s">
        <v>1017</v>
      </c>
      <c r="F15" t="s">
        <v>1033</v>
      </c>
      <c r="G15" t="s">
        <v>1272</v>
      </c>
      <c r="H15" t="s">
        <v>1287</v>
      </c>
      <c r="I15" t="s">
        <v>1299</v>
      </c>
      <c r="J15" t="s">
        <v>1304</v>
      </c>
      <c r="K15" t="s">
        <v>1308</v>
      </c>
      <c r="L15" t="s">
        <v>1319</v>
      </c>
      <c r="M15">
        <v>1</v>
      </c>
      <c r="N15">
        <v>0.1</v>
      </c>
      <c r="O15">
        <v>4176.72</v>
      </c>
      <c r="P15">
        <v>702.12</v>
      </c>
      <c r="Q15" t="s">
        <v>1331</v>
      </c>
      <c r="R15" t="b">
        <f t="shared" si="0"/>
        <v>0</v>
      </c>
      <c r="S15" t="b">
        <f t="shared" si="3"/>
        <v>0</v>
      </c>
      <c r="T15" t="b">
        <f t="shared" si="2"/>
        <v>0</v>
      </c>
    </row>
    <row r="16" spans="1:21" x14ac:dyDescent="0.3">
      <c r="A16">
        <v>15</v>
      </c>
      <c r="B16" t="s">
        <v>31</v>
      </c>
      <c r="C16" s="2">
        <v>45808</v>
      </c>
      <c r="D16" s="2">
        <v>45810</v>
      </c>
      <c r="E16" t="s">
        <v>1018</v>
      </c>
      <c r="F16" t="s">
        <v>1034</v>
      </c>
      <c r="G16" t="s">
        <v>1276</v>
      </c>
      <c r="H16" t="s">
        <v>1287</v>
      </c>
      <c r="I16" t="s">
        <v>1300</v>
      </c>
      <c r="J16" t="s">
        <v>1305</v>
      </c>
      <c r="K16" t="s">
        <v>1307</v>
      </c>
      <c r="L16" t="s">
        <v>1311</v>
      </c>
      <c r="M16">
        <v>1</v>
      </c>
      <c r="N16">
        <v>0.05</v>
      </c>
      <c r="O16">
        <v>277.17</v>
      </c>
      <c r="P16">
        <v>52.32</v>
      </c>
      <c r="Q16" t="s">
        <v>1331</v>
      </c>
      <c r="R16" t="b">
        <f t="shared" si="0"/>
        <v>0</v>
      </c>
      <c r="S16" t="b">
        <f t="shared" si="3"/>
        <v>0</v>
      </c>
      <c r="T16" t="b">
        <f t="shared" si="2"/>
        <v>0</v>
      </c>
    </row>
    <row r="17" spans="1:20" x14ac:dyDescent="0.3">
      <c r="A17">
        <v>16</v>
      </c>
      <c r="B17" t="s">
        <v>32</v>
      </c>
      <c r="C17" s="2">
        <v>45666</v>
      </c>
      <c r="D17" s="2">
        <v>45667</v>
      </c>
      <c r="E17" t="s">
        <v>1018</v>
      </c>
      <c r="F17" t="s">
        <v>1035</v>
      </c>
      <c r="G17" t="s">
        <v>1277</v>
      </c>
      <c r="H17" t="s">
        <v>1288</v>
      </c>
      <c r="I17" t="s">
        <v>1298</v>
      </c>
      <c r="J17" t="s">
        <v>1303</v>
      </c>
      <c r="K17" t="s">
        <v>1309</v>
      </c>
      <c r="L17" t="s">
        <v>1313</v>
      </c>
      <c r="M17">
        <v>4</v>
      </c>
      <c r="N17">
        <v>0.1</v>
      </c>
      <c r="O17">
        <v>5315.03</v>
      </c>
      <c r="P17">
        <v>726.94</v>
      </c>
      <c r="Q17" t="s">
        <v>1331</v>
      </c>
      <c r="R17" t="b">
        <f t="shared" si="0"/>
        <v>0</v>
      </c>
      <c r="S17" t="b">
        <f t="shared" si="3"/>
        <v>0</v>
      </c>
      <c r="T17" t="b">
        <f t="shared" si="2"/>
        <v>0</v>
      </c>
    </row>
    <row r="18" spans="1:20" x14ac:dyDescent="0.3">
      <c r="A18">
        <v>17</v>
      </c>
      <c r="B18" t="s">
        <v>33</v>
      </c>
      <c r="C18" s="2">
        <v>45810</v>
      </c>
      <c r="D18" s="2">
        <v>45815</v>
      </c>
      <c r="E18" t="s">
        <v>1017</v>
      </c>
      <c r="F18" t="s">
        <v>1036</v>
      </c>
      <c r="G18" t="s">
        <v>1268</v>
      </c>
      <c r="H18" t="s">
        <v>1289</v>
      </c>
      <c r="I18" t="s">
        <v>1296</v>
      </c>
      <c r="J18" t="s">
        <v>1304</v>
      </c>
      <c r="K18" t="s">
        <v>1309</v>
      </c>
      <c r="L18" t="s">
        <v>1313</v>
      </c>
      <c r="M18">
        <v>2</v>
      </c>
      <c r="N18">
        <v>0.2</v>
      </c>
      <c r="O18">
        <v>2346.58</v>
      </c>
      <c r="P18">
        <v>304.72000000000003</v>
      </c>
      <c r="Q18" t="s">
        <v>1331</v>
      </c>
      <c r="R18" t="b">
        <f t="shared" si="0"/>
        <v>0</v>
      </c>
      <c r="S18" t="b">
        <f t="shared" si="3"/>
        <v>0</v>
      </c>
      <c r="T18" t="b">
        <f t="shared" si="2"/>
        <v>0</v>
      </c>
    </row>
    <row r="19" spans="1:20" x14ac:dyDescent="0.3">
      <c r="A19">
        <v>18</v>
      </c>
      <c r="B19" t="s">
        <v>34</v>
      </c>
      <c r="C19" s="2">
        <v>45852</v>
      </c>
      <c r="D19" s="2">
        <v>45853</v>
      </c>
      <c r="E19" t="s">
        <v>1017</v>
      </c>
      <c r="F19" t="s">
        <v>1037</v>
      </c>
      <c r="H19" t="s">
        <v>1288</v>
      </c>
      <c r="I19" t="s">
        <v>1297</v>
      </c>
      <c r="J19" t="s">
        <v>1304</v>
      </c>
      <c r="K19" t="s">
        <v>1309</v>
      </c>
      <c r="L19" t="s">
        <v>1320</v>
      </c>
      <c r="M19">
        <v>2</v>
      </c>
      <c r="N19">
        <v>0.15</v>
      </c>
      <c r="O19">
        <v>1999.18</v>
      </c>
      <c r="P19">
        <v>252.22</v>
      </c>
      <c r="Q19" t="s">
        <v>1330</v>
      </c>
      <c r="R19" t="b">
        <f t="shared" si="0"/>
        <v>0</v>
      </c>
      <c r="S19" t="b">
        <f t="shared" si="3"/>
        <v>0</v>
      </c>
      <c r="T19" t="b">
        <f t="shared" si="2"/>
        <v>0</v>
      </c>
    </row>
    <row r="20" spans="1:20" x14ac:dyDescent="0.3">
      <c r="A20">
        <v>19</v>
      </c>
      <c r="B20" t="s">
        <v>35</v>
      </c>
      <c r="C20" s="2">
        <v>45941</v>
      </c>
      <c r="D20" s="2">
        <v>45942</v>
      </c>
      <c r="E20" t="s">
        <v>1017</v>
      </c>
      <c r="F20" t="s">
        <v>1038</v>
      </c>
      <c r="G20" t="s">
        <v>1275</v>
      </c>
      <c r="H20" t="s">
        <v>1287</v>
      </c>
      <c r="I20" t="s">
        <v>1290</v>
      </c>
      <c r="J20" t="s">
        <v>1302</v>
      </c>
      <c r="K20" t="s">
        <v>1306</v>
      </c>
      <c r="L20" t="s">
        <v>1321</v>
      </c>
      <c r="M20">
        <v>3</v>
      </c>
      <c r="N20">
        <v>0.1</v>
      </c>
      <c r="O20">
        <v>1177.97</v>
      </c>
      <c r="P20">
        <v>145.91</v>
      </c>
      <c r="Q20" t="s">
        <v>1330</v>
      </c>
      <c r="R20" t="b">
        <f t="shared" si="0"/>
        <v>0</v>
      </c>
      <c r="S20" t="b">
        <f t="shared" si="3"/>
        <v>0</v>
      </c>
      <c r="T20" t="b">
        <f t="shared" si="2"/>
        <v>0</v>
      </c>
    </row>
    <row r="21" spans="1:20" x14ac:dyDescent="0.3">
      <c r="A21">
        <v>20</v>
      </c>
      <c r="B21" t="s">
        <v>36</v>
      </c>
      <c r="C21" s="2">
        <v>45937</v>
      </c>
      <c r="D21" s="2">
        <v>45942</v>
      </c>
      <c r="E21" t="s">
        <v>1019</v>
      </c>
      <c r="F21" t="s">
        <v>1039</v>
      </c>
      <c r="G21" t="s">
        <v>1276</v>
      </c>
      <c r="H21" t="s">
        <v>1287</v>
      </c>
      <c r="I21" t="s">
        <v>1301</v>
      </c>
      <c r="J21" t="s">
        <v>1303</v>
      </c>
      <c r="K21" t="s">
        <v>1306</v>
      </c>
      <c r="L21" t="s">
        <v>1310</v>
      </c>
      <c r="M21">
        <v>2</v>
      </c>
      <c r="N21">
        <v>0</v>
      </c>
      <c r="O21">
        <v>1290.6600000000001</v>
      </c>
      <c r="P21">
        <v>233.33</v>
      </c>
      <c r="Q21" t="s">
        <v>1331</v>
      </c>
      <c r="R21" t="b">
        <f t="shared" si="0"/>
        <v>0</v>
      </c>
      <c r="S21" t="b">
        <f t="shared" si="3"/>
        <v>0</v>
      </c>
      <c r="T21" t="b">
        <f t="shared" si="2"/>
        <v>0</v>
      </c>
    </row>
    <row r="22" spans="1:20" x14ac:dyDescent="0.3">
      <c r="A22">
        <v>21</v>
      </c>
      <c r="B22" t="s">
        <v>37</v>
      </c>
      <c r="C22" s="2">
        <v>45715</v>
      </c>
      <c r="D22" s="2">
        <v>45718</v>
      </c>
      <c r="E22" t="s">
        <v>1018</v>
      </c>
      <c r="F22" t="s">
        <v>1040</v>
      </c>
      <c r="G22" t="s">
        <v>1278</v>
      </c>
      <c r="H22" t="s">
        <v>1287</v>
      </c>
      <c r="I22" t="s">
        <v>1293</v>
      </c>
      <c r="J22" t="s">
        <v>1304</v>
      </c>
      <c r="K22" t="s">
        <v>1307</v>
      </c>
      <c r="L22" t="s">
        <v>1322</v>
      </c>
      <c r="M22">
        <v>2</v>
      </c>
      <c r="N22">
        <v>0.2</v>
      </c>
      <c r="O22">
        <v>1126.24</v>
      </c>
      <c r="P22">
        <v>232.31</v>
      </c>
      <c r="Q22" t="s">
        <v>1331</v>
      </c>
      <c r="R22" t="b">
        <f t="shared" si="0"/>
        <v>0</v>
      </c>
      <c r="S22" t="b">
        <f t="shared" si="3"/>
        <v>0</v>
      </c>
      <c r="T22" t="b">
        <f t="shared" si="2"/>
        <v>0</v>
      </c>
    </row>
    <row r="23" spans="1:20" x14ac:dyDescent="0.3">
      <c r="A23">
        <v>22</v>
      </c>
      <c r="B23" t="s">
        <v>38</v>
      </c>
      <c r="C23" s="2">
        <v>45827</v>
      </c>
      <c r="D23" s="2">
        <v>45829</v>
      </c>
      <c r="E23" t="s">
        <v>1019</v>
      </c>
      <c r="F23" t="s">
        <v>1041</v>
      </c>
      <c r="G23" t="s">
        <v>1274</v>
      </c>
      <c r="H23" t="s">
        <v>1287</v>
      </c>
      <c r="I23" t="s">
        <v>1294</v>
      </c>
      <c r="J23" t="s">
        <v>1305</v>
      </c>
      <c r="K23" t="s">
        <v>1306</v>
      </c>
      <c r="L23" t="s">
        <v>1323</v>
      </c>
      <c r="M23">
        <v>3</v>
      </c>
      <c r="N23">
        <v>0.05</v>
      </c>
      <c r="O23">
        <v>528.91</v>
      </c>
      <c r="P23">
        <v>100.47</v>
      </c>
      <c r="Q23" t="s">
        <v>1332</v>
      </c>
      <c r="R23" t="b">
        <f t="shared" si="0"/>
        <v>0</v>
      </c>
      <c r="S23" t="b">
        <f t="shared" si="3"/>
        <v>0</v>
      </c>
      <c r="T23" t="b">
        <f t="shared" si="2"/>
        <v>0</v>
      </c>
    </row>
    <row r="24" spans="1:20" x14ac:dyDescent="0.3">
      <c r="A24">
        <v>23</v>
      </c>
      <c r="B24" t="s">
        <v>39</v>
      </c>
      <c r="C24" s="2">
        <v>45979</v>
      </c>
      <c r="D24" s="2">
        <v>45982</v>
      </c>
      <c r="E24" t="s">
        <v>1017</v>
      </c>
      <c r="F24" t="s">
        <v>1042</v>
      </c>
      <c r="G24" t="s">
        <v>1275</v>
      </c>
      <c r="H24" t="s">
        <v>1287</v>
      </c>
      <c r="I24" t="s">
        <v>1296</v>
      </c>
      <c r="J24" t="s">
        <v>1304</v>
      </c>
      <c r="K24" t="s">
        <v>1308</v>
      </c>
      <c r="L24" t="s">
        <v>1312</v>
      </c>
      <c r="M24">
        <v>1</v>
      </c>
      <c r="N24">
        <v>0.05</v>
      </c>
      <c r="O24">
        <v>1229.8</v>
      </c>
      <c r="P24">
        <v>283.44</v>
      </c>
      <c r="Q24" t="s">
        <v>1334</v>
      </c>
      <c r="R24" t="b">
        <f t="shared" si="0"/>
        <v>0</v>
      </c>
      <c r="S24" t="b">
        <f t="shared" si="3"/>
        <v>0</v>
      </c>
      <c r="T24" t="b">
        <f t="shared" si="2"/>
        <v>0</v>
      </c>
    </row>
    <row r="25" spans="1:20" x14ac:dyDescent="0.3">
      <c r="A25">
        <v>24</v>
      </c>
      <c r="B25" t="s">
        <v>40</v>
      </c>
      <c r="C25" s="2">
        <v>45765</v>
      </c>
      <c r="D25" s="2">
        <v>45770</v>
      </c>
      <c r="E25" t="s">
        <v>1017</v>
      </c>
      <c r="F25" t="s">
        <v>1043</v>
      </c>
      <c r="G25" t="s">
        <v>1271</v>
      </c>
      <c r="H25" t="s">
        <v>1288</v>
      </c>
      <c r="I25" t="s">
        <v>1298</v>
      </c>
      <c r="J25" t="s">
        <v>1303</v>
      </c>
      <c r="K25" t="s">
        <v>1306</v>
      </c>
      <c r="L25" t="s">
        <v>1324</v>
      </c>
      <c r="M25">
        <v>2</v>
      </c>
      <c r="N25">
        <v>0.15</v>
      </c>
      <c r="O25">
        <v>152.35</v>
      </c>
      <c r="P25">
        <v>10.44</v>
      </c>
      <c r="Q25" t="s">
        <v>1331</v>
      </c>
      <c r="R25" t="b">
        <f t="shared" si="0"/>
        <v>0</v>
      </c>
      <c r="S25" t="b">
        <f t="shared" si="3"/>
        <v>0</v>
      </c>
      <c r="T25" t="b">
        <f t="shared" si="2"/>
        <v>0</v>
      </c>
    </row>
    <row r="26" spans="1:20" x14ac:dyDescent="0.3">
      <c r="A26">
        <v>25</v>
      </c>
      <c r="B26" t="s">
        <v>41</v>
      </c>
      <c r="C26" s="2">
        <v>45777</v>
      </c>
      <c r="D26" s="2">
        <v>45780</v>
      </c>
      <c r="E26" t="s">
        <v>1017</v>
      </c>
      <c r="F26" t="s">
        <v>1044</v>
      </c>
      <c r="G26" t="s">
        <v>1279</v>
      </c>
      <c r="H26" t="s">
        <v>1288</v>
      </c>
      <c r="I26" t="s">
        <v>1291</v>
      </c>
      <c r="J26" t="s">
        <v>1302</v>
      </c>
      <c r="K26" t="s">
        <v>1309</v>
      </c>
      <c r="L26" t="s">
        <v>1325</v>
      </c>
      <c r="M26">
        <v>3</v>
      </c>
      <c r="N26">
        <v>0</v>
      </c>
      <c r="O26">
        <v>3873.22</v>
      </c>
      <c r="P26">
        <v>1395.93</v>
      </c>
      <c r="Q26" t="s">
        <v>1331</v>
      </c>
      <c r="R26" t="b">
        <f t="shared" si="0"/>
        <v>0</v>
      </c>
      <c r="S26" t="b">
        <f t="shared" si="3"/>
        <v>0</v>
      </c>
      <c r="T26" t="b">
        <f t="shared" si="2"/>
        <v>0</v>
      </c>
    </row>
    <row r="27" spans="1:20" x14ac:dyDescent="0.3">
      <c r="A27">
        <v>26</v>
      </c>
      <c r="B27" t="s">
        <v>42</v>
      </c>
      <c r="C27" s="2">
        <v>45929</v>
      </c>
      <c r="D27" s="2">
        <v>45934</v>
      </c>
      <c r="E27" t="s">
        <v>1018</v>
      </c>
      <c r="F27" t="s">
        <v>1045</v>
      </c>
      <c r="G27" t="s">
        <v>1267</v>
      </c>
      <c r="H27" t="s">
        <v>1287</v>
      </c>
      <c r="I27" t="s">
        <v>1301</v>
      </c>
      <c r="J27" t="s">
        <v>1303</v>
      </c>
      <c r="K27" t="s">
        <v>1307</v>
      </c>
      <c r="L27" t="s">
        <v>1311</v>
      </c>
      <c r="M27">
        <v>3</v>
      </c>
      <c r="N27">
        <v>0.15</v>
      </c>
      <c r="O27">
        <v>780.59</v>
      </c>
      <c r="P27">
        <v>125</v>
      </c>
      <c r="Q27" t="s">
        <v>1331</v>
      </c>
      <c r="R27" t="b">
        <f t="shared" si="0"/>
        <v>0</v>
      </c>
      <c r="S27" t="b">
        <f t="shared" si="3"/>
        <v>0</v>
      </c>
      <c r="T27" t="b">
        <f t="shared" si="2"/>
        <v>0</v>
      </c>
    </row>
    <row r="28" spans="1:20" x14ac:dyDescent="0.3">
      <c r="A28">
        <v>27</v>
      </c>
      <c r="B28" t="s">
        <v>43</v>
      </c>
      <c r="C28" s="2">
        <v>45895</v>
      </c>
      <c r="D28" s="2">
        <v>45899</v>
      </c>
      <c r="E28" t="s">
        <v>1018</v>
      </c>
      <c r="F28" t="s">
        <v>1046</v>
      </c>
      <c r="G28" t="s">
        <v>1274</v>
      </c>
      <c r="H28" t="s">
        <v>1287</v>
      </c>
      <c r="I28" t="s">
        <v>1291</v>
      </c>
      <c r="J28" t="s">
        <v>1302</v>
      </c>
      <c r="K28" t="s">
        <v>1307</v>
      </c>
      <c r="L28" t="s">
        <v>1316</v>
      </c>
      <c r="M28">
        <v>1</v>
      </c>
      <c r="N28">
        <v>0</v>
      </c>
      <c r="O28">
        <v>482.8</v>
      </c>
      <c r="P28">
        <v>171.71</v>
      </c>
      <c r="Q28" t="s">
        <v>1333</v>
      </c>
      <c r="R28" t="b">
        <f t="shared" si="0"/>
        <v>0</v>
      </c>
      <c r="S28" t="b">
        <f t="shared" si="3"/>
        <v>0</v>
      </c>
      <c r="T28" t="b">
        <f t="shared" si="2"/>
        <v>0</v>
      </c>
    </row>
    <row r="29" spans="1:20" x14ac:dyDescent="0.3">
      <c r="A29">
        <v>28</v>
      </c>
      <c r="B29" t="s">
        <v>44</v>
      </c>
      <c r="C29" s="2">
        <v>45837</v>
      </c>
      <c r="D29" s="2">
        <v>45839</v>
      </c>
      <c r="E29" t="s">
        <v>1018</v>
      </c>
      <c r="F29" t="s">
        <v>1047</v>
      </c>
      <c r="G29" t="s">
        <v>1280</v>
      </c>
      <c r="H29" t="s">
        <v>1287</v>
      </c>
      <c r="I29" t="s">
        <v>1295</v>
      </c>
      <c r="J29" t="s">
        <v>1305</v>
      </c>
      <c r="K29" t="s">
        <v>1308</v>
      </c>
      <c r="L29" t="s">
        <v>1326</v>
      </c>
      <c r="M29">
        <v>4</v>
      </c>
      <c r="N29">
        <v>0.2</v>
      </c>
      <c r="O29">
        <v>22678.69</v>
      </c>
      <c r="P29">
        <v>2504.0100000000002</v>
      </c>
      <c r="Q29" t="s">
        <v>1331</v>
      </c>
      <c r="R29" t="b">
        <f t="shared" si="0"/>
        <v>0</v>
      </c>
      <c r="S29" t="b">
        <f t="shared" si="3"/>
        <v>0</v>
      </c>
      <c r="T29" t="b">
        <f t="shared" si="2"/>
        <v>0</v>
      </c>
    </row>
    <row r="30" spans="1:20" x14ac:dyDescent="0.3">
      <c r="A30">
        <v>29</v>
      </c>
      <c r="B30" t="s">
        <v>45</v>
      </c>
      <c r="C30" s="2">
        <v>45809</v>
      </c>
      <c r="D30" s="2">
        <v>45813</v>
      </c>
      <c r="E30" t="s">
        <v>1017</v>
      </c>
      <c r="F30" t="s">
        <v>1048</v>
      </c>
      <c r="G30" t="s">
        <v>1281</v>
      </c>
      <c r="H30" t="s">
        <v>1289</v>
      </c>
      <c r="I30" t="s">
        <v>1291</v>
      </c>
      <c r="J30" t="s">
        <v>1302</v>
      </c>
      <c r="K30" t="s">
        <v>1308</v>
      </c>
      <c r="L30" t="s">
        <v>1318</v>
      </c>
      <c r="M30">
        <v>2</v>
      </c>
      <c r="N30">
        <v>0.2</v>
      </c>
      <c r="O30">
        <v>8700.01</v>
      </c>
      <c r="P30">
        <v>466.27</v>
      </c>
      <c r="Q30" t="s">
        <v>1331</v>
      </c>
      <c r="R30" t="b">
        <f t="shared" si="0"/>
        <v>0</v>
      </c>
      <c r="S30" t="b">
        <f t="shared" si="3"/>
        <v>0</v>
      </c>
      <c r="T30" t="b">
        <f t="shared" si="2"/>
        <v>0</v>
      </c>
    </row>
    <row r="31" spans="1:20" x14ac:dyDescent="0.3">
      <c r="A31">
        <v>30</v>
      </c>
      <c r="B31" t="s">
        <v>46</v>
      </c>
      <c r="C31" s="2">
        <v>45752</v>
      </c>
      <c r="D31" s="2">
        <v>45754</v>
      </c>
      <c r="E31" t="s">
        <v>1017</v>
      </c>
      <c r="F31" t="s">
        <v>1049</v>
      </c>
      <c r="G31" t="s">
        <v>1282</v>
      </c>
      <c r="H31" t="s">
        <v>1287</v>
      </c>
      <c r="I31" t="s">
        <v>1290</v>
      </c>
      <c r="J31" t="s">
        <v>1302</v>
      </c>
      <c r="K31" t="s">
        <v>1307</v>
      </c>
      <c r="L31" t="s">
        <v>1311</v>
      </c>
      <c r="M31">
        <v>1</v>
      </c>
      <c r="N31">
        <v>0</v>
      </c>
      <c r="O31">
        <v>285.20999999999998</v>
      </c>
      <c r="P31">
        <v>62.86</v>
      </c>
      <c r="Q31" t="s">
        <v>1332</v>
      </c>
      <c r="R31" t="b">
        <f t="shared" si="0"/>
        <v>0</v>
      </c>
      <c r="S31" t="b">
        <f t="shared" si="3"/>
        <v>0</v>
      </c>
      <c r="T31" t="b">
        <f t="shared" si="2"/>
        <v>0</v>
      </c>
    </row>
    <row r="32" spans="1:20" x14ac:dyDescent="0.3">
      <c r="A32">
        <v>31</v>
      </c>
      <c r="B32" t="s">
        <v>47</v>
      </c>
      <c r="C32" s="2">
        <v>45771</v>
      </c>
      <c r="D32" s="2">
        <v>45776</v>
      </c>
      <c r="E32" t="s">
        <v>1017</v>
      </c>
      <c r="F32" t="s">
        <v>1034</v>
      </c>
      <c r="G32" t="s">
        <v>1283</v>
      </c>
      <c r="H32" t="s">
        <v>1287</v>
      </c>
      <c r="I32" t="s">
        <v>1294</v>
      </c>
      <c r="J32" t="s">
        <v>1305</v>
      </c>
      <c r="K32" t="s">
        <v>1306</v>
      </c>
      <c r="L32" t="s">
        <v>1321</v>
      </c>
      <c r="M32">
        <v>2</v>
      </c>
      <c r="N32">
        <v>0.15</v>
      </c>
      <c r="O32">
        <v>798.4</v>
      </c>
      <c r="P32">
        <v>233.35</v>
      </c>
      <c r="Q32" t="s">
        <v>1332</v>
      </c>
      <c r="R32" t="b">
        <f t="shared" si="0"/>
        <v>0</v>
      </c>
      <c r="S32" t="b">
        <f t="shared" si="3"/>
        <v>0</v>
      </c>
      <c r="T32" t="b">
        <f t="shared" si="2"/>
        <v>0</v>
      </c>
    </row>
    <row r="33" spans="1:20" x14ac:dyDescent="0.3">
      <c r="A33">
        <v>32</v>
      </c>
      <c r="B33" t="s">
        <v>48</v>
      </c>
      <c r="C33" s="2">
        <v>45753</v>
      </c>
      <c r="D33" s="2">
        <v>45758</v>
      </c>
      <c r="E33" t="s">
        <v>1018</v>
      </c>
      <c r="F33" t="s">
        <v>1050</v>
      </c>
      <c r="G33" t="s">
        <v>1279</v>
      </c>
      <c r="H33" t="s">
        <v>1287</v>
      </c>
      <c r="I33" t="s">
        <v>1296</v>
      </c>
      <c r="J33" t="s">
        <v>1304</v>
      </c>
      <c r="K33" t="s">
        <v>1307</v>
      </c>
      <c r="L33" t="s">
        <v>1316</v>
      </c>
      <c r="M33">
        <v>2</v>
      </c>
      <c r="N33">
        <v>0.05</v>
      </c>
      <c r="O33">
        <v>923.32</v>
      </c>
      <c r="P33">
        <v>168.86</v>
      </c>
      <c r="Q33" t="s">
        <v>1333</v>
      </c>
      <c r="R33" t="b">
        <f t="shared" si="0"/>
        <v>0</v>
      </c>
      <c r="S33" t="b">
        <f t="shared" si="3"/>
        <v>0</v>
      </c>
      <c r="T33" t="b">
        <f t="shared" si="2"/>
        <v>0</v>
      </c>
    </row>
    <row r="34" spans="1:20" x14ac:dyDescent="0.3">
      <c r="A34">
        <v>33</v>
      </c>
      <c r="B34" t="s">
        <v>49</v>
      </c>
      <c r="C34" s="2">
        <v>45757</v>
      </c>
      <c r="D34" s="2">
        <v>45761</v>
      </c>
      <c r="E34" t="s">
        <v>1017</v>
      </c>
      <c r="F34" t="s">
        <v>1051</v>
      </c>
      <c r="G34" t="s">
        <v>1284</v>
      </c>
      <c r="H34" t="s">
        <v>1288</v>
      </c>
      <c r="I34" t="s">
        <v>1301</v>
      </c>
      <c r="J34" t="s">
        <v>1303</v>
      </c>
      <c r="K34" t="s">
        <v>1306</v>
      </c>
      <c r="L34" t="s">
        <v>1323</v>
      </c>
      <c r="M34">
        <v>1</v>
      </c>
      <c r="N34">
        <v>0</v>
      </c>
      <c r="O34">
        <v>188.25</v>
      </c>
      <c r="P34">
        <v>46.15</v>
      </c>
      <c r="Q34" t="s">
        <v>1333</v>
      </c>
      <c r="R34" t="b">
        <f t="shared" si="0"/>
        <v>0</v>
      </c>
      <c r="S34" t="b">
        <f t="shared" si="3"/>
        <v>0</v>
      </c>
      <c r="T34" t="b">
        <f t="shared" si="2"/>
        <v>0</v>
      </c>
    </row>
    <row r="35" spans="1:20" x14ac:dyDescent="0.3">
      <c r="A35">
        <v>34</v>
      </c>
      <c r="B35" t="s">
        <v>50</v>
      </c>
      <c r="C35" s="2">
        <v>45710</v>
      </c>
      <c r="D35" s="2">
        <v>45711</v>
      </c>
      <c r="E35" t="s">
        <v>1019</v>
      </c>
      <c r="F35" t="s">
        <v>1052</v>
      </c>
      <c r="G35" t="s">
        <v>1273</v>
      </c>
      <c r="H35" t="s">
        <v>1288</v>
      </c>
      <c r="I35" t="s">
        <v>1298</v>
      </c>
      <c r="J35" t="s">
        <v>1303</v>
      </c>
      <c r="K35" t="s">
        <v>1306</v>
      </c>
      <c r="L35" t="s">
        <v>1310</v>
      </c>
      <c r="M35">
        <v>1</v>
      </c>
      <c r="N35">
        <v>0.05</v>
      </c>
      <c r="O35">
        <v>593.63</v>
      </c>
      <c r="P35">
        <v>69.61</v>
      </c>
      <c r="Q35" t="s">
        <v>1333</v>
      </c>
      <c r="R35" t="b">
        <f t="shared" si="0"/>
        <v>0</v>
      </c>
      <c r="S35" t="b">
        <f t="shared" si="3"/>
        <v>0</v>
      </c>
      <c r="T35" t="b">
        <f t="shared" si="2"/>
        <v>0</v>
      </c>
    </row>
    <row r="36" spans="1:20" x14ac:dyDescent="0.3">
      <c r="A36">
        <v>35</v>
      </c>
      <c r="B36" t="s">
        <v>51</v>
      </c>
      <c r="C36" s="2">
        <v>45910</v>
      </c>
      <c r="D36" s="2">
        <v>45915</v>
      </c>
      <c r="E36" t="s">
        <v>1018</v>
      </c>
      <c r="F36" t="s">
        <v>1053</v>
      </c>
      <c r="G36" t="s">
        <v>1273</v>
      </c>
      <c r="H36" t="s">
        <v>1287</v>
      </c>
      <c r="I36" t="s">
        <v>1294</v>
      </c>
      <c r="J36" t="s">
        <v>1305</v>
      </c>
      <c r="K36" t="s">
        <v>1308</v>
      </c>
      <c r="L36" t="s">
        <v>1312</v>
      </c>
      <c r="M36">
        <v>3</v>
      </c>
      <c r="N36">
        <v>0.1</v>
      </c>
      <c r="O36">
        <v>3410</v>
      </c>
      <c r="P36">
        <v>684.71</v>
      </c>
      <c r="Q36" t="s">
        <v>1331</v>
      </c>
      <c r="R36" t="b">
        <f t="shared" si="0"/>
        <v>0</v>
      </c>
      <c r="S36" t="b">
        <f t="shared" si="3"/>
        <v>0</v>
      </c>
      <c r="T36" t="b">
        <f t="shared" si="2"/>
        <v>0</v>
      </c>
    </row>
    <row r="37" spans="1:20" x14ac:dyDescent="0.3">
      <c r="A37">
        <v>36</v>
      </c>
      <c r="B37" t="s">
        <v>52</v>
      </c>
      <c r="C37" s="2">
        <v>45984</v>
      </c>
      <c r="D37" s="2">
        <v>45985</v>
      </c>
      <c r="E37" t="s">
        <v>1018</v>
      </c>
      <c r="F37" t="s">
        <v>1054</v>
      </c>
      <c r="G37" t="s">
        <v>1285</v>
      </c>
      <c r="H37" t="s">
        <v>1288</v>
      </c>
      <c r="I37" t="s">
        <v>1299</v>
      </c>
      <c r="J37" t="s">
        <v>1304</v>
      </c>
      <c r="K37" t="s">
        <v>1308</v>
      </c>
      <c r="L37" t="s">
        <v>1327</v>
      </c>
      <c r="M37">
        <v>4</v>
      </c>
      <c r="N37">
        <v>0</v>
      </c>
      <c r="O37">
        <v>7262.12</v>
      </c>
      <c r="P37">
        <v>2296.5700000000002</v>
      </c>
      <c r="Q37" t="s">
        <v>1333</v>
      </c>
      <c r="R37" t="b">
        <f t="shared" si="0"/>
        <v>0</v>
      </c>
      <c r="S37" t="b">
        <f t="shared" si="3"/>
        <v>0</v>
      </c>
      <c r="T37" t="b">
        <f t="shared" si="2"/>
        <v>0</v>
      </c>
    </row>
    <row r="38" spans="1:20" x14ac:dyDescent="0.3">
      <c r="A38">
        <v>37</v>
      </c>
      <c r="B38" t="s">
        <v>53</v>
      </c>
      <c r="C38" s="2">
        <v>45974</v>
      </c>
      <c r="D38" s="2">
        <v>45975</v>
      </c>
      <c r="E38" t="s">
        <v>1017</v>
      </c>
      <c r="F38" t="s">
        <v>1034</v>
      </c>
      <c r="G38" t="s">
        <v>1275</v>
      </c>
      <c r="H38" t="s">
        <v>1287</v>
      </c>
      <c r="I38" t="s">
        <v>1293</v>
      </c>
      <c r="J38" t="s">
        <v>1304</v>
      </c>
      <c r="K38" t="s">
        <v>1307</v>
      </c>
      <c r="L38" t="s">
        <v>1322</v>
      </c>
      <c r="M38">
        <v>2</v>
      </c>
      <c r="N38">
        <v>0</v>
      </c>
      <c r="O38">
        <v>1432.14</v>
      </c>
      <c r="P38">
        <v>374.96</v>
      </c>
      <c r="Q38" t="s">
        <v>1333</v>
      </c>
      <c r="R38" t="b">
        <f t="shared" si="0"/>
        <v>0</v>
      </c>
      <c r="S38" t="b">
        <f t="shared" si="3"/>
        <v>0</v>
      </c>
      <c r="T38" t="b">
        <f t="shared" si="2"/>
        <v>0</v>
      </c>
    </row>
    <row r="39" spans="1:20" x14ac:dyDescent="0.3">
      <c r="A39">
        <v>38</v>
      </c>
      <c r="B39" t="s">
        <v>54</v>
      </c>
      <c r="C39" s="2">
        <v>45960</v>
      </c>
      <c r="D39" s="2">
        <v>45965</v>
      </c>
      <c r="E39" t="s">
        <v>1019</v>
      </c>
      <c r="F39" t="s">
        <v>1055</v>
      </c>
      <c r="G39" t="s">
        <v>1267</v>
      </c>
      <c r="H39" t="s">
        <v>1288</v>
      </c>
      <c r="I39" t="s">
        <v>1291</v>
      </c>
      <c r="J39" t="s">
        <v>1302</v>
      </c>
      <c r="K39" t="s">
        <v>1306</v>
      </c>
      <c r="L39" t="s">
        <v>1328</v>
      </c>
      <c r="M39">
        <v>5</v>
      </c>
      <c r="N39">
        <v>0.1</v>
      </c>
      <c r="O39">
        <v>515.34</v>
      </c>
      <c r="P39">
        <v>32.380000000000003</v>
      </c>
      <c r="Q39" t="s">
        <v>1331</v>
      </c>
      <c r="R39" t="b">
        <f t="shared" si="0"/>
        <v>0</v>
      </c>
      <c r="S39" t="b">
        <f t="shared" si="3"/>
        <v>0</v>
      </c>
      <c r="T39" t="b">
        <f t="shared" si="2"/>
        <v>0</v>
      </c>
    </row>
    <row r="40" spans="1:20" x14ac:dyDescent="0.3">
      <c r="A40">
        <v>39</v>
      </c>
      <c r="B40" t="s">
        <v>55</v>
      </c>
      <c r="C40" s="2">
        <v>45801</v>
      </c>
      <c r="D40" s="2">
        <v>45802</v>
      </c>
      <c r="E40" t="s">
        <v>1017</v>
      </c>
      <c r="F40" t="s">
        <v>1056</v>
      </c>
      <c r="G40" t="s">
        <v>1285</v>
      </c>
      <c r="H40" t="s">
        <v>1287</v>
      </c>
      <c r="I40" t="s">
        <v>1299</v>
      </c>
      <c r="J40" t="s">
        <v>1304</v>
      </c>
      <c r="K40" t="s">
        <v>1309</v>
      </c>
      <c r="L40" t="s">
        <v>1317</v>
      </c>
      <c r="M40">
        <v>2</v>
      </c>
      <c r="N40">
        <v>0.1</v>
      </c>
      <c r="O40">
        <v>1497.92</v>
      </c>
      <c r="P40">
        <v>200.76</v>
      </c>
      <c r="Q40" t="s">
        <v>1331</v>
      </c>
      <c r="R40" t="b">
        <f t="shared" si="0"/>
        <v>0</v>
      </c>
      <c r="S40" t="b">
        <f t="shared" si="3"/>
        <v>0</v>
      </c>
      <c r="T40" t="b">
        <f t="shared" si="2"/>
        <v>0</v>
      </c>
    </row>
    <row r="41" spans="1:20" x14ac:dyDescent="0.3">
      <c r="A41">
        <v>40</v>
      </c>
      <c r="B41" t="s">
        <v>56</v>
      </c>
      <c r="C41" s="2">
        <v>45685</v>
      </c>
      <c r="D41" s="2">
        <v>45689</v>
      </c>
      <c r="E41" t="s">
        <v>1017</v>
      </c>
      <c r="F41" t="s">
        <v>1057</v>
      </c>
      <c r="G41" t="s">
        <v>1275</v>
      </c>
      <c r="H41" t="s">
        <v>1287</v>
      </c>
      <c r="I41" t="s">
        <v>1295</v>
      </c>
      <c r="J41" t="s">
        <v>1305</v>
      </c>
      <c r="K41" t="s">
        <v>1309</v>
      </c>
      <c r="L41" t="s">
        <v>1313</v>
      </c>
      <c r="M41">
        <v>2</v>
      </c>
      <c r="N41">
        <v>0</v>
      </c>
      <c r="O41">
        <v>2956.13</v>
      </c>
      <c r="P41">
        <v>941.5</v>
      </c>
      <c r="Q41" t="s">
        <v>1333</v>
      </c>
      <c r="R41" t="b">
        <f t="shared" si="0"/>
        <v>0</v>
      </c>
      <c r="S41" t="b">
        <f t="shared" si="3"/>
        <v>0</v>
      </c>
      <c r="T41" t="b">
        <f t="shared" si="2"/>
        <v>0</v>
      </c>
    </row>
    <row r="42" spans="1:20" x14ac:dyDescent="0.3">
      <c r="A42">
        <v>41</v>
      </c>
      <c r="B42" t="s">
        <v>57</v>
      </c>
      <c r="C42" s="2">
        <v>45913</v>
      </c>
      <c r="D42" s="2">
        <v>45918</v>
      </c>
      <c r="E42" t="s">
        <v>1019</v>
      </c>
      <c r="F42" t="s">
        <v>1058</v>
      </c>
      <c r="G42" t="s">
        <v>1280</v>
      </c>
      <c r="H42" t="s">
        <v>1287</v>
      </c>
      <c r="I42" t="s">
        <v>1296</v>
      </c>
      <c r="J42" t="s">
        <v>1304</v>
      </c>
      <c r="K42" t="s">
        <v>1308</v>
      </c>
      <c r="L42" t="s">
        <v>1327</v>
      </c>
      <c r="M42">
        <v>3</v>
      </c>
      <c r="N42">
        <v>0.2</v>
      </c>
      <c r="O42">
        <v>4366.57</v>
      </c>
      <c r="P42">
        <v>568.98</v>
      </c>
      <c r="Q42" t="s">
        <v>1333</v>
      </c>
      <c r="R42" t="b">
        <f t="shared" si="0"/>
        <v>0</v>
      </c>
      <c r="S42" t="b">
        <f t="shared" si="3"/>
        <v>0</v>
      </c>
      <c r="T42" t="b">
        <f t="shared" si="2"/>
        <v>0</v>
      </c>
    </row>
    <row r="43" spans="1:20" x14ac:dyDescent="0.3">
      <c r="A43">
        <v>42</v>
      </c>
      <c r="B43" t="s">
        <v>58</v>
      </c>
      <c r="C43" s="2">
        <v>45874</v>
      </c>
      <c r="D43" s="2">
        <v>45877</v>
      </c>
      <c r="E43" t="s">
        <v>1017</v>
      </c>
      <c r="F43" t="s">
        <v>1050</v>
      </c>
      <c r="G43" t="s">
        <v>1277</v>
      </c>
      <c r="H43" t="s">
        <v>1287</v>
      </c>
      <c r="I43" t="s">
        <v>1299</v>
      </c>
      <c r="J43" t="s">
        <v>1304</v>
      </c>
      <c r="K43" t="s">
        <v>1307</v>
      </c>
      <c r="L43" t="s">
        <v>1311</v>
      </c>
      <c r="M43">
        <v>2</v>
      </c>
      <c r="N43">
        <v>0.15</v>
      </c>
      <c r="O43">
        <v>525.69000000000005</v>
      </c>
      <c r="P43">
        <v>54.67</v>
      </c>
      <c r="Q43" t="s">
        <v>1331</v>
      </c>
      <c r="R43" t="b">
        <f t="shared" si="0"/>
        <v>0</v>
      </c>
      <c r="S43" t="b">
        <f t="shared" si="3"/>
        <v>0</v>
      </c>
      <c r="T43" t="b">
        <f t="shared" si="2"/>
        <v>0</v>
      </c>
    </row>
    <row r="44" spans="1:20" x14ac:dyDescent="0.3">
      <c r="A44">
        <v>43</v>
      </c>
      <c r="B44" t="s">
        <v>59</v>
      </c>
      <c r="C44" s="2">
        <v>45710</v>
      </c>
      <c r="D44" s="2">
        <v>45715</v>
      </c>
      <c r="E44" t="s">
        <v>1017</v>
      </c>
      <c r="F44" t="s">
        <v>1059</v>
      </c>
      <c r="G44" t="s">
        <v>1284</v>
      </c>
      <c r="H44" t="s">
        <v>1287</v>
      </c>
      <c r="I44" t="s">
        <v>1298</v>
      </c>
      <c r="J44" t="s">
        <v>1303</v>
      </c>
      <c r="K44" t="s">
        <v>1308</v>
      </c>
      <c r="L44" t="s">
        <v>1327</v>
      </c>
      <c r="M44">
        <v>5</v>
      </c>
      <c r="N44">
        <v>0.1</v>
      </c>
      <c r="O44">
        <v>8303.6200000000008</v>
      </c>
      <c r="P44">
        <v>2046.97</v>
      </c>
      <c r="Q44" t="s">
        <v>1331</v>
      </c>
      <c r="R44" t="b">
        <f t="shared" si="0"/>
        <v>0</v>
      </c>
      <c r="S44" t="b">
        <f t="shared" si="3"/>
        <v>0</v>
      </c>
      <c r="T44" t="b">
        <f t="shared" si="2"/>
        <v>0</v>
      </c>
    </row>
    <row r="45" spans="1:20" x14ac:dyDescent="0.3">
      <c r="A45">
        <v>44</v>
      </c>
      <c r="B45" t="s">
        <v>60</v>
      </c>
      <c r="C45" s="2">
        <v>45752</v>
      </c>
      <c r="D45" s="2">
        <v>45754</v>
      </c>
      <c r="E45" t="s">
        <v>1018</v>
      </c>
      <c r="F45" t="s">
        <v>1060</v>
      </c>
      <c r="G45" t="s">
        <v>1285</v>
      </c>
      <c r="H45" t="s">
        <v>1289</v>
      </c>
      <c r="I45" t="s">
        <v>1299</v>
      </c>
      <c r="J45" t="s">
        <v>1304</v>
      </c>
      <c r="K45" t="s">
        <v>1309</v>
      </c>
      <c r="L45" t="s">
        <v>1317</v>
      </c>
      <c r="M45">
        <v>3</v>
      </c>
      <c r="N45">
        <v>0</v>
      </c>
      <c r="O45">
        <v>2396.56</v>
      </c>
      <c r="P45">
        <v>682.12</v>
      </c>
      <c r="Q45" t="s">
        <v>1330</v>
      </c>
      <c r="R45" t="b">
        <f t="shared" si="0"/>
        <v>0</v>
      </c>
      <c r="S45" t="b">
        <f t="shared" si="3"/>
        <v>0</v>
      </c>
      <c r="T45" t="b">
        <f t="shared" si="2"/>
        <v>0</v>
      </c>
    </row>
    <row r="46" spans="1:20" x14ac:dyDescent="0.3">
      <c r="A46">
        <v>45</v>
      </c>
      <c r="B46" t="s">
        <v>61</v>
      </c>
      <c r="C46" s="2">
        <v>45864</v>
      </c>
      <c r="D46" s="2">
        <v>45869</v>
      </c>
      <c r="E46" t="s">
        <v>1017</v>
      </c>
      <c r="F46" t="s">
        <v>1061</v>
      </c>
      <c r="G46" t="s">
        <v>1278</v>
      </c>
      <c r="H46" t="s">
        <v>1287</v>
      </c>
      <c r="I46" t="s">
        <v>1294</v>
      </c>
      <c r="J46" t="s">
        <v>1305</v>
      </c>
      <c r="K46" t="s">
        <v>1309</v>
      </c>
      <c r="L46" t="s">
        <v>1329</v>
      </c>
      <c r="M46">
        <v>2</v>
      </c>
      <c r="N46">
        <v>0.1</v>
      </c>
      <c r="O46">
        <v>3459.32</v>
      </c>
      <c r="P46">
        <v>569.74</v>
      </c>
      <c r="Q46" t="s">
        <v>1333</v>
      </c>
      <c r="R46" t="b">
        <f t="shared" si="0"/>
        <v>0</v>
      </c>
      <c r="S46" t="b">
        <f t="shared" si="3"/>
        <v>0</v>
      </c>
      <c r="T46" t="b">
        <f t="shared" si="2"/>
        <v>0</v>
      </c>
    </row>
    <row r="47" spans="1:20" x14ac:dyDescent="0.3">
      <c r="A47">
        <v>46</v>
      </c>
      <c r="B47" t="s">
        <v>62</v>
      </c>
      <c r="C47" s="2">
        <v>45823</v>
      </c>
      <c r="D47" s="2">
        <v>45824</v>
      </c>
      <c r="E47" t="s">
        <v>1018</v>
      </c>
      <c r="F47" t="s">
        <v>1062</v>
      </c>
      <c r="G47" t="s">
        <v>1275</v>
      </c>
      <c r="H47" t="s">
        <v>1289</v>
      </c>
      <c r="I47" t="s">
        <v>1296</v>
      </c>
      <c r="J47" t="s">
        <v>1304</v>
      </c>
      <c r="K47" t="s">
        <v>1306</v>
      </c>
      <c r="L47" t="s">
        <v>1321</v>
      </c>
      <c r="M47">
        <v>4</v>
      </c>
      <c r="N47">
        <v>0.05</v>
      </c>
      <c r="O47">
        <v>1758.5</v>
      </c>
      <c r="P47">
        <v>499.74</v>
      </c>
      <c r="Q47" t="s">
        <v>1331</v>
      </c>
      <c r="R47" t="b">
        <f t="shared" si="0"/>
        <v>0</v>
      </c>
      <c r="S47" t="b">
        <f t="shared" si="3"/>
        <v>0</v>
      </c>
      <c r="T47" t="b">
        <f t="shared" si="2"/>
        <v>0</v>
      </c>
    </row>
    <row r="48" spans="1:20" x14ac:dyDescent="0.3">
      <c r="A48">
        <v>47</v>
      </c>
      <c r="B48" t="s">
        <v>63</v>
      </c>
      <c r="C48" s="2">
        <v>45691</v>
      </c>
      <c r="D48" s="2">
        <v>45696</v>
      </c>
      <c r="E48" t="s">
        <v>1017</v>
      </c>
      <c r="F48" t="s">
        <v>1032</v>
      </c>
      <c r="G48" t="s">
        <v>1272</v>
      </c>
      <c r="H48" t="s">
        <v>1287</v>
      </c>
      <c r="I48" t="s">
        <v>1299</v>
      </c>
      <c r="J48" t="s">
        <v>1304</v>
      </c>
      <c r="K48" t="s">
        <v>1307</v>
      </c>
      <c r="L48" t="s">
        <v>1311</v>
      </c>
      <c r="M48">
        <v>1</v>
      </c>
      <c r="N48">
        <v>0.1</v>
      </c>
      <c r="O48">
        <v>264.99</v>
      </c>
      <c r="P48">
        <v>67.099999999999994</v>
      </c>
      <c r="Q48" t="s">
        <v>1333</v>
      </c>
      <c r="R48" t="b">
        <f t="shared" si="0"/>
        <v>0</v>
      </c>
      <c r="S48" t="b">
        <f t="shared" si="3"/>
        <v>0</v>
      </c>
      <c r="T48" t="b">
        <f t="shared" si="2"/>
        <v>0</v>
      </c>
    </row>
    <row r="49" spans="1:20" x14ac:dyDescent="0.3">
      <c r="A49">
        <v>48</v>
      </c>
      <c r="B49" t="s">
        <v>64</v>
      </c>
      <c r="C49" s="2">
        <v>45841</v>
      </c>
      <c r="D49" s="2">
        <v>45842</v>
      </c>
      <c r="E49" t="s">
        <v>1018</v>
      </c>
      <c r="F49" t="s">
        <v>1063</v>
      </c>
      <c r="G49" t="s">
        <v>1272</v>
      </c>
      <c r="H49" t="s">
        <v>1287</v>
      </c>
      <c r="I49" t="s">
        <v>1301</v>
      </c>
      <c r="J49" t="s">
        <v>1303</v>
      </c>
      <c r="K49" t="s">
        <v>1308</v>
      </c>
      <c r="L49" t="s">
        <v>1319</v>
      </c>
      <c r="M49">
        <v>3</v>
      </c>
      <c r="N49">
        <v>0</v>
      </c>
      <c r="O49">
        <v>14344.45</v>
      </c>
      <c r="P49">
        <v>4482.46</v>
      </c>
      <c r="Q49" t="s">
        <v>1331</v>
      </c>
      <c r="R49" t="b">
        <f t="shared" si="0"/>
        <v>0</v>
      </c>
      <c r="S49" t="b">
        <f t="shared" si="3"/>
        <v>0</v>
      </c>
      <c r="T49" t="b">
        <f t="shared" si="2"/>
        <v>0</v>
      </c>
    </row>
    <row r="50" spans="1:20" x14ac:dyDescent="0.3">
      <c r="A50">
        <v>49</v>
      </c>
      <c r="B50" t="s">
        <v>65</v>
      </c>
      <c r="C50" s="2">
        <v>45890</v>
      </c>
      <c r="D50" s="2">
        <v>45894</v>
      </c>
      <c r="E50" t="s">
        <v>1017</v>
      </c>
      <c r="F50" t="s">
        <v>1064</v>
      </c>
      <c r="G50" t="s">
        <v>1279</v>
      </c>
      <c r="H50" t="s">
        <v>1287</v>
      </c>
      <c r="I50" t="s">
        <v>1301</v>
      </c>
      <c r="J50" t="s">
        <v>1303</v>
      </c>
      <c r="K50" t="s">
        <v>1309</v>
      </c>
      <c r="L50" t="s">
        <v>1320</v>
      </c>
      <c r="M50">
        <v>1</v>
      </c>
      <c r="N50">
        <v>0</v>
      </c>
      <c r="O50">
        <v>1163.79</v>
      </c>
      <c r="P50">
        <v>333.06</v>
      </c>
      <c r="Q50" t="s">
        <v>1333</v>
      </c>
      <c r="R50" t="b">
        <f t="shared" si="0"/>
        <v>0</v>
      </c>
      <c r="S50" t="b">
        <f t="shared" si="3"/>
        <v>0</v>
      </c>
      <c r="T50" t="b">
        <f t="shared" si="2"/>
        <v>0</v>
      </c>
    </row>
    <row r="51" spans="1:20" x14ac:dyDescent="0.3">
      <c r="A51">
        <v>50</v>
      </c>
      <c r="B51" t="s">
        <v>66</v>
      </c>
      <c r="C51" s="2">
        <v>45770</v>
      </c>
      <c r="D51" s="2">
        <v>45773</v>
      </c>
      <c r="E51" t="s">
        <v>1017</v>
      </c>
      <c r="F51" t="s">
        <v>1037</v>
      </c>
      <c r="G51" t="s">
        <v>1284</v>
      </c>
      <c r="H51" t="s">
        <v>1288</v>
      </c>
      <c r="I51" t="s">
        <v>1299</v>
      </c>
      <c r="J51" t="s">
        <v>1304</v>
      </c>
      <c r="K51" t="s">
        <v>1308</v>
      </c>
      <c r="L51" t="s">
        <v>1319</v>
      </c>
      <c r="M51">
        <v>1</v>
      </c>
      <c r="N51">
        <v>0.2</v>
      </c>
      <c r="O51">
        <v>3563.13</v>
      </c>
      <c r="P51">
        <v>519.19000000000005</v>
      </c>
      <c r="Q51" t="s">
        <v>1331</v>
      </c>
      <c r="R51" t="b">
        <f t="shared" si="0"/>
        <v>0</v>
      </c>
      <c r="S51" t="b">
        <f t="shared" si="3"/>
        <v>0</v>
      </c>
      <c r="T51" t="b">
        <f t="shared" si="2"/>
        <v>0</v>
      </c>
    </row>
    <row r="52" spans="1:20" x14ac:dyDescent="0.3">
      <c r="A52">
        <v>51</v>
      </c>
      <c r="B52" t="s">
        <v>67</v>
      </c>
      <c r="C52" s="2">
        <v>45664</v>
      </c>
      <c r="D52" s="2">
        <v>45667</v>
      </c>
      <c r="E52" t="s">
        <v>1017</v>
      </c>
      <c r="F52" t="s">
        <v>1065</v>
      </c>
      <c r="G52" t="s">
        <v>1269</v>
      </c>
      <c r="H52" t="s">
        <v>1287</v>
      </c>
      <c r="I52" t="s">
        <v>1295</v>
      </c>
      <c r="J52" t="s">
        <v>1305</v>
      </c>
      <c r="K52" t="s">
        <v>1306</v>
      </c>
      <c r="L52" t="s">
        <v>1310</v>
      </c>
      <c r="M52">
        <v>1</v>
      </c>
      <c r="N52">
        <v>0.05</v>
      </c>
      <c r="O52">
        <v>641.9</v>
      </c>
      <c r="P52">
        <v>172.38</v>
      </c>
      <c r="Q52" t="s">
        <v>1333</v>
      </c>
      <c r="R52" t="b">
        <f t="shared" si="0"/>
        <v>0</v>
      </c>
      <c r="S52" t="b">
        <f t="shared" si="3"/>
        <v>0</v>
      </c>
      <c r="T52" t="b">
        <f t="shared" si="2"/>
        <v>0</v>
      </c>
    </row>
    <row r="53" spans="1:20" x14ac:dyDescent="0.3">
      <c r="A53">
        <v>52</v>
      </c>
      <c r="B53" t="s">
        <v>68</v>
      </c>
      <c r="C53" s="2">
        <v>45930</v>
      </c>
      <c r="D53" s="2">
        <v>45932</v>
      </c>
      <c r="E53" t="s">
        <v>1017</v>
      </c>
      <c r="F53" t="s">
        <v>1066</v>
      </c>
      <c r="G53" t="s">
        <v>1283</v>
      </c>
      <c r="H53" t="s">
        <v>1287</v>
      </c>
      <c r="I53" t="s">
        <v>1292</v>
      </c>
      <c r="J53" t="s">
        <v>1303</v>
      </c>
      <c r="K53" t="s">
        <v>1309</v>
      </c>
      <c r="L53" t="s">
        <v>1317</v>
      </c>
      <c r="M53">
        <v>2</v>
      </c>
      <c r="N53">
        <v>0</v>
      </c>
      <c r="O53">
        <v>1603.65</v>
      </c>
      <c r="P53">
        <v>538.35</v>
      </c>
      <c r="Q53" t="s">
        <v>1332</v>
      </c>
      <c r="R53" t="b">
        <f t="shared" si="0"/>
        <v>0</v>
      </c>
      <c r="S53" t="b">
        <f t="shared" si="3"/>
        <v>0</v>
      </c>
      <c r="T53" t="b">
        <f t="shared" si="2"/>
        <v>0</v>
      </c>
    </row>
    <row r="54" spans="1:20" x14ac:dyDescent="0.3">
      <c r="A54">
        <v>53</v>
      </c>
      <c r="B54" t="s">
        <v>69</v>
      </c>
      <c r="C54" s="2">
        <v>45893</v>
      </c>
      <c r="D54" s="2">
        <v>45896</v>
      </c>
      <c r="E54" t="s">
        <v>1018</v>
      </c>
      <c r="F54" t="s">
        <v>1067</v>
      </c>
      <c r="G54" t="s">
        <v>1278</v>
      </c>
      <c r="H54" t="s">
        <v>1287</v>
      </c>
      <c r="I54" t="s">
        <v>1301</v>
      </c>
      <c r="J54" t="s">
        <v>1303</v>
      </c>
      <c r="K54" t="s">
        <v>1306</v>
      </c>
      <c r="L54" t="s">
        <v>1324</v>
      </c>
      <c r="M54">
        <v>2</v>
      </c>
      <c r="N54">
        <v>0.15</v>
      </c>
      <c r="O54">
        <v>151.15</v>
      </c>
      <c r="P54">
        <v>27.4</v>
      </c>
      <c r="Q54" t="s">
        <v>1333</v>
      </c>
      <c r="R54" t="b">
        <f t="shared" si="0"/>
        <v>0</v>
      </c>
      <c r="S54" t="b">
        <f t="shared" si="3"/>
        <v>0</v>
      </c>
      <c r="T54" t="b">
        <f t="shared" si="2"/>
        <v>0</v>
      </c>
    </row>
    <row r="55" spans="1:20" x14ac:dyDescent="0.3">
      <c r="A55">
        <v>54</v>
      </c>
      <c r="B55" t="s">
        <v>70</v>
      </c>
      <c r="C55" s="2">
        <v>45727</v>
      </c>
      <c r="D55" s="2">
        <v>45731</v>
      </c>
      <c r="E55" t="s">
        <v>1018</v>
      </c>
      <c r="F55" t="s">
        <v>1035</v>
      </c>
      <c r="G55" t="s">
        <v>1279</v>
      </c>
      <c r="H55" t="s">
        <v>1287</v>
      </c>
      <c r="I55" t="s">
        <v>1299</v>
      </c>
      <c r="J55" t="s">
        <v>1304</v>
      </c>
      <c r="K55" t="s">
        <v>1306</v>
      </c>
      <c r="L55" t="s">
        <v>1323</v>
      </c>
      <c r="M55">
        <v>1</v>
      </c>
      <c r="N55">
        <v>0</v>
      </c>
      <c r="O55">
        <v>186.31</v>
      </c>
      <c r="P55">
        <v>71.55</v>
      </c>
      <c r="Q55" t="s">
        <v>1333</v>
      </c>
      <c r="R55" t="b">
        <f t="shared" si="0"/>
        <v>0</v>
      </c>
      <c r="S55" t="b">
        <f t="shared" si="3"/>
        <v>0</v>
      </c>
      <c r="T55" t="b">
        <f t="shared" si="2"/>
        <v>0</v>
      </c>
    </row>
    <row r="56" spans="1:20" x14ac:dyDescent="0.3">
      <c r="A56">
        <v>55</v>
      </c>
      <c r="B56" t="s">
        <v>71</v>
      </c>
      <c r="C56" s="2">
        <v>45877</v>
      </c>
      <c r="D56" s="2">
        <v>45880</v>
      </c>
      <c r="E56" t="s">
        <v>1017</v>
      </c>
      <c r="F56" t="s">
        <v>1068</v>
      </c>
      <c r="G56" t="s">
        <v>1286</v>
      </c>
      <c r="H56" t="s">
        <v>1288</v>
      </c>
      <c r="I56" t="s">
        <v>1300</v>
      </c>
      <c r="J56" t="s">
        <v>1305</v>
      </c>
      <c r="K56" t="s">
        <v>1306</v>
      </c>
      <c r="L56" t="s">
        <v>1324</v>
      </c>
      <c r="M56">
        <v>1</v>
      </c>
      <c r="N56">
        <v>0.05</v>
      </c>
      <c r="O56">
        <v>88.63</v>
      </c>
      <c r="P56">
        <v>18.12</v>
      </c>
      <c r="Q56" t="s">
        <v>1330</v>
      </c>
      <c r="R56" t="b">
        <f t="shared" si="0"/>
        <v>0</v>
      </c>
      <c r="S56" t="b">
        <f t="shared" si="3"/>
        <v>0</v>
      </c>
      <c r="T56" t="b">
        <f t="shared" si="2"/>
        <v>0</v>
      </c>
    </row>
    <row r="57" spans="1:20" x14ac:dyDescent="0.3">
      <c r="A57">
        <v>56</v>
      </c>
      <c r="B57" t="s">
        <v>72</v>
      </c>
      <c r="C57" s="2">
        <v>45775</v>
      </c>
      <c r="D57" s="2">
        <v>45779</v>
      </c>
      <c r="E57" t="s">
        <v>1017</v>
      </c>
      <c r="F57" t="s">
        <v>1069</v>
      </c>
      <c r="G57" t="s">
        <v>1277</v>
      </c>
      <c r="H57" t="s">
        <v>1288</v>
      </c>
      <c r="I57" t="s">
        <v>1296</v>
      </c>
      <c r="J57" t="s">
        <v>1304</v>
      </c>
      <c r="K57" t="s">
        <v>1308</v>
      </c>
      <c r="L57" t="s">
        <v>1326</v>
      </c>
      <c r="M57">
        <v>4</v>
      </c>
      <c r="N57">
        <v>0</v>
      </c>
      <c r="O57">
        <v>27787.25</v>
      </c>
      <c r="P57">
        <v>7587.52</v>
      </c>
      <c r="Q57" t="s">
        <v>1331</v>
      </c>
      <c r="R57" t="b">
        <f t="shared" si="0"/>
        <v>0</v>
      </c>
      <c r="S57" t="b">
        <f t="shared" si="3"/>
        <v>0</v>
      </c>
      <c r="T57" t="b">
        <f t="shared" si="2"/>
        <v>0</v>
      </c>
    </row>
    <row r="58" spans="1:20" x14ac:dyDescent="0.3">
      <c r="A58">
        <v>57</v>
      </c>
      <c r="B58" t="s">
        <v>73</v>
      </c>
      <c r="C58" s="2">
        <v>45835</v>
      </c>
      <c r="D58" s="2">
        <v>45837</v>
      </c>
      <c r="E58" t="s">
        <v>1017</v>
      </c>
      <c r="F58" t="s">
        <v>1070</v>
      </c>
      <c r="G58" t="s">
        <v>1278</v>
      </c>
      <c r="H58" t="s">
        <v>1287</v>
      </c>
      <c r="I58" t="s">
        <v>1297</v>
      </c>
      <c r="J58" t="s">
        <v>1304</v>
      </c>
      <c r="K58" t="s">
        <v>1308</v>
      </c>
      <c r="L58" t="s">
        <v>1319</v>
      </c>
      <c r="M58">
        <v>1</v>
      </c>
      <c r="N58">
        <v>0.1</v>
      </c>
      <c r="O58">
        <v>4159.22</v>
      </c>
      <c r="P58">
        <v>802.94</v>
      </c>
      <c r="Q58" t="s">
        <v>1331</v>
      </c>
      <c r="R58" t="b">
        <f t="shared" si="0"/>
        <v>0</v>
      </c>
      <c r="S58" t="b">
        <f t="shared" si="3"/>
        <v>0</v>
      </c>
      <c r="T58" t="b">
        <f t="shared" si="2"/>
        <v>0</v>
      </c>
    </row>
    <row r="59" spans="1:20" x14ac:dyDescent="0.3">
      <c r="A59">
        <v>58</v>
      </c>
      <c r="B59" t="s">
        <v>74</v>
      </c>
      <c r="C59" s="2">
        <v>45751</v>
      </c>
      <c r="D59" s="2">
        <v>45752</v>
      </c>
      <c r="E59" t="s">
        <v>1017</v>
      </c>
      <c r="F59" t="s">
        <v>1044</v>
      </c>
      <c r="G59" t="s">
        <v>1281</v>
      </c>
      <c r="H59" t="s">
        <v>1289</v>
      </c>
      <c r="I59" t="s">
        <v>1290</v>
      </c>
      <c r="J59" t="s">
        <v>1302</v>
      </c>
      <c r="K59" t="s">
        <v>1309</v>
      </c>
      <c r="L59" t="s">
        <v>1317</v>
      </c>
      <c r="M59">
        <v>2</v>
      </c>
      <c r="N59">
        <v>0.1</v>
      </c>
      <c r="O59">
        <v>1488.64</v>
      </c>
      <c r="P59">
        <v>259.47000000000003</v>
      </c>
      <c r="Q59" t="s">
        <v>1331</v>
      </c>
      <c r="R59" t="b">
        <f t="shared" si="0"/>
        <v>0</v>
      </c>
      <c r="S59" t="b">
        <f t="shared" si="3"/>
        <v>0</v>
      </c>
      <c r="T59" t="b">
        <f t="shared" si="2"/>
        <v>0</v>
      </c>
    </row>
    <row r="60" spans="1:20" x14ac:dyDescent="0.3">
      <c r="A60">
        <v>59</v>
      </c>
      <c r="B60" t="s">
        <v>75</v>
      </c>
      <c r="C60" s="2">
        <v>45973</v>
      </c>
      <c r="D60" s="2">
        <v>45976</v>
      </c>
      <c r="E60" t="s">
        <v>1018</v>
      </c>
      <c r="F60" t="s">
        <v>1071</v>
      </c>
      <c r="G60" t="s">
        <v>1283</v>
      </c>
      <c r="H60" t="s">
        <v>1287</v>
      </c>
      <c r="I60" t="s">
        <v>1300</v>
      </c>
      <c r="J60" t="s">
        <v>1305</v>
      </c>
      <c r="K60" t="s">
        <v>1309</v>
      </c>
      <c r="L60" t="s">
        <v>1313</v>
      </c>
      <c r="M60">
        <v>3</v>
      </c>
      <c r="N60">
        <v>0.15</v>
      </c>
      <c r="O60">
        <v>3694.12</v>
      </c>
      <c r="P60">
        <v>173.35</v>
      </c>
      <c r="Q60" t="s">
        <v>1333</v>
      </c>
      <c r="R60" t="b">
        <f t="shared" si="0"/>
        <v>0</v>
      </c>
      <c r="S60" t="b">
        <f t="shared" si="3"/>
        <v>0</v>
      </c>
      <c r="T60" t="b">
        <f t="shared" si="2"/>
        <v>0</v>
      </c>
    </row>
    <row r="61" spans="1:20" x14ac:dyDescent="0.3">
      <c r="A61">
        <v>60</v>
      </c>
      <c r="B61" t="s">
        <v>76</v>
      </c>
      <c r="C61" s="2">
        <v>45810</v>
      </c>
      <c r="D61" s="2">
        <v>45811</v>
      </c>
      <c r="E61" t="s">
        <v>1017</v>
      </c>
      <c r="F61" t="s">
        <v>1020</v>
      </c>
      <c r="G61" t="s">
        <v>1282</v>
      </c>
      <c r="H61" t="s">
        <v>1288</v>
      </c>
      <c r="I61" t="s">
        <v>1301</v>
      </c>
      <c r="J61" t="s">
        <v>1303</v>
      </c>
      <c r="K61" t="s">
        <v>1308</v>
      </c>
      <c r="L61" t="s">
        <v>1319</v>
      </c>
      <c r="M61">
        <v>2</v>
      </c>
      <c r="N61">
        <v>0.1</v>
      </c>
      <c r="O61">
        <v>8608.98</v>
      </c>
      <c r="P61">
        <v>2200.0100000000002</v>
      </c>
      <c r="Q61" t="s">
        <v>1331</v>
      </c>
      <c r="R61" t="b">
        <f t="shared" si="0"/>
        <v>0</v>
      </c>
      <c r="S61" t="b">
        <f t="shared" si="3"/>
        <v>0</v>
      </c>
      <c r="T61" t="b">
        <f t="shared" si="2"/>
        <v>0</v>
      </c>
    </row>
    <row r="62" spans="1:20" x14ac:dyDescent="0.3">
      <c r="A62">
        <v>61</v>
      </c>
      <c r="B62" t="s">
        <v>77</v>
      </c>
      <c r="C62" s="2">
        <v>45768</v>
      </c>
      <c r="D62" s="2">
        <v>45773</v>
      </c>
      <c r="E62" t="s">
        <v>1017</v>
      </c>
      <c r="F62" t="s">
        <v>1072</v>
      </c>
      <c r="G62" t="s">
        <v>1286</v>
      </c>
      <c r="H62" t="s">
        <v>1288</v>
      </c>
      <c r="I62" t="s">
        <v>1300</v>
      </c>
      <c r="J62" t="s">
        <v>1305</v>
      </c>
      <c r="K62" t="s">
        <v>1307</v>
      </c>
      <c r="L62" t="s">
        <v>1322</v>
      </c>
      <c r="M62">
        <v>3</v>
      </c>
      <c r="N62">
        <v>0</v>
      </c>
      <c r="O62">
        <v>2096.04</v>
      </c>
      <c r="P62">
        <v>484.93</v>
      </c>
      <c r="Q62" t="s">
        <v>1332</v>
      </c>
      <c r="R62" t="b">
        <f t="shared" si="0"/>
        <v>0</v>
      </c>
      <c r="S62" t="b">
        <f t="shared" si="3"/>
        <v>0</v>
      </c>
      <c r="T62" t="b">
        <f t="shared" si="2"/>
        <v>0</v>
      </c>
    </row>
    <row r="63" spans="1:20" x14ac:dyDescent="0.3">
      <c r="A63">
        <v>62</v>
      </c>
      <c r="B63" t="s">
        <v>78</v>
      </c>
      <c r="C63" s="2">
        <v>45780</v>
      </c>
      <c r="D63" s="2">
        <v>45782</v>
      </c>
      <c r="E63" t="s">
        <v>1017</v>
      </c>
      <c r="F63" t="s">
        <v>1073</v>
      </c>
      <c r="G63" t="s">
        <v>1280</v>
      </c>
      <c r="H63" t="s">
        <v>1287</v>
      </c>
      <c r="I63" t="s">
        <v>1297</v>
      </c>
      <c r="J63" t="s">
        <v>1304</v>
      </c>
      <c r="K63" t="s">
        <v>1307</v>
      </c>
      <c r="L63" t="s">
        <v>1316</v>
      </c>
      <c r="M63">
        <v>2</v>
      </c>
      <c r="N63">
        <v>0.15</v>
      </c>
      <c r="O63">
        <v>834.9</v>
      </c>
      <c r="P63">
        <v>52.22</v>
      </c>
      <c r="Q63" t="s">
        <v>1331</v>
      </c>
      <c r="R63" t="b">
        <f t="shared" si="0"/>
        <v>0</v>
      </c>
      <c r="S63" t="b">
        <f t="shared" si="3"/>
        <v>0</v>
      </c>
      <c r="T63" t="b">
        <f t="shared" si="2"/>
        <v>0</v>
      </c>
    </row>
    <row r="64" spans="1:20" x14ac:dyDescent="0.3">
      <c r="A64">
        <v>63</v>
      </c>
      <c r="B64" t="s">
        <v>79</v>
      </c>
      <c r="C64" s="2">
        <v>45752</v>
      </c>
      <c r="D64" s="2">
        <v>45755</v>
      </c>
      <c r="E64" t="s">
        <v>1017</v>
      </c>
      <c r="F64" t="s">
        <v>1047</v>
      </c>
      <c r="G64" t="s">
        <v>1276</v>
      </c>
      <c r="H64" t="s">
        <v>1287</v>
      </c>
      <c r="I64" t="s">
        <v>1297</v>
      </c>
      <c r="J64" t="s">
        <v>1304</v>
      </c>
      <c r="K64" t="s">
        <v>1307</v>
      </c>
      <c r="L64" t="s">
        <v>1315</v>
      </c>
      <c r="M64">
        <v>3</v>
      </c>
      <c r="N64">
        <v>0.15</v>
      </c>
      <c r="O64">
        <v>4676.42</v>
      </c>
      <c r="P64">
        <v>744.46</v>
      </c>
      <c r="Q64" t="s">
        <v>1330</v>
      </c>
      <c r="R64" t="b">
        <f t="shared" si="0"/>
        <v>0</v>
      </c>
      <c r="S64" t="b">
        <f t="shared" si="3"/>
        <v>0</v>
      </c>
      <c r="T64" t="b">
        <f t="shared" si="2"/>
        <v>0</v>
      </c>
    </row>
    <row r="65" spans="1:20" x14ac:dyDescent="0.3">
      <c r="A65">
        <v>64</v>
      </c>
      <c r="B65" t="s">
        <v>80</v>
      </c>
      <c r="C65" s="2">
        <v>45867</v>
      </c>
      <c r="D65" s="2">
        <v>45868</v>
      </c>
      <c r="E65" t="s">
        <v>1017</v>
      </c>
      <c r="F65" t="s">
        <v>1074</v>
      </c>
      <c r="G65" t="s">
        <v>1283</v>
      </c>
      <c r="H65" t="s">
        <v>1289</v>
      </c>
      <c r="I65" t="s">
        <v>1290</v>
      </c>
      <c r="J65" t="s">
        <v>1302</v>
      </c>
      <c r="K65" t="s">
        <v>1308</v>
      </c>
      <c r="L65" t="s">
        <v>1326</v>
      </c>
      <c r="M65">
        <v>1</v>
      </c>
      <c r="N65">
        <v>0.1</v>
      </c>
      <c r="O65">
        <v>6145.41</v>
      </c>
      <c r="P65">
        <v>789.64</v>
      </c>
      <c r="Q65" t="s">
        <v>1332</v>
      </c>
      <c r="R65" t="b">
        <f t="shared" si="0"/>
        <v>0</v>
      </c>
      <c r="S65" t="b">
        <f t="shared" si="3"/>
        <v>0</v>
      </c>
      <c r="T65" t="b">
        <f t="shared" si="2"/>
        <v>0</v>
      </c>
    </row>
    <row r="66" spans="1:20" x14ac:dyDescent="0.3">
      <c r="A66">
        <v>65</v>
      </c>
      <c r="B66" t="s">
        <v>81</v>
      </c>
      <c r="C66" s="2">
        <v>45708</v>
      </c>
      <c r="D66" s="2">
        <v>45713</v>
      </c>
      <c r="E66" t="s">
        <v>1019</v>
      </c>
      <c r="F66" t="s">
        <v>1075</v>
      </c>
      <c r="G66" t="s">
        <v>1284</v>
      </c>
      <c r="H66" t="s">
        <v>1287</v>
      </c>
      <c r="I66" t="s">
        <v>1299</v>
      </c>
      <c r="J66" t="s">
        <v>1304</v>
      </c>
      <c r="K66" t="s">
        <v>1309</v>
      </c>
      <c r="L66" t="s">
        <v>1325</v>
      </c>
      <c r="M66">
        <v>2</v>
      </c>
      <c r="N66">
        <v>0.1</v>
      </c>
      <c r="O66">
        <v>2245.67</v>
      </c>
      <c r="P66">
        <v>198.22</v>
      </c>
      <c r="Q66" t="s">
        <v>1331</v>
      </c>
      <c r="R66" t="b">
        <f t="shared" si="0"/>
        <v>0</v>
      </c>
      <c r="S66" t="b">
        <f t="shared" si="3"/>
        <v>0</v>
      </c>
      <c r="T66" t="b">
        <f t="shared" si="2"/>
        <v>0</v>
      </c>
    </row>
    <row r="67" spans="1:20" x14ac:dyDescent="0.3">
      <c r="A67">
        <v>66</v>
      </c>
      <c r="B67" t="s">
        <v>82</v>
      </c>
      <c r="C67" s="2">
        <v>45806</v>
      </c>
      <c r="D67" s="2">
        <v>45807</v>
      </c>
      <c r="E67" t="s">
        <v>1018</v>
      </c>
      <c r="F67" t="s">
        <v>1071</v>
      </c>
      <c r="G67" t="s">
        <v>1279</v>
      </c>
      <c r="H67" t="s">
        <v>1287</v>
      </c>
      <c r="I67" t="s">
        <v>1299</v>
      </c>
      <c r="J67" t="s">
        <v>1304</v>
      </c>
      <c r="K67" t="s">
        <v>1309</v>
      </c>
      <c r="L67" t="s">
        <v>1317</v>
      </c>
      <c r="M67">
        <v>4</v>
      </c>
      <c r="N67">
        <v>0.1</v>
      </c>
      <c r="O67">
        <v>2946.66</v>
      </c>
      <c r="P67">
        <v>833.73</v>
      </c>
      <c r="Q67" t="s">
        <v>1333</v>
      </c>
      <c r="R67" t="b">
        <f t="shared" ref="R67:R130" si="4">D67&lt;C67</f>
        <v>0</v>
      </c>
      <c r="S67" t="b">
        <f t="shared" ref="S67:S130" si="5">M67&lt;=0</f>
        <v>0</v>
      </c>
      <c r="T67" t="b">
        <f t="shared" ref="T67:T130" si="6">OR(N67&lt;0,N67&gt;1)</f>
        <v>0</v>
      </c>
    </row>
    <row r="68" spans="1:20" x14ac:dyDescent="0.3">
      <c r="A68">
        <v>67</v>
      </c>
      <c r="B68" t="s">
        <v>83</v>
      </c>
      <c r="C68" s="2">
        <v>45674</v>
      </c>
      <c r="D68" s="2">
        <v>45677</v>
      </c>
      <c r="E68" t="s">
        <v>1017</v>
      </c>
      <c r="F68" t="s">
        <v>1066</v>
      </c>
      <c r="G68" t="s">
        <v>1274</v>
      </c>
      <c r="H68" t="s">
        <v>1287</v>
      </c>
      <c r="I68" t="s">
        <v>1292</v>
      </c>
      <c r="J68" t="s">
        <v>1303</v>
      </c>
      <c r="K68" t="s">
        <v>1307</v>
      </c>
      <c r="L68" t="s">
        <v>1311</v>
      </c>
      <c r="M68">
        <v>1</v>
      </c>
      <c r="N68">
        <v>0.15</v>
      </c>
      <c r="O68">
        <v>242.28</v>
      </c>
      <c r="P68">
        <v>2.3199999999999998</v>
      </c>
      <c r="Q68" t="s">
        <v>1331</v>
      </c>
      <c r="R68" t="b">
        <f t="shared" si="4"/>
        <v>0</v>
      </c>
      <c r="S68" t="b">
        <f t="shared" si="5"/>
        <v>0</v>
      </c>
      <c r="T68" t="b">
        <f t="shared" si="6"/>
        <v>0</v>
      </c>
    </row>
    <row r="69" spans="1:20" x14ac:dyDescent="0.3">
      <c r="A69">
        <v>68</v>
      </c>
      <c r="B69" t="s">
        <v>84</v>
      </c>
      <c r="C69" s="2">
        <v>45706</v>
      </c>
      <c r="D69" s="2">
        <v>45707</v>
      </c>
      <c r="E69" t="s">
        <v>1017</v>
      </c>
      <c r="F69" t="s">
        <v>1076</v>
      </c>
      <c r="G69" t="s">
        <v>1282</v>
      </c>
      <c r="H69" t="s">
        <v>1287</v>
      </c>
      <c r="I69" t="s">
        <v>1290</v>
      </c>
      <c r="J69" t="s">
        <v>1302</v>
      </c>
      <c r="K69" t="s">
        <v>1306</v>
      </c>
      <c r="L69" t="s">
        <v>1310</v>
      </c>
      <c r="M69">
        <v>2</v>
      </c>
      <c r="N69">
        <v>0</v>
      </c>
      <c r="O69">
        <v>1359.94</v>
      </c>
      <c r="P69">
        <v>515.29</v>
      </c>
      <c r="Q69" t="s">
        <v>1333</v>
      </c>
      <c r="R69" t="b">
        <f t="shared" si="4"/>
        <v>0</v>
      </c>
      <c r="S69" t="b">
        <f t="shared" si="5"/>
        <v>0</v>
      </c>
      <c r="T69" t="b">
        <f t="shared" si="6"/>
        <v>0</v>
      </c>
    </row>
    <row r="70" spans="1:20" x14ac:dyDescent="0.3">
      <c r="A70">
        <v>69</v>
      </c>
      <c r="B70" t="s">
        <v>85</v>
      </c>
      <c r="C70" s="2">
        <v>45815</v>
      </c>
      <c r="D70" s="2">
        <v>45820</v>
      </c>
      <c r="E70" t="s">
        <v>1018</v>
      </c>
      <c r="F70" t="s">
        <v>1054</v>
      </c>
      <c r="G70" t="s">
        <v>1269</v>
      </c>
      <c r="H70" t="s">
        <v>1287</v>
      </c>
      <c r="I70" t="s">
        <v>1290</v>
      </c>
      <c r="J70" t="s">
        <v>1302</v>
      </c>
      <c r="K70" t="s">
        <v>1309</v>
      </c>
      <c r="L70" t="s">
        <v>1329</v>
      </c>
      <c r="M70">
        <v>3</v>
      </c>
      <c r="N70">
        <v>0.05</v>
      </c>
      <c r="O70">
        <v>5479.79</v>
      </c>
      <c r="P70">
        <v>1517.27</v>
      </c>
      <c r="Q70" t="s">
        <v>1332</v>
      </c>
      <c r="R70" t="b">
        <f t="shared" si="4"/>
        <v>0</v>
      </c>
      <c r="S70" t="b">
        <f t="shared" si="5"/>
        <v>0</v>
      </c>
      <c r="T70" t="b">
        <f t="shared" si="6"/>
        <v>0</v>
      </c>
    </row>
    <row r="71" spans="1:20" x14ac:dyDescent="0.3">
      <c r="A71">
        <v>70</v>
      </c>
      <c r="B71" t="s">
        <v>86</v>
      </c>
      <c r="C71" s="2">
        <v>45976</v>
      </c>
      <c r="D71" s="2">
        <v>45980</v>
      </c>
      <c r="E71" t="s">
        <v>1019</v>
      </c>
      <c r="F71" t="s">
        <v>1077</v>
      </c>
      <c r="G71" t="s">
        <v>1270</v>
      </c>
      <c r="H71" t="s">
        <v>1287</v>
      </c>
      <c r="I71" t="s">
        <v>1299</v>
      </c>
      <c r="J71" t="s">
        <v>1304</v>
      </c>
      <c r="K71" t="s">
        <v>1306</v>
      </c>
      <c r="L71" t="s">
        <v>1324</v>
      </c>
      <c r="M71">
        <v>2</v>
      </c>
      <c r="N71">
        <v>0.1</v>
      </c>
      <c r="O71">
        <v>156.85</v>
      </c>
      <c r="P71">
        <v>14.23</v>
      </c>
      <c r="Q71" t="s">
        <v>1332</v>
      </c>
      <c r="R71" t="b">
        <f t="shared" si="4"/>
        <v>0</v>
      </c>
      <c r="S71" t="b">
        <f t="shared" si="5"/>
        <v>0</v>
      </c>
      <c r="T71" t="b">
        <f t="shared" si="6"/>
        <v>0</v>
      </c>
    </row>
    <row r="72" spans="1:20" x14ac:dyDescent="0.3">
      <c r="A72">
        <v>71</v>
      </c>
      <c r="B72" t="s">
        <v>87</v>
      </c>
      <c r="C72" s="2">
        <v>45970</v>
      </c>
      <c r="D72" s="2">
        <v>45973</v>
      </c>
      <c r="E72" t="s">
        <v>1017</v>
      </c>
      <c r="F72" t="s">
        <v>1078</v>
      </c>
      <c r="G72" t="s">
        <v>1271</v>
      </c>
      <c r="H72" t="s">
        <v>1288</v>
      </c>
      <c r="I72" t="s">
        <v>1293</v>
      </c>
      <c r="J72" t="s">
        <v>1304</v>
      </c>
      <c r="K72" t="s">
        <v>1306</v>
      </c>
      <c r="L72" t="s">
        <v>1324</v>
      </c>
      <c r="M72">
        <v>4</v>
      </c>
      <c r="N72">
        <v>0.1</v>
      </c>
      <c r="O72">
        <v>315.29000000000002</v>
      </c>
      <c r="P72">
        <v>43.71</v>
      </c>
      <c r="Q72" t="s">
        <v>1330</v>
      </c>
      <c r="R72" t="b">
        <f t="shared" si="4"/>
        <v>0</v>
      </c>
      <c r="S72" t="b">
        <f t="shared" si="5"/>
        <v>0</v>
      </c>
      <c r="T72" t="b">
        <f t="shared" si="6"/>
        <v>0</v>
      </c>
    </row>
    <row r="73" spans="1:20" x14ac:dyDescent="0.3">
      <c r="A73">
        <v>72</v>
      </c>
      <c r="B73" t="s">
        <v>88</v>
      </c>
      <c r="C73" s="2">
        <v>45777</v>
      </c>
      <c r="D73" s="2">
        <v>45780</v>
      </c>
      <c r="E73" t="s">
        <v>1017</v>
      </c>
      <c r="F73" t="s">
        <v>1052</v>
      </c>
      <c r="G73" t="s">
        <v>1268</v>
      </c>
      <c r="H73" t="s">
        <v>1287</v>
      </c>
      <c r="I73" t="s">
        <v>1296</v>
      </c>
      <c r="J73" t="s">
        <v>1304</v>
      </c>
      <c r="K73" t="s">
        <v>1308</v>
      </c>
      <c r="L73" t="s">
        <v>1326</v>
      </c>
      <c r="M73">
        <v>1</v>
      </c>
      <c r="N73">
        <v>0.15</v>
      </c>
      <c r="O73">
        <v>6224.39</v>
      </c>
      <c r="P73">
        <v>563.03</v>
      </c>
      <c r="Q73" t="s">
        <v>1332</v>
      </c>
      <c r="R73" t="b">
        <f t="shared" si="4"/>
        <v>0</v>
      </c>
      <c r="S73" t="b">
        <f t="shared" si="5"/>
        <v>0</v>
      </c>
      <c r="T73" t="b">
        <f t="shared" si="6"/>
        <v>0</v>
      </c>
    </row>
    <row r="74" spans="1:20" x14ac:dyDescent="0.3">
      <c r="A74">
        <v>73</v>
      </c>
      <c r="B74" t="s">
        <v>89</v>
      </c>
      <c r="C74" s="2">
        <v>45942</v>
      </c>
      <c r="D74" s="2">
        <v>45946</v>
      </c>
      <c r="E74" t="s">
        <v>1018</v>
      </c>
      <c r="F74" t="s">
        <v>1079</v>
      </c>
      <c r="G74" t="s">
        <v>1270</v>
      </c>
      <c r="H74" t="s">
        <v>1289</v>
      </c>
      <c r="I74" t="s">
        <v>1296</v>
      </c>
      <c r="J74" t="s">
        <v>1304</v>
      </c>
      <c r="K74" t="s">
        <v>1308</v>
      </c>
      <c r="L74" t="s">
        <v>1327</v>
      </c>
      <c r="M74">
        <v>1</v>
      </c>
      <c r="N74">
        <v>0.2</v>
      </c>
      <c r="O74">
        <v>1468.55</v>
      </c>
      <c r="P74">
        <v>25.53</v>
      </c>
      <c r="Q74" t="s">
        <v>1331</v>
      </c>
      <c r="R74" t="b">
        <f t="shared" si="4"/>
        <v>0</v>
      </c>
      <c r="S74" t="b">
        <f t="shared" si="5"/>
        <v>0</v>
      </c>
      <c r="T74" t="b">
        <f t="shared" si="6"/>
        <v>0</v>
      </c>
    </row>
    <row r="75" spans="1:20" x14ac:dyDescent="0.3">
      <c r="A75">
        <v>74</v>
      </c>
      <c r="B75" t="s">
        <v>90</v>
      </c>
      <c r="C75" s="2">
        <v>45883</v>
      </c>
      <c r="D75" s="2">
        <v>45888</v>
      </c>
      <c r="E75" t="s">
        <v>1018</v>
      </c>
      <c r="F75" t="s">
        <v>1080</v>
      </c>
      <c r="G75" t="s">
        <v>1275</v>
      </c>
      <c r="H75" t="s">
        <v>1289</v>
      </c>
      <c r="I75" t="s">
        <v>1298</v>
      </c>
      <c r="J75" t="s">
        <v>1303</v>
      </c>
      <c r="K75" t="s">
        <v>1309</v>
      </c>
      <c r="L75" t="s">
        <v>1313</v>
      </c>
      <c r="M75">
        <v>1</v>
      </c>
      <c r="N75">
        <v>0.15</v>
      </c>
      <c r="O75">
        <v>1247.96</v>
      </c>
      <c r="P75">
        <v>34.229999999999997</v>
      </c>
      <c r="Q75" t="s">
        <v>1333</v>
      </c>
      <c r="R75" t="b">
        <f t="shared" si="4"/>
        <v>0</v>
      </c>
      <c r="S75" t="b">
        <f t="shared" si="5"/>
        <v>0</v>
      </c>
      <c r="T75" t="b">
        <f t="shared" si="6"/>
        <v>0</v>
      </c>
    </row>
    <row r="76" spans="1:20" x14ac:dyDescent="0.3">
      <c r="A76">
        <v>75</v>
      </c>
      <c r="B76" t="s">
        <v>91</v>
      </c>
      <c r="C76" s="2">
        <v>45697</v>
      </c>
      <c r="D76" s="2">
        <v>45699</v>
      </c>
      <c r="E76" t="s">
        <v>1017</v>
      </c>
      <c r="F76" t="s">
        <v>1081</v>
      </c>
      <c r="G76" t="s">
        <v>1284</v>
      </c>
      <c r="H76" t="s">
        <v>1289</v>
      </c>
      <c r="I76" t="s">
        <v>1293</v>
      </c>
      <c r="J76" t="s">
        <v>1304</v>
      </c>
      <c r="K76" t="s">
        <v>1307</v>
      </c>
      <c r="L76" t="s">
        <v>1316</v>
      </c>
      <c r="M76">
        <v>1</v>
      </c>
      <c r="N76">
        <v>0.05</v>
      </c>
      <c r="O76">
        <v>480.38</v>
      </c>
      <c r="P76">
        <v>145.26</v>
      </c>
      <c r="Q76" t="s">
        <v>1333</v>
      </c>
      <c r="R76" t="b">
        <f t="shared" si="4"/>
        <v>0</v>
      </c>
      <c r="S76" t="b">
        <f t="shared" si="5"/>
        <v>0</v>
      </c>
      <c r="T76" t="b">
        <f t="shared" si="6"/>
        <v>0</v>
      </c>
    </row>
    <row r="77" spans="1:20" x14ac:dyDescent="0.3">
      <c r="A77">
        <v>76</v>
      </c>
      <c r="B77" t="s">
        <v>92</v>
      </c>
      <c r="C77" s="2">
        <v>45699</v>
      </c>
      <c r="D77" s="2">
        <v>45703</v>
      </c>
      <c r="E77" t="s">
        <v>1017</v>
      </c>
      <c r="F77" t="s">
        <v>1082</v>
      </c>
      <c r="G77" t="s">
        <v>1285</v>
      </c>
      <c r="H77" t="s">
        <v>1287</v>
      </c>
      <c r="I77" t="s">
        <v>1290</v>
      </c>
      <c r="J77" t="s">
        <v>1302</v>
      </c>
      <c r="K77" t="s">
        <v>1309</v>
      </c>
      <c r="L77" t="s">
        <v>1320</v>
      </c>
      <c r="M77">
        <v>3</v>
      </c>
      <c r="N77">
        <v>0.1</v>
      </c>
      <c r="O77">
        <v>3236.68</v>
      </c>
      <c r="P77">
        <v>958.21</v>
      </c>
      <c r="Q77" t="s">
        <v>1331</v>
      </c>
      <c r="R77" t="b">
        <f t="shared" si="4"/>
        <v>0</v>
      </c>
      <c r="S77" t="b">
        <f t="shared" si="5"/>
        <v>0</v>
      </c>
      <c r="T77" t="b">
        <f t="shared" si="6"/>
        <v>0</v>
      </c>
    </row>
    <row r="78" spans="1:20" x14ac:dyDescent="0.3">
      <c r="A78">
        <v>77</v>
      </c>
      <c r="B78" t="s">
        <v>93</v>
      </c>
      <c r="C78" s="2">
        <v>45894</v>
      </c>
      <c r="D78" s="2">
        <v>45895</v>
      </c>
      <c r="E78" t="s">
        <v>1018</v>
      </c>
      <c r="F78" t="s">
        <v>1083</v>
      </c>
      <c r="G78" t="s">
        <v>1284</v>
      </c>
      <c r="H78" t="s">
        <v>1287</v>
      </c>
      <c r="I78" t="s">
        <v>1301</v>
      </c>
      <c r="J78" t="s">
        <v>1303</v>
      </c>
      <c r="K78" t="s">
        <v>1309</v>
      </c>
      <c r="L78" t="s">
        <v>1317</v>
      </c>
      <c r="M78">
        <v>3</v>
      </c>
      <c r="N78">
        <v>0.05</v>
      </c>
      <c r="O78">
        <v>2275.85</v>
      </c>
      <c r="P78">
        <v>514.87</v>
      </c>
      <c r="Q78" t="s">
        <v>1331</v>
      </c>
      <c r="R78" t="b">
        <f t="shared" si="4"/>
        <v>0</v>
      </c>
      <c r="S78" t="b">
        <f t="shared" si="5"/>
        <v>0</v>
      </c>
      <c r="T78" t="b">
        <f t="shared" si="6"/>
        <v>0</v>
      </c>
    </row>
    <row r="79" spans="1:20" x14ac:dyDescent="0.3">
      <c r="A79">
        <v>78</v>
      </c>
      <c r="B79" t="s">
        <v>94</v>
      </c>
      <c r="C79" s="2">
        <v>45806</v>
      </c>
      <c r="D79" s="2">
        <v>45809</v>
      </c>
      <c r="E79" t="s">
        <v>1018</v>
      </c>
      <c r="F79" t="s">
        <v>1084</v>
      </c>
      <c r="G79" t="s">
        <v>1282</v>
      </c>
      <c r="H79" t="s">
        <v>1288</v>
      </c>
      <c r="I79" t="s">
        <v>1298</v>
      </c>
      <c r="J79" t="s">
        <v>1303</v>
      </c>
      <c r="K79" t="s">
        <v>1308</v>
      </c>
      <c r="L79" t="s">
        <v>1319</v>
      </c>
      <c r="M79">
        <v>2</v>
      </c>
      <c r="N79">
        <v>0</v>
      </c>
      <c r="O79">
        <v>9003.64</v>
      </c>
      <c r="P79">
        <v>2646.58</v>
      </c>
      <c r="Q79" t="s">
        <v>1333</v>
      </c>
      <c r="R79" t="b">
        <f t="shared" si="4"/>
        <v>0</v>
      </c>
      <c r="S79" t="b">
        <f t="shared" si="5"/>
        <v>0</v>
      </c>
      <c r="T79" t="b">
        <f t="shared" si="6"/>
        <v>0</v>
      </c>
    </row>
    <row r="80" spans="1:20" x14ac:dyDescent="0.3">
      <c r="A80">
        <v>79</v>
      </c>
      <c r="B80" t="s">
        <v>95</v>
      </c>
      <c r="C80" s="2">
        <v>45805</v>
      </c>
      <c r="D80" s="2">
        <v>45808</v>
      </c>
      <c r="E80" t="s">
        <v>1017</v>
      </c>
      <c r="F80" t="s">
        <v>1085</v>
      </c>
      <c r="G80" t="s">
        <v>1281</v>
      </c>
      <c r="H80" t="s">
        <v>1287</v>
      </c>
      <c r="I80" t="s">
        <v>1300</v>
      </c>
      <c r="J80" t="s">
        <v>1305</v>
      </c>
      <c r="K80" t="s">
        <v>1308</v>
      </c>
      <c r="L80" t="s">
        <v>1327</v>
      </c>
      <c r="M80">
        <v>1</v>
      </c>
      <c r="N80">
        <v>0</v>
      </c>
      <c r="O80">
        <v>1816.1</v>
      </c>
      <c r="P80">
        <v>682.22</v>
      </c>
      <c r="Q80" t="s">
        <v>1332</v>
      </c>
      <c r="R80" t="b">
        <f t="shared" si="4"/>
        <v>0</v>
      </c>
      <c r="S80" t="b">
        <f t="shared" si="5"/>
        <v>0</v>
      </c>
      <c r="T80" t="b">
        <f t="shared" si="6"/>
        <v>0</v>
      </c>
    </row>
    <row r="81" spans="1:20" x14ac:dyDescent="0.3">
      <c r="A81">
        <v>80</v>
      </c>
      <c r="B81" t="s">
        <v>96</v>
      </c>
      <c r="C81" s="2">
        <v>45761</v>
      </c>
      <c r="D81" s="2">
        <v>45763</v>
      </c>
      <c r="E81" t="s">
        <v>1017</v>
      </c>
      <c r="F81" t="s">
        <v>1086</v>
      </c>
      <c r="G81" t="s">
        <v>1285</v>
      </c>
      <c r="H81" t="s">
        <v>1289</v>
      </c>
      <c r="I81" t="s">
        <v>1300</v>
      </c>
      <c r="J81" t="s">
        <v>1305</v>
      </c>
      <c r="K81" t="s">
        <v>1309</v>
      </c>
      <c r="L81" t="s">
        <v>1317</v>
      </c>
      <c r="M81">
        <v>3</v>
      </c>
      <c r="N81">
        <v>0.1</v>
      </c>
      <c r="O81">
        <v>2148.6</v>
      </c>
      <c r="P81">
        <v>626.05999999999995</v>
      </c>
      <c r="Q81" t="s">
        <v>1331</v>
      </c>
      <c r="R81" t="b">
        <f t="shared" si="4"/>
        <v>0</v>
      </c>
      <c r="S81" t="b">
        <f t="shared" si="5"/>
        <v>0</v>
      </c>
      <c r="T81" t="b">
        <f t="shared" si="6"/>
        <v>0</v>
      </c>
    </row>
    <row r="82" spans="1:20" x14ac:dyDescent="0.3">
      <c r="A82">
        <v>81</v>
      </c>
      <c r="B82" t="s">
        <v>97</v>
      </c>
      <c r="C82" s="2">
        <v>45674</v>
      </c>
      <c r="D82" s="2">
        <v>45676</v>
      </c>
      <c r="E82" t="s">
        <v>1017</v>
      </c>
      <c r="F82" t="s">
        <v>1087</v>
      </c>
      <c r="G82" t="s">
        <v>1272</v>
      </c>
      <c r="H82" t="s">
        <v>1288</v>
      </c>
      <c r="I82" t="s">
        <v>1291</v>
      </c>
      <c r="J82" t="s">
        <v>1302</v>
      </c>
      <c r="K82" t="s">
        <v>1309</v>
      </c>
      <c r="L82" t="s">
        <v>1320</v>
      </c>
      <c r="M82">
        <v>3</v>
      </c>
      <c r="N82">
        <v>0.25</v>
      </c>
      <c r="O82">
        <v>2749.16</v>
      </c>
      <c r="P82">
        <v>144</v>
      </c>
      <c r="Q82" t="s">
        <v>1334</v>
      </c>
      <c r="R82" t="b">
        <f t="shared" si="4"/>
        <v>0</v>
      </c>
      <c r="S82" t="b">
        <f t="shared" si="5"/>
        <v>0</v>
      </c>
      <c r="T82" t="b">
        <f t="shared" si="6"/>
        <v>0</v>
      </c>
    </row>
    <row r="83" spans="1:20" x14ac:dyDescent="0.3">
      <c r="A83">
        <v>82</v>
      </c>
      <c r="B83" t="s">
        <v>98</v>
      </c>
      <c r="C83" s="2">
        <v>46022</v>
      </c>
      <c r="D83" s="2">
        <v>46024</v>
      </c>
      <c r="E83" t="s">
        <v>1019</v>
      </c>
      <c r="F83" t="s">
        <v>1026</v>
      </c>
      <c r="G83" t="s">
        <v>1274</v>
      </c>
      <c r="H83" t="s">
        <v>1287</v>
      </c>
      <c r="I83" t="s">
        <v>1293</v>
      </c>
      <c r="J83" t="s">
        <v>1304</v>
      </c>
      <c r="K83" t="s">
        <v>1308</v>
      </c>
      <c r="L83" t="s">
        <v>1318</v>
      </c>
      <c r="M83">
        <v>2</v>
      </c>
      <c r="N83">
        <v>0</v>
      </c>
      <c r="O83">
        <v>10491.46</v>
      </c>
      <c r="P83">
        <v>2120.7199999999998</v>
      </c>
      <c r="Q83" t="s">
        <v>1332</v>
      </c>
      <c r="R83" t="b">
        <f t="shared" si="4"/>
        <v>0</v>
      </c>
      <c r="S83" t="b">
        <f t="shared" si="5"/>
        <v>0</v>
      </c>
      <c r="T83" t="b">
        <f t="shared" si="6"/>
        <v>0</v>
      </c>
    </row>
    <row r="84" spans="1:20" x14ac:dyDescent="0.3">
      <c r="A84">
        <v>83</v>
      </c>
      <c r="B84" t="s">
        <v>99</v>
      </c>
      <c r="C84" s="2">
        <v>45760</v>
      </c>
      <c r="D84" s="2">
        <v>45761</v>
      </c>
      <c r="E84" t="s">
        <v>1017</v>
      </c>
      <c r="F84" t="s">
        <v>1064</v>
      </c>
      <c r="G84" t="s">
        <v>1278</v>
      </c>
      <c r="H84" t="s">
        <v>1289</v>
      </c>
      <c r="I84" t="s">
        <v>1290</v>
      </c>
      <c r="J84" t="s">
        <v>1302</v>
      </c>
      <c r="K84" t="s">
        <v>1309</v>
      </c>
      <c r="L84" t="s">
        <v>1325</v>
      </c>
      <c r="M84">
        <v>4</v>
      </c>
      <c r="N84">
        <v>0.1</v>
      </c>
      <c r="O84">
        <v>4746.62</v>
      </c>
      <c r="P84">
        <v>1146.1099999999999</v>
      </c>
      <c r="Q84" t="s">
        <v>1333</v>
      </c>
      <c r="R84" t="b">
        <f t="shared" si="4"/>
        <v>0</v>
      </c>
      <c r="S84" t="b">
        <f t="shared" si="5"/>
        <v>0</v>
      </c>
      <c r="T84" t="b">
        <f t="shared" si="6"/>
        <v>0</v>
      </c>
    </row>
    <row r="85" spans="1:20" x14ac:dyDescent="0.3">
      <c r="A85">
        <v>84</v>
      </c>
      <c r="B85" t="s">
        <v>100</v>
      </c>
      <c r="C85" s="2">
        <v>46006</v>
      </c>
      <c r="D85" s="2">
        <v>46007</v>
      </c>
      <c r="E85" t="s">
        <v>1017</v>
      </c>
      <c r="F85" t="s">
        <v>1086</v>
      </c>
      <c r="G85" t="s">
        <v>1278</v>
      </c>
      <c r="H85" t="s">
        <v>1287</v>
      </c>
      <c r="I85" t="s">
        <v>1292</v>
      </c>
      <c r="J85" t="s">
        <v>1303</v>
      </c>
      <c r="K85" t="s">
        <v>1306</v>
      </c>
      <c r="L85" t="s">
        <v>1324</v>
      </c>
      <c r="M85">
        <v>1</v>
      </c>
      <c r="N85">
        <v>0.1</v>
      </c>
      <c r="O85">
        <v>82.93</v>
      </c>
      <c r="P85">
        <v>17.77</v>
      </c>
      <c r="Q85" t="s">
        <v>1334</v>
      </c>
      <c r="R85" t="b">
        <f t="shared" si="4"/>
        <v>0</v>
      </c>
      <c r="S85" t="b">
        <f t="shared" si="5"/>
        <v>0</v>
      </c>
      <c r="T85" t="b">
        <f t="shared" si="6"/>
        <v>0</v>
      </c>
    </row>
    <row r="86" spans="1:20" x14ac:dyDescent="0.3">
      <c r="A86">
        <v>85</v>
      </c>
      <c r="B86" t="s">
        <v>101</v>
      </c>
      <c r="C86" s="2">
        <v>45696</v>
      </c>
      <c r="D86" s="2">
        <v>45700</v>
      </c>
      <c r="E86" t="s">
        <v>1017</v>
      </c>
      <c r="F86" t="s">
        <v>1074</v>
      </c>
      <c r="G86" t="s">
        <v>1268</v>
      </c>
      <c r="H86" t="s">
        <v>1289</v>
      </c>
      <c r="I86" t="s">
        <v>1293</v>
      </c>
      <c r="J86" t="s">
        <v>1304</v>
      </c>
      <c r="K86" t="s">
        <v>1309</v>
      </c>
      <c r="L86" t="s">
        <v>1320</v>
      </c>
      <c r="M86">
        <v>4</v>
      </c>
      <c r="N86">
        <v>0.15</v>
      </c>
      <c r="O86">
        <v>3894.25</v>
      </c>
      <c r="P86">
        <v>835.8</v>
      </c>
      <c r="Q86" t="s">
        <v>1330</v>
      </c>
      <c r="R86" t="b">
        <f t="shared" si="4"/>
        <v>0</v>
      </c>
      <c r="S86" t="b">
        <f t="shared" si="5"/>
        <v>0</v>
      </c>
      <c r="T86" t="b">
        <f t="shared" si="6"/>
        <v>0</v>
      </c>
    </row>
    <row r="87" spans="1:20" x14ac:dyDescent="0.3">
      <c r="A87">
        <v>86</v>
      </c>
      <c r="B87" t="s">
        <v>102</v>
      </c>
      <c r="C87" s="2">
        <v>45834</v>
      </c>
      <c r="D87" s="2">
        <v>45837</v>
      </c>
      <c r="E87" t="s">
        <v>1018</v>
      </c>
      <c r="F87" t="s">
        <v>1088</v>
      </c>
      <c r="G87" t="s">
        <v>1273</v>
      </c>
      <c r="H87" t="s">
        <v>1287</v>
      </c>
      <c r="I87" t="s">
        <v>1292</v>
      </c>
      <c r="J87" t="s">
        <v>1303</v>
      </c>
      <c r="K87" t="s">
        <v>1307</v>
      </c>
      <c r="L87" t="s">
        <v>1316</v>
      </c>
      <c r="M87">
        <v>2</v>
      </c>
      <c r="N87">
        <v>0.15</v>
      </c>
      <c r="O87">
        <v>845.53</v>
      </c>
      <c r="P87">
        <v>167.49</v>
      </c>
      <c r="Q87" t="s">
        <v>1331</v>
      </c>
      <c r="R87" t="b">
        <f t="shared" si="4"/>
        <v>0</v>
      </c>
      <c r="S87" t="b">
        <f t="shared" si="5"/>
        <v>0</v>
      </c>
      <c r="T87" t="b">
        <f t="shared" si="6"/>
        <v>0</v>
      </c>
    </row>
    <row r="88" spans="1:20" x14ac:dyDescent="0.3">
      <c r="A88">
        <v>87</v>
      </c>
      <c r="B88" t="s">
        <v>103</v>
      </c>
      <c r="C88" s="2">
        <v>45844</v>
      </c>
      <c r="D88" s="2">
        <v>45846</v>
      </c>
      <c r="E88" t="s">
        <v>1017</v>
      </c>
      <c r="F88" t="s">
        <v>1084</v>
      </c>
      <c r="G88" t="s">
        <v>1284</v>
      </c>
      <c r="H88" t="s">
        <v>1288</v>
      </c>
      <c r="I88" t="s">
        <v>1299</v>
      </c>
      <c r="J88" t="s">
        <v>1304</v>
      </c>
      <c r="K88" t="s">
        <v>1307</v>
      </c>
      <c r="L88" t="s">
        <v>1316</v>
      </c>
      <c r="M88">
        <v>2</v>
      </c>
      <c r="N88">
        <v>0</v>
      </c>
      <c r="O88">
        <v>1027.74</v>
      </c>
      <c r="P88">
        <v>357.29</v>
      </c>
      <c r="R88" t="b">
        <f t="shared" si="4"/>
        <v>0</v>
      </c>
      <c r="S88" t="b">
        <f t="shared" si="5"/>
        <v>0</v>
      </c>
      <c r="T88" t="b">
        <f t="shared" si="6"/>
        <v>0</v>
      </c>
    </row>
    <row r="89" spans="1:20" x14ac:dyDescent="0.3">
      <c r="A89">
        <v>88</v>
      </c>
      <c r="B89" t="s">
        <v>104</v>
      </c>
      <c r="C89" s="2">
        <v>45720</v>
      </c>
      <c r="D89" s="2">
        <v>45725</v>
      </c>
      <c r="E89" t="s">
        <v>1017</v>
      </c>
      <c r="F89" t="s">
        <v>1089</v>
      </c>
      <c r="G89" t="s">
        <v>1279</v>
      </c>
      <c r="H89" t="s">
        <v>1287</v>
      </c>
      <c r="I89" t="s">
        <v>1297</v>
      </c>
      <c r="J89" t="s">
        <v>1304</v>
      </c>
      <c r="K89" t="s">
        <v>1307</v>
      </c>
      <c r="L89" t="s">
        <v>1314</v>
      </c>
      <c r="M89">
        <v>1</v>
      </c>
      <c r="N89">
        <v>0.2</v>
      </c>
      <c r="O89">
        <v>742.98</v>
      </c>
      <c r="P89">
        <v>163.96</v>
      </c>
      <c r="Q89" t="s">
        <v>1332</v>
      </c>
      <c r="R89" t="b">
        <f t="shared" si="4"/>
        <v>0</v>
      </c>
      <c r="S89" t="b">
        <f t="shared" si="5"/>
        <v>0</v>
      </c>
      <c r="T89" t="b">
        <f t="shared" si="6"/>
        <v>0</v>
      </c>
    </row>
    <row r="90" spans="1:20" x14ac:dyDescent="0.3">
      <c r="A90">
        <v>89</v>
      </c>
      <c r="B90" t="s">
        <v>105</v>
      </c>
      <c r="C90" s="2">
        <v>45756</v>
      </c>
      <c r="D90" s="2">
        <v>45760</v>
      </c>
      <c r="E90" t="s">
        <v>1017</v>
      </c>
      <c r="F90" t="s">
        <v>1063</v>
      </c>
      <c r="G90" t="s">
        <v>1269</v>
      </c>
      <c r="H90" t="s">
        <v>1288</v>
      </c>
      <c r="I90" t="s">
        <v>1301</v>
      </c>
      <c r="J90" t="s">
        <v>1303</v>
      </c>
      <c r="K90" t="s">
        <v>1306</v>
      </c>
      <c r="L90" t="s">
        <v>1310</v>
      </c>
      <c r="M90">
        <v>5</v>
      </c>
      <c r="N90">
        <v>0.2</v>
      </c>
      <c r="O90">
        <v>2728.68</v>
      </c>
      <c r="P90">
        <v>600.65</v>
      </c>
      <c r="Q90" t="s">
        <v>1331</v>
      </c>
      <c r="R90" t="b">
        <f t="shared" si="4"/>
        <v>0</v>
      </c>
      <c r="S90" t="b">
        <f t="shared" si="5"/>
        <v>0</v>
      </c>
      <c r="T90" t="b">
        <f t="shared" si="6"/>
        <v>0</v>
      </c>
    </row>
    <row r="91" spans="1:20" x14ac:dyDescent="0.3">
      <c r="A91">
        <v>90</v>
      </c>
      <c r="B91" t="s">
        <v>106</v>
      </c>
      <c r="C91" s="2">
        <v>45725</v>
      </c>
      <c r="D91" s="2">
        <v>45730</v>
      </c>
      <c r="E91" t="s">
        <v>1017</v>
      </c>
      <c r="F91" t="s">
        <v>1076</v>
      </c>
      <c r="G91" t="s">
        <v>1279</v>
      </c>
      <c r="H91" t="s">
        <v>1287</v>
      </c>
      <c r="I91" t="s">
        <v>1300</v>
      </c>
      <c r="J91" t="s">
        <v>1305</v>
      </c>
      <c r="K91" t="s">
        <v>1307</v>
      </c>
      <c r="L91" t="s">
        <v>1315</v>
      </c>
      <c r="M91">
        <v>3</v>
      </c>
      <c r="N91">
        <v>0</v>
      </c>
      <c r="O91">
        <v>5176.53</v>
      </c>
      <c r="P91">
        <v>883.26</v>
      </c>
      <c r="Q91" t="s">
        <v>1334</v>
      </c>
      <c r="R91" t="b">
        <f t="shared" si="4"/>
        <v>0</v>
      </c>
      <c r="S91" t="b">
        <f t="shared" si="5"/>
        <v>0</v>
      </c>
      <c r="T91" t="b">
        <f t="shared" si="6"/>
        <v>0</v>
      </c>
    </row>
    <row r="92" spans="1:20" x14ac:dyDescent="0.3">
      <c r="A92">
        <v>91</v>
      </c>
      <c r="B92" t="s">
        <v>107</v>
      </c>
      <c r="C92" s="2">
        <v>45781</v>
      </c>
      <c r="D92" s="2">
        <v>45784</v>
      </c>
      <c r="E92" t="s">
        <v>1017</v>
      </c>
      <c r="F92" t="s">
        <v>1090</v>
      </c>
      <c r="G92" t="s">
        <v>1268</v>
      </c>
      <c r="H92" t="s">
        <v>1288</v>
      </c>
      <c r="I92" t="s">
        <v>1298</v>
      </c>
      <c r="J92" t="s">
        <v>1303</v>
      </c>
      <c r="K92" t="s">
        <v>1309</v>
      </c>
      <c r="L92" t="s">
        <v>1317</v>
      </c>
      <c r="M92">
        <v>3</v>
      </c>
      <c r="N92">
        <v>0.05</v>
      </c>
      <c r="O92">
        <v>2328.0300000000002</v>
      </c>
      <c r="P92">
        <v>604.16999999999996</v>
      </c>
      <c r="Q92" t="s">
        <v>1331</v>
      </c>
      <c r="R92" t="b">
        <f t="shared" si="4"/>
        <v>0</v>
      </c>
      <c r="S92" t="b">
        <f t="shared" si="5"/>
        <v>0</v>
      </c>
      <c r="T92" t="b">
        <f t="shared" si="6"/>
        <v>0</v>
      </c>
    </row>
    <row r="93" spans="1:20" x14ac:dyDescent="0.3">
      <c r="A93">
        <v>92</v>
      </c>
      <c r="B93" t="s">
        <v>108</v>
      </c>
      <c r="C93" s="2">
        <v>46011</v>
      </c>
      <c r="D93" s="2">
        <v>46014</v>
      </c>
      <c r="E93" t="s">
        <v>1017</v>
      </c>
      <c r="F93" t="s">
        <v>1087</v>
      </c>
      <c r="G93" t="s">
        <v>1282</v>
      </c>
      <c r="H93" t="s">
        <v>1287</v>
      </c>
      <c r="I93" t="s">
        <v>1296</v>
      </c>
      <c r="J93" t="s">
        <v>1304</v>
      </c>
      <c r="K93" t="s">
        <v>1307</v>
      </c>
      <c r="L93" t="s">
        <v>1315</v>
      </c>
      <c r="M93">
        <v>3</v>
      </c>
      <c r="N93">
        <v>0.05</v>
      </c>
      <c r="O93">
        <v>5314.03</v>
      </c>
      <c r="P93">
        <v>1175.71</v>
      </c>
      <c r="Q93" t="s">
        <v>1331</v>
      </c>
      <c r="R93" t="b">
        <f t="shared" si="4"/>
        <v>0</v>
      </c>
      <c r="S93" t="b">
        <f t="shared" si="5"/>
        <v>0</v>
      </c>
      <c r="T93" t="b">
        <f t="shared" si="6"/>
        <v>0</v>
      </c>
    </row>
    <row r="94" spans="1:20" x14ac:dyDescent="0.3">
      <c r="A94">
        <v>93</v>
      </c>
      <c r="B94" t="s">
        <v>109</v>
      </c>
      <c r="C94" s="2">
        <v>46013</v>
      </c>
      <c r="D94" s="2">
        <v>46016</v>
      </c>
      <c r="E94" t="s">
        <v>1018</v>
      </c>
      <c r="F94" t="s">
        <v>1042</v>
      </c>
      <c r="G94" t="s">
        <v>1272</v>
      </c>
      <c r="H94" t="s">
        <v>1289</v>
      </c>
      <c r="I94" t="s">
        <v>1290</v>
      </c>
      <c r="J94" t="s">
        <v>1302</v>
      </c>
      <c r="K94" t="s">
        <v>1309</v>
      </c>
      <c r="L94" t="s">
        <v>1320</v>
      </c>
      <c r="M94">
        <v>1</v>
      </c>
      <c r="N94">
        <v>0.2</v>
      </c>
      <c r="O94">
        <v>983.44</v>
      </c>
      <c r="P94">
        <v>202.03</v>
      </c>
      <c r="Q94" t="s">
        <v>1331</v>
      </c>
      <c r="R94" t="b">
        <f t="shared" si="4"/>
        <v>0</v>
      </c>
      <c r="S94" t="b">
        <f t="shared" si="5"/>
        <v>0</v>
      </c>
      <c r="T94" t="b">
        <f t="shared" si="6"/>
        <v>0</v>
      </c>
    </row>
    <row r="95" spans="1:20" x14ac:dyDescent="0.3">
      <c r="A95">
        <v>94</v>
      </c>
      <c r="B95" t="s">
        <v>110</v>
      </c>
      <c r="C95" s="2">
        <v>45863</v>
      </c>
      <c r="D95" s="2">
        <v>45868</v>
      </c>
      <c r="E95" t="s">
        <v>1017</v>
      </c>
      <c r="F95" t="s">
        <v>1091</v>
      </c>
      <c r="G95" t="s">
        <v>1275</v>
      </c>
      <c r="H95" t="s">
        <v>1288</v>
      </c>
      <c r="I95" t="s">
        <v>1292</v>
      </c>
      <c r="J95" t="s">
        <v>1303</v>
      </c>
      <c r="K95" t="s">
        <v>1307</v>
      </c>
      <c r="L95" t="s">
        <v>1315</v>
      </c>
      <c r="M95">
        <v>1</v>
      </c>
      <c r="N95">
        <v>0.2</v>
      </c>
      <c r="O95">
        <v>1440.27</v>
      </c>
      <c r="P95">
        <v>322.58999999999997</v>
      </c>
      <c r="Q95" t="s">
        <v>1331</v>
      </c>
      <c r="R95" t="b">
        <f t="shared" si="4"/>
        <v>0</v>
      </c>
      <c r="S95" t="b">
        <f t="shared" si="5"/>
        <v>0</v>
      </c>
      <c r="T95" t="b">
        <f t="shared" si="6"/>
        <v>0</v>
      </c>
    </row>
    <row r="96" spans="1:20" x14ac:dyDescent="0.3">
      <c r="A96">
        <v>95</v>
      </c>
      <c r="B96" t="s">
        <v>111</v>
      </c>
      <c r="C96" s="2">
        <v>45731</v>
      </c>
      <c r="D96" s="2">
        <v>45732</v>
      </c>
      <c r="E96" t="s">
        <v>1018</v>
      </c>
      <c r="F96" t="s">
        <v>1092</v>
      </c>
      <c r="G96" t="s">
        <v>1273</v>
      </c>
      <c r="H96" t="s">
        <v>1287</v>
      </c>
      <c r="I96" t="s">
        <v>1296</v>
      </c>
      <c r="J96" t="s">
        <v>1304</v>
      </c>
      <c r="K96" t="s">
        <v>1306</v>
      </c>
      <c r="L96" t="s">
        <v>1310</v>
      </c>
      <c r="M96">
        <v>1</v>
      </c>
      <c r="N96">
        <v>0.05</v>
      </c>
      <c r="O96">
        <v>646.09</v>
      </c>
      <c r="P96">
        <v>198.65</v>
      </c>
      <c r="Q96" t="s">
        <v>1330</v>
      </c>
      <c r="R96" t="b">
        <f t="shared" si="4"/>
        <v>0</v>
      </c>
      <c r="S96" t="b">
        <f t="shared" si="5"/>
        <v>0</v>
      </c>
      <c r="T96" t="b">
        <f t="shared" si="6"/>
        <v>0</v>
      </c>
    </row>
    <row r="97" spans="1:20" x14ac:dyDescent="0.3">
      <c r="A97">
        <v>96</v>
      </c>
      <c r="B97" t="s">
        <v>112</v>
      </c>
      <c r="C97" s="2">
        <v>45850</v>
      </c>
      <c r="D97" s="2">
        <v>45852</v>
      </c>
      <c r="E97" t="s">
        <v>1019</v>
      </c>
      <c r="F97" t="s">
        <v>1093</v>
      </c>
      <c r="G97" t="s">
        <v>1285</v>
      </c>
      <c r="H97" t="s">
        <v>1288</v>
      </c>
      <c r="I97" t="s">
        <v>1297</v>
      </c>
      <c r="J97" t="s">
        <v>1304</v>
      </c>
      <c r="K97" t="s">
        <v>1308</v>
      </c>
      <c r="L97" t="s">
        <v>1326</v>
      </c>
      <c r="M97">
        <v>1</v>
      </c>
      <c r="N97">
        <v>0.15</v>
      </c>
      <c r="O97">
        <v>5696.13</v>
      </c>
      <c r="P97">
        <v>163.54</v>
      </c>
      <c r="Q97" t="s">
        <v>1331</v>
      </c>
      <c r="R97" t="b">
        <f t="shared" si="4"/>
        <v>0</v>
      </c>
      <c r="S97" t="b">
        <f t="shared" si="5"/>
        <v>0</v>
      </c>
      <c r="T97" t="b">
        <f t="shared" si="6"/>
        <v>0</v>
      </c>
    </row>
    <row r="98" spans="1:20" x14ac:dyDescent="0.3">
      <c r="A98">
        <v>97</v>
      </c>
      <c r="B98" t="s">
        <v>113</v>
      </c>
      <c r="C98" s="2">
        <v>45715</v>
      </c>
      <c r="D98" s="2">
        <v>45717</v>
      </c>
      <c r="E98" t="s">
        <v>1019</v>
      </c>
      <c r="F98" t="s">
        <v>1050</v>
      </c>
      <c r="G98" t="s">
        <v>1280</v>
      </c>
      <c r="H98" t="s">
        <v>1289</v>
      </c>
      <c r="I98" t="s">
        <v>1290</v>
      </c>
      <c r="J98" t="s">
        <v>1302</v>
      </c>
      <c r="K98" t="s">
        <v>1307</v>
      </c>
      <c r="L98" t="s">
        <v>1315</v>
      </c>
      <c r="M98">
        <v>3</v>
      </c>
      <c r="N98">
        <v>0.05</v>
      </c>
      <c r="O98">
        <v>4952.28</v>
      </c>
      <c r="P98">
        <v>1100.4000000000001</v>
      </c>
      <c r="Q98" t="s">
        <v>1333</v>
      </c>
      <c r="R98" t="b">
        <f t="shared" si="4"/>
        <v>0</v>
      </c>
      <c r="S98" t="b">
        <f t="shared" si="5"/>
        <v>0</v>
      </c>
      <c r="T98" t="b">
        <f t="shared" si="6"/>
        <v>0</v>
      </c>
    </row>
    <row r="99" spans="1:20" x14ac:dyDescent="0.3">
      <c r="A99">
        <v>98</v>
      </c>
      <c r="B99" t="s">
        <v>114</v>
      </c>
      <c r="C99" s="2">
        <v>45741</v>
      </c>
      <c r="D99" s="2">
        <v>45744</v>
      </c>
      <c r="E99" t="s">
        <v>1017</v>
      </c>
      <c r="F99" t="s">
        <v>1029</v>
      </c>
      <c r="G99" t="s">
        <v>1271</v>
      </c>
      <c r="H99" t="s">
        <v>1287</v>
      </c>
      <c r="I99" t="s">
        <v>1297</v>
      </c>
      <c r="J99" t="s">
        <v>1304</v>
      </c>
      <c r="K99" t="s">
        <v>1307</v>
      </c>
      <c r="L99" t="s">
        <v>1322</v>
      </c>
      <c r="M99">
        <v>4</v>
      </c>
      <c r="N99">
        <v>0.15</v>
      </c>
      <c r="O99">
        <v>2322.71</v>
      </c>
      <c r="P99">
        <v>57.47</v>
      </c>
      <c r="Q99" t="s">
        <v>1332</v>
      </c>
      <c r="R99" t="b">
        <f t="shared" si="4"/>
        <v>0</v>
      </c>
      <c r="S99" t="b">
        <f t="shared" si="5"/>
        <v>0</v>
      </c>
      <c r="T99" t="b">
        <f t="shared" si="6"/>
        <v>0</v>
      </c>
    </row>
    <row r="100" spans="1:20" x14ac:dyDescent="0.3">
      <c r="A100">
        <v>99</v>
      </c>
      <c r="B100" t="s">
        <v>115</v>
      </c>
      <c r="C100" s="2">
        <v>45672</v>
      </c>
      <c r="D100" s="2">
        <v>45674</v>
      </c>
      <c r="E100" t="s">
        <v>1018</v>
      </c>
      <c r="F100" t="s">
        <v>1094</v>
      </c>
      <c r="G100" t="s">
        <v>1269</v>
      </c>
      <c r="H100" t="s">
        <v>1289</v>
      </c>
      <c r="I100" t="s">
        <v>1298</v>
      </c>
      <c r="J100" t="s">
        <v>1303</v>
      </c>
      <c r="K100" t="s">
        <v>1306</v>
      </c>
      <c r="L100" t="s">
        <v>1323</v>
      </c>
      <c r="M100">
        <v>5</v>
      </c>
      <c r="N100">
        <v>0.1</v>
      </c>
      <c r="O100">
        <v>786.76</v>
      </c>
      <c r="P100">
        <v>223.16</v>
      </c>
      <c r="Q100" t="s">
        <v>1333</v>
      </c>
      <c r="R100" t="b">
        <f t="shared" si="4"/>
        <v>0</v>
      </c>
      <c r="S100" t="b">
        <f t="shared" si="5"/>
        <v>0</v>
      </c>
      <c r="T100" t="b">
        <f t="shared" si="6"/>
        <v>0</v>
      </c>
    </row>
    <row r="101" spans="1:20" x14ac:dyDescent="0.3">
      <c r="A101">
        <v>100</v>
      </c>
      <c r="B101" t="s">
        <v>116</v>
      </c>
      <c r="C101" s="2">
        <v>45684</v>
      </c>
      <c r="D101" s="2">
        <v>45686</v>
      </c>
      <c r="E101" t="s">
        <v>1017</v>
      </c>
      <c r="F101" t="s">
        <v>1095</v>
      </c>
      <c r="G101" t="s">
        <v>1267</v>
      </c>
      <c r="H101" t="s">
        <v>1287</v>
      </c>
      <c r="I101" t="s">
        <v>1299</v>
      </c>
      <c r="J101" t="s">
        <v>1304</v>
      </c>
      <c r="K101" t="s">
        <v>1307</v>
      </c>
      <c r="L101" t="s">
        <v>1316</v>
      </c>
      <c r="M101">
        <v>1</v>
      </c>
      <c r="N101">
        <v>0</v>
      </c>
      <c r="O101">
        <v>512.03</v>
      </c>
      <c r="P101">
        <v>140.15</v>
      </c>
      <c r="Q101" t="s">
        <v>1333</v>
      </c>
      <c r="R101" t="b">
        <f t="shared" si="4"/>
        <v>0</v>
      </c>
      <c r="S101" t="b">
        <f t="shared" si="5"/>
        <v>0</v>
      </c>
      <c r="T101" t="b">
        <f t="shared" si="6"/>
        <v>0</v>
      </c>
    </row>
    <row r="102" spans="1:20" x14ac:dyDescent="0.3">
      <c r="A102">
        <v>101</v>
      </c>
      <c r="B102" t="s">
        <v>117</v>
      </c>
      <c r="C102" s="2">
        <v>45976</v>
      </c>
      <c r="D102" s="2">
        <v>45981</v>
      </c>
      <c r="E102" t="s">
        <v>1017</v>
      </c>
      <c r="F102" t="s">
        <v>1096</v>
      </c>
      <c r="G102" t="s">
        <v>1275</v>
      </c>
      <c r="H102" t="s">
        <v>1287</v>
      </c>
      <c r="I102" t="s">
        <v>1291</v>
      </c>
      <c r="J102" t="s">
        <v>1302</v>
      </c>
      <c r="K102" t="s">
        <v>1309</v>
      </c>
      <c r="L102" t="s">
        <v>1317</v>
      </c>
      <c r="M102">
        <v>1</v>
      </c>
      <c r="N102">
        <v>0.1</v>
      </c>
      <c r="O102">
        <v>702.49</v>
      </c>
      <c r="P102">
        <v>79.66</v>
      </c>
      <c r="Q102" t="s">
        <v>1331</v>
      </c>
      <c r="R102" t="b">
        <f t="shared" si="4"/>
        <v>0</v>
      </c>
      <c r="S102" t="b">
        <f t="shared" si="5"/>
        <v>0</v>
      </c>
      <c r="T102" t="b">
        <f t="shared" si="6"/>
        <v>0</v>
      </c>
    </row>
    <row r="103" spans="1:20" x14ac:dyDescent="0.3">
      <c r="A103">
        <v>102</v>
      </c>
      <c r="B103" t="s">
        <v>118</v>
      </c>
      <c r="C103" s="2">
        <v>45924</v>
      </c>
      <c r="D103" s="2">
        <v>45927</v>
      </c>
      <c r="E103" t="s">
        <v>1019</v>
      </c>
      <c r="F103" t="s">
        <v>1097</v>
      </c>
      <c r="G103" t="s">
        <v>1271</v>
      </c>
      <c r="H103" t="s">
        <v>1287</v>
      </c>
      <c r="I103" t="s">
        <v>1294</v>
      </c>
      <c r="J103" t="s">
        <v>1305</v>
      </c>
      <c r="K103" t="s">
        <v>1306</v>
      </c>
      <c r="L103" t="s">
        <v>1321</v>
      </c>
      <c r="M103">
        <v>4</v>
      </c>
      <c r="N103">
        <v>0.15</v>
      </c>
      <c r="O103">
        <v>1469.55</v>
      </c>
      <c r="P103">
        <v>266.41000000000003</v>
      </c>
      <c r="Q103" t="s">
        <v>1332</v>
      </c>
      <c r="R103" t="b">
        <f t="shared" si="4"/>
        <v>0</v>
      </c>
      <c r="S103" t="b">
        <f t="shared" si="5"/>
        <v>0</v>
      </c>
      <c r="T103" t="b">
        <f t="shared" si="6"/>
        <v>0</v>
      </c>
    </row>
    <row r="104" spans="1:20" x14ac:dyDescent="0.3">
      <c r="A104">
        <v>103</v>
      </c>
      <c r="B104" t="s">
        <v>119</v>
      </c>
      <c r="C104" s="2">
        <v>45659</v>
      </c>
      <c r="D104" s="2">
        <v>45660</v>
      </c>
      <c r="E104" t="s">
        <v>1017</v>
      </c>
      <c r="F104" t="s">
        <v>1098</v>
      </c>
      <c r="G104" t="s">
        <v>1274</v>
      </c>
      <c r="H104" t="s">
        <v>1287</v>
      </c>
      <c r="I104" t="s">
        <v>1300</v>
      </c>
      <c r="J104" t="s">
        <v>1305</v>
      </c>
      <c r="K104" t="s">
        <v>1308</v>
      </c>
      <c r="L104" t="s">
        <v>1326</v>
      </c>
      <c r="M104">
        <v>1</v>
      </c>
      <c r="N104">
        <v>0.05</v>
      </c>
      <c r="O104">
        <v>6375.02</v>
      </c>
      <c r="P104">
        <v>1544.83</v>
      </c>
      <c r="Q104" t="s">
        <v>1333</v>
      </c>
      <c r="R104" t="b">
        <f t="shared" si="4"/>
        <v>0</v>
      </c>
      <c r="S104" t="b">
        <f t="shared" si="5"/>
        <v>0</v>
      </c>
      <c r="T104" t="b">
        <f t="shared" si="6"/>
        <v>0</v>
      </c>
    </row>
    <row r="105" spans="1:20" x14ac:dyDescent="0.3">
      <c r="A105">
        <v>104</v>
      </c>
      <c r="B105" t="s">
        <v>120</v>
      </c>
      <c r="C105" s="2">
        <v>46017</v>
      </c>
      <c r="D105" s="2">
        <v>46020</v>
      </c>
      <c r="E105" t="s">
        <v>1017</v>
      </c>
      <c r="F105" t="s">
        <v>1099</v>
      </c>
      <c r="G105" t="s">
        <v>1274</v>
      </c>
      <c r="H105" t="s">
        <v>1288</v>
      </c>
      <c r="I105" t="s">
        <v>1293</v>
      </c>
      <c r="J105" t="s">
        <v>1304</v>
      </c>
      <c r="K105" t="s">
        <v>1308</v>
      </c>
      <c r="L105" t="s">
        <v>1326</v>
      </c>
      <c r="M105">
        <v>1</v>
      </c>
      <c r="N105">
        <v>0.15</v>
      </c>
      <c r="O105">
        <v>5725.59</v>
      </c>
      <c r="P105">
        <v>131.68</v>
      </c>
      <c r="Q105" t="s">
        <v>1331</v>
      </c>
      <c r="R105" t="b">
        <f t="shared" si="4"/>
        <v>0</v>
      </c>
      <c r="S105" t="b">
        <f t="shared" si="5"/>
        <v>0</v>
      </c>
      <c r="T105" t="b">
        <f t="shared" si="6"/>
        <v>0</v>
      </c>
    </row>
    <row r="106" spans="1:20" x14ac:dyDescent="0.3">
      <c r="A106">
        <v>105</v>
      </c>
      <c r="B106" t="s">
        <v>121</v>
      </c>
      <c r="C106" s="2">
        <v>45908</v>
      </c>
      <c r="D106" s="2">
        <v>45911</v>
      </c>
      <c r="E106" t="s">
        <v>1018</v>
      </c>
      <c r="F106" t="s">
        <v>1071</v>
      </c>
      <c r="G106" t="s">
        <v>1267</v>
      </c>
      <c r="H106" t="s">
        <v>1287</v>
      </c>
      <c r="I106" t="s">
        <v>1291</v>
      </c>
      <c r="J106" t="s">
        <v>1302</v>
      </c>
      <c r="K106" t="s">
        <v>1307</v>
      </c>
      <c r="L106" t="s">
        <v>1311</v>
      </c>
      <c r="M106">
        <v>3</v>
      </c>
      <c r="N106">
        <v>0.05</v>
      </c>
      <c r="O106">
        <v>885.79</v>
      </c>
      <c r="P106">
        <v>231.41</v>
      </c>
      <c r="Q106" t="s">
        <v>1331</v>
      </c>
      <c r="R106" t="b">
        <f t="shared" si="4"/>
        <v>0</v>
      </c>
      <c r="S106" t="b">
        <f t="shared" si="5"/>
        <v>0</v>
      </c>
      <c r="T106" t="b">
        <f t="shared" si="6"/>
        <v>0</v>
      </c>
    </row>
    <row r="107" spans="1:20" x14ac:dyDescent="0.3">
      <c r="A107">
        <v>106</v>
      </c>
      <c r="B107" t="s">
        <v>122</v>
      </c>
      <c r="C107" s="2">
        <v>45682</v>
      </c>
      <c r="D107" s="2">
        <v>45687</v>
      </c>
      <c r="E107" t="s">
        <v>1017</v>
      </c>
      <c r="F107" t="s">
        <v>1100</v>
      </c>
      <c r="G107" t="s">
        <v>1282</v>
      </c>
      <c r="H107" t="s">
        <v>1289</v>
      </c>
      <c r="I107" t="s">
        <v>1301</v>
      </c>
      <c r="J107" t="s">
        <v>1303</v>
      </c>
      <c r="K107" t="s">
        <v>1306</v>
      </c>
      <c r="L107" t="s">
        <v>1328</v>
      </c>
      <c r="M107">
        <v>2</v>
      </c>
      <c r="N107">
        <v>0.15</v>
      </c>
      <c r="O107">
        <v>206.36</v>
      </c>
      <c r="P107">
        <v>41.77</v>
      </c>
      <c r="Q107" t="s">
        <v>1333</v>
      </c>
      <c r="R107" t="b">
        <f t="shared" si="4"/>
        <v>0</v>
      </c>
      <c r="S107" t="b">
        <f t="shared" si="5"/>
        <v>0</v>
      </c>
      <c r="T107" t="b">
        <f t="shared" si="6"/>
        <v>0</v>
      </c>
    </row>
    <row r="108" spans="1:20" x14ac:dyDescent="0.3">
      <c r="A108">
        <v>107</v>
      </c>
      <c r="B108" t="s">
        <v>123</v>
      </c>
      <c r="C108" s="2">
        <v>45694</v>
      </c>
      <c r="D108" s="2">
        <v>45695</v>
      </c>
      <c r="E108" t="s">
        <v>1017</v>
      </c>
      <c r="F108" t="s">
        <v>1101</v>
      </c>
      <c r="G108" t="s">
        <v>1271</v>
      </c>
      <c r="H108" t="s">
        <v>1287</v>
      </c>
      <c r="I108" t="s">
        <v>1293</v>
      </c>
      <c r="J108" t="s">
        <v>1304</v>
      </c>
      <c r="K108" t="s">
        <v>1309</v>
      </c>
      <c r="L108" t="s">
        <v>1313</v>
      </c>
      <c r="M108">
        <v>1</v>
      </c>
      <c r="N108">
        <v>0.15</v>
      </c>
      <c r="O108">
        <v>1273.29</v>
      </c>
      <c r="P108">
        <v>319.47000000000003</v>
      </c>
      <c r="Q108" t="s">
        <v>1333</v>
      </c>
      <c r="R108" t="b">
        <f t="shared" si="4"/>
        <v>0</v>
      </c>
      <c r="S108" t="b">
        <f t="shared" si="5"/>
        <v>0</v>
      </c>
      <c r="T108" t="b">
        <f t="shared" si="6"/>
        <v>0</v>
      </c>
    </row>
    <row r="109" spans="1:20" x14ac:dyDescent="0.3">
      <c r="A109">
        <v>108</v>
      </c>
      <c r="B109" t="s">
        <v>124</v>
      </c>
      <c r="C109" s="2">
        <v>46021</v>
      </c>
      <c r="D109" s="2">
        <v>46025</v>
      </c>
      <c r="E109" t="s">
        <v>1017</v>
      </c>
      <c r="F109" t="s">
        <v>1102</v>
      </c>
      <c r="G109" t="s">
        <v>1283</v>
      </c>
      <c r="H109" t="s">
        <v>1287</v>
      </c>
      <c r="I109" t="s">
        <v>1300</v>
      </c>
      <c r="J109" t="s">
        <v>1305</v>
      </c>
      <c r="K109" t="s">
        <v>1307</v>
      </c>
      <c r="L109" t="s">
        <v>1311</v>
      </c>
      <c r="M109">
        <v>2</v>
      </c>
      <c r="N109">
        <v>0.05</v>
      </c>
      <c r="O109">
        <v>568.38</v>
      </c>
      <c r="P109">
        <v>132.63999999999999</v>
      </c>
      <c r="Q109" t="s">
        <v>1331</v>
      </c>
      <c r="R109" t="b">
        <f t="shared" si="4"/>
        <v>0</v>
      </c>
      <c r="S109" t="b">
        <f t="shared" si="5"/>
        <v>0</v>
      </c>
      <c r="T109" t="b">
        <f t="shared" si="6"/>
        <v>0</v>
      </c>
    </row>
    <row r="110" spans="1:20" x14ac:dyDescent="0.3">
      <c r="A110">
        <v>109</v>
      </c>
      <c r="B110" t="s">
        <v>125</v>
      </c>
      <c r="C110" s="2">
        <v>45843</v>
      </c>
      <c r="D110" s="2">
        <v>45848</v>
      </c>
      <c r="E110" t="s">
        <v>1018</v>
      </c>
      <c r="F110" t="s">
        <v>1103</v>
      </c>
      <c r="G110" t="s">
        <v>1277</v>
      </c>
      <c r="H110" t="s">
        <v>1287</v>
      </c>
      <c r="I110" t="s">
        <v>1297</v>
      </c>
      <c r="J110" t="s">
        <v>1304</v>
      </c>
      <c r="K110" t="s">
        <v>1308</v>
      </c>
      <c r="L110" t="s">
        <v>1326</v>
      </c>
      <c r="M110">
        <v>2</v>
      </c>
      <c r="N110">
        <v>0.05</v>
      </c>
      <c r="O110">
        <v>12913.34</v>
      </c>
      <c r="P110">
        <v>2490.52</v>
      </c>
      <c r="Q110" t="s">
        <v>1332</v>
      </c>
      <c r="R110" t="b">
        <f t="shared" si="4"/>
        <v>0</v>
      </c>
      <c r="S110" t="b">
        <f t="shared" si="5"/>
        <v>0</v>
      </c>
      <c r="T110" t="b">
        <f t="shared" si="6"/>
        <v>0</v>
      </c>
    </row>
    <row r="111" spans="1:20" x14ac:dyDescent="0.3">
      <c r="A111">
        <v>110</v>
      </c>
      <c r="B111" t="s">
        <v>126</v>
      </c>
      <c r="C111" s="2">
        <v>45950</v>
      </c>
      <c r="D111" s="2">
        <v>45955</v>
      </c>
      <c r="E111" t="s">
        <v>1017</v>
      </c>
      <c r="F111" t="s">
        <v>1104</v>
      </c>
      <c r="G111" t="s">
        <v>1271</v>
      </c>
      <c r="H111" t="s">
        <v>1288</v>
      </c>
      <c r="I111" t="s">
        <v>1291</v>
      </c>
      <c r="J111" t="s">
        <v>1302</v>
      </c>
      <c r="K111" t="s">
        <v>1307</v>
      </c>
      <c r="L111" t="s">
        <v>1311</v>
      </c>
      <c r="M111">
        <v>2</v>
      </c>
      <c r="N111">
        <v>0.1</v>
      </c>
      <c r="O111">
        <v>515.01</v>
      </c>
      <c r="P111">
        <v>91.97</v>
      </c>
      <c r="Q111" t="s">
        <v>1333</v>
      </c>
      <c r="R111" t="b">
        <f t="shared" si="4"/>
        <v>0</v>
      </c>
      <c r="S111" t="b">
        <f t="shared" si="5"/>
        <v>0</v>
      </c>
      <c r="T111" t="b">
        <f t="shared" si="6"/>
        <v>0</v>
      </c>
    </row>
    <row r="112" spans="1:20" x14ac:dyDescent="0.3">
      <c r="A112">
        <v>111</v>
      </c>
      <c r="B112" t="s">
        <v>127</v>
      </c>
      <c r="C112" s="2">
        <v>45820</v>
      </c>
      <c r="D112" s="2">
        <v>45825</v>
      </c>
      <c r="E112" t="s">
        <v>1017</v>
      </c>
      <c r="F112" t="s">
        <v>1055</v>
      </c>
      <c r="G112" t="s">
        <v>1280</v>
      </c>
      <c r="H112" t="s">
        <v>1287</v>
      </c>
      <c r="I112" t="s">
        <v>1290</v>
      </c>
      <c r="J112" t="s">
        <v>1302</v>
      </c>
      <c r="K112" t="s">
        <v>1308</v>
      </c>
      <c r="L112" t="s">
        <v>1318</v>
      </c>
      <c r="M112">
        <v>1</v>
      </c>
      <c r="N112">
        <v>0.05</v>
      </c>
      <c r="O112">
        <v>4967.57</v>
      </c>
      <c r="P112">
        <v>911.05</v>
      </c>
      <c r="Q112" t="s">
        <v>1331</v>
      </c>
      <c r="R112" t="b">
        <f t="shared" si="4"/>
        <v>0</v>
      </c>
      <c r="S112" t="b">
        <f t="shared" si="5"/>
        <v>0</v>
      </c>
      <c r="T112" t="b">
        <f t="shared" si="6"/>
        <v>0</v>
      </c>
    </row>
    <row r="113" spans="1:20" x14ac:dyDescent="0.3">
      <c r="A113">
        <v>112</v>
      </c>
      <c r="B113" t="s">
        <v>128</v>
      </c>
      <c r="C113" s="2">
        <v>45790</v>
      </c>
      <c r="D113" s="2">
        <v>45794</v>
      </c>
      <c r="E113" t="s">
        <v>1017</v>
      </c>
      <c r="F113" t="s">
        <v>1105</v>
      </c>
      <c r="G113" t="s">
        <v>1276</v>
      </c>
      <c r="H113" t="s">
        <v>1287</v>
      </c>
      <c r="I113" t="s">
        <v>1295</v>
      </c>
      <c r="J113" t="s">
        <v>1305</v>
      </c>
      <c r="K113" t="s">
        <v>1307</v>
      </c>
      <c r="L113" t="s">
        <v>1311</v>
      </c>
      <c r="M113">
        <v>3</v>
      </c>
      <c r="N113">
        <v>0</v>
      </c>
      <c r="O113">
        <v>904.88</v>
      </c>
      <c r="P113">
        <v>178.56</v>
      </c>
      <c r="Q113" t="s">
        <v>1332</v>
      </c>
      <c r="R113" t="b">
        <f t="shared" si="4"/>
        <v>0</v>
      </c>
      <c r="S113" t="b">
        <f t="shared" si="5"/>
        <v>0</v>
      </c>
      <c r="T113" t="b">
        <f t="shared" si="6"/>
        <v>0</v>
      </c>
    </row>
    <row r="114" spans="1:20" x14ac:dyDescent="0.3">
      <c r="A114">
        <v>113</v>
      </c>
      <c r="B114" t="s">
        <v>129</v>
      </c>
      <c r="C114" s="2">
        <v>45969</v>
      </c>
      <c r="D114" s="2">
        <v>45973</v>
      </c>
      <c r="E114" t="s">
        <v>1017</v>
      </c>
      <c r="F114" t="s">
        <v>1106</v>
      </c>
      <c r="G114" t="s">
        <v>1269</v>
      </c>
      <c r="H114" t="s">
        <v>1289</v>
      </c>
      <c r="I114" t="s">
        <v>1298</v>
      </c>
      <c r="J114" t="s">
        <v>1303</v>
      </c>
      <c r="K114" t="s">
        <v>1306</v>
      </c>
      <c r="L114" t="s">
        <v>1324</v>
      </c>
      <c r="M114">
        <v>3</v>
      </c>
      <c r="N114">
        <v>0.15</v>
      </c>
      <c r="O114">
        <v>237.86</v>
      </c>
      <c r="P114">
        <v>40.32</v>
      </c>
      <c r="Q114" t="s">
        <v>1331</v>
      </c>
      <c r="R114" t="b">
        <f t="shared" si="4"/>
        <v>0</v>
      </c>
      <c r="S114" t="b">
        <f t="shared" si="5"/>
        <v>0</v>
      </c>
      <c r="T114" t="b">
        <f t="shared" si="6"/>
        <v>0</v>
      </c>
    </row>
    <row r="115" spans="1:20" x14ac:dyDescent="0.3">
      <c r="A115">
        <v>114</v>
      </c>
      <c r="B115" t="s">
        <v>130</v>
      </c>
      <c r="C115" s="2">
        <v>45902</v>
      </c>
      <c r="D115" s="2">
        <v>45905</v>
      </c>
      <c r="E115" t="s">
        <v>1017</v>
      </c>
      <c r="F115" t="s">
        <v>1107</v>
      </c>
      <c r="G115" t="s">
        <v>1276</v>
      </c>
      <c r="H115" t="s">
        <v>1289</v>
      </c>
      <c r="I115" t="s">
        <v>1299</v>
      </c>
      <c r="J115" t="s">
        <v>1304</v>
      </c>
      <c r="K115" t="s">
        <v>1309</v>
      </c>
      <c r="L115" t="s">
        <v>1325</v>
      </c>
      <c r="M115">
        <v>1</v>
      </c>
      <c r="N115">
        <v>0.1</v>
      </c>
      <c r="O115">
        <v>1147.6099999999999</v>
      </c>
      <c r="P115">
        <v>210.45</v>
      </c>
      <c r="Q115" t="s">
        <v>1330</v>
      </c>
      <c r="R115" t="b">
        <f t="shared" si="4"/>
        <v>0</v>
      </c>
      <c r="S115" t="b">
        <f t="shared" si="5"/>
        <v>0</v>
      </c>
      <c r="T115" t="b">
        <f t="shared" si="6"/>
        <v>0</v>
      </c>
    </row>
    <row r="116" spans="1:20" x14ac:dyDescent="0.3">
      <c r="A116">
        <v>115</v>
      </c>
      <c r="B116" t="s">
        <v>131</v>
      </c>
      <c r="C116" s="2">
        <v>45880</v>
      </c>
      <c r="D116" s="2">
        <v>45883</v>
      </c>
      <c r="E116" t="s">
        <v>1017</v>
      </c>
      <c r="F116" t="s">
        <v>1108</v>
      </c>
      <c r="G116" t="s">
        <v>1280</v>
      </c>
      <c r="H116" t="s">
        <v>1287</v>
      </c>
      <c r="I116" t="s">
        <v>1294</v>
      </c>
      <c r="J116" t="s">
        <v>1305</v>
      </c>
      <c r="K116" t="s">
        <v>1309</v>
      </c>
      <c r="L116" t="s">
        <v>1325</v>
      </c>
      <c r="M116">
        <v>2</v>
      </c>
      <c r="N116">
        <v>0.2</v>
      </c>
      <c r="O116">
        <v>2076.08</v>
      </c>
      <c r="P116">
        <v>118.82</v>
      </c>
      <c r="Q116" t="s">
        <v>1330</v>
      </c>
      <c r="R116" t="b">
        <f t="shared" si="4"/>
        <v>0</v>
      </c>
      <c r="S116" t="b">
        <f t="shared" si="5"/>
        <v>0</v>
      </c>
      <c r="T116" t="b">
        <f t="shared" si="6"/>
        <v>0</v>
      </c>
    </row>
    <row r="117" spans="1:20" x14ac:dyDescent="0.3">
      <c r="A117">
        <v>116</v>
      </c>
      <c r="B117" t="s">
        <v>132</v>
      </c>
      <c r="C117" s="2">
        <v>46009</v>
      </c>
      <c r="D117" s="2">
        <v>46014</v>
      </c>
      <c r="E117" t="s">
        <v>1018</v>
      </c>
      <c r="F117" t="s">
        <v>1109</v>
      </c>
      <c r="G117" t="s">
        <v>1281</v>
      </c>
      <c r="H117" t="s">
        <v>1288</v>
      </c>
      <c r="I117" t="s">
        <v>1298</v>
      </c>
      <c r="J117" t="s">
        <v>1303</v>
      </c>
      <c r="K117" t="s">
        <v>1308</v>
      </c>
      <c r="L117" t="s">
        <v>1326</v>
      </c>
      <c r="M117">
        <v>1</v>
      </c>
      <c r="N117">
        <v>0.15</v>
      </c>
      <c r="O117">
        <v>6224.8</v>
      </c>
      <c r="P117">
        <v>1528.04</v>
      </c>
      <c r="Q117" t="s">
        <v>1333</v>
      </c>
      <c r="R117" t="b">
        <f t="shared" si="4"/>
        <v>0</v>
      </c>
      <c r="S117" t="b">
        <f t="shared" si="5"/>
        <v>0</v>
      </c>
      <c r="T117" t="b">
        <f t="shared" si="6"/>
        <v>0</v>
      </c>
    </row>
    <row r="118" spans="1:20" x14ac:dyDescent="0.3">
      <c r="A118">
        <v>117</v>
      </c>
      <c r="B118" t="s">
        <v>133</v>
      </c>
      <c r="C118" s="2">
        <v>45946</v>
      </c>
      <c r="D118" s="2">
        <v>45947</v>
      </c>
      <c r="E118" t="s">
        <v>1017</v>
      </c>
      <c r="F118" t="s">
        <v>1047</v>
      </c>
      <c r="G118" t="s">
        <v>1279</v>
      </c>
      <c r="H118" t="s">
        <v>1287</v>
      </c>
      <c r="I118" t="s">
        <v>1291</v>
      </c>
      <c r="J118" t="s">
        <v>1302</v>
      </c>
      <c r="K118" t="s">
        <v>1308</v>
      </c>
      <c r="L118" t="s">
        <v>1318</v>
      </c>
      <c r="M118">
        <v>1</v>
      </c>
      <c r="N118">
        <v>0.15</v>
      </c>
      <c r="O118">
        <v>4541.25</v>
      </c>
      <c r="P118">
        <v>407.23</v>
      </c>
      <c r="Q118" t="s">
        <v>1332</v>
      </c>
      <c r="R118" t="b">
        <f t="shared" si="4"/>
        <v>0</v>
      </c>
      <c r="S118" t="b">
        <f t="shared" si="5"/>
        <v>0</v>
      </c>
      <c r="T118" t="b">
        <f t="shared" si="6"/>
        <v>0</v>
      </c>
    </row>
    <row r="119" spans="1:20" x14ac:dyDescent="0.3">
      <c r="A119">
        <v>118</v>
      </c>
      <c r="B119" t="s">
        <v>134</v>
      </c>
      <c r="C119" s="2">
        <v>45730</v>
      </c>
      <c r="D119" s="2">
        <v>45735</v>
      </c>
      <c r="E119" t="s">
        <v>1018</v>
      </c>
      <c r="F119" t="s">
        <v>1104</v>
      </c>
      <c r="G119" t="s">
        <v>1286</v>
      </c>
      <c r="H119" t="s">
        <v>1287</v>
      </c>
      <c r="I119" t="s">
        <v>1299</v>
      </c>
      <c r="J119" t="s">
        <v>1304</v>
      </c>
      <c r="K119" t="s">
        <v>1307</v>
      </c>
      <c r="L119" t="s">
        <v>1316</v>
      </c>
      <c r="M119">
        <v>2</v>
      </c>
      <c r="N119">
        <v>0.2</v>
      </c>
      <c r="O119">
        <v>803.75</v>
      </c>
      <c r="P119">
        <v>37.6</v>
      </c>
      <c r="Q119" t="s">
        <v>1332</v>
      </c>
      <c r="R119" t="b">
        <f t="shared" si="4"/>
        <v>0</v>
      </c>
      <c r="S119" t="b">
        <f t="shared" si="5"/>
        <v>0</v>
      </c>
      <c r="T119" t="b">
        <f t="shared" si="6"/>
        <v>0</v>
      </c>
    </row>
    <row r="120" spans="1:20" x14ac:dyDescent="0.3">
      <c r="A120">
        <v>119</v>
      </c>
      <c r="B120" t="s">
        <v>135</v>
      </c>
      <c r="C120" s="2">
        <v>45786</v>
      </c>
      <c r="D120" s="2">
        <v>45787</v>
      </c>
      <c r="E120" t="s">
        <v>1018</v>
      </c>
      <c r="F120" t="s">
        <v>1103</v>
      </c>
      <c r="G120" t="s">
        <v>1272</v>
      </c>
      <c r="H120" t="s">
        <v>1287</v>
      </c>
      <c r="I120" t="s">
        <v>1294</v>
      </c>
      <c r="J120" t="s">
        <v>1305</v>
      </c>
      <c r="K120" t="s">
        <v>1307</v>
      </c>
      <c r="L120" t="s">
        <v>1311</v>
      </c>
      <c r="M120">
        <v>1</v>
      </c>
      <c r="N120">
        <v>0.2</v>
      </c>
      <c r="O120">
        <v>235.09</v>
      </c>
      <c r="P120">
        <v>12.02</v>
      </c>
      <c r="Q120" t="s">
        <v>1333</v>
      </c>
      <c r="R120" t="b">
        <f t="shared" si="4"/>
        <v>0</v>
      </c>
      <c r="S120" t="b">
        <f t="shared" si="5"/>
        <v>0</v>
      </c>
      <c r="T120" t="b">
        <f t="shared" si="6"/>
        <v>0</v>
      </c>
    </row>
    <row r="121" spans="1:20" x14ac:dyDescent="0.3">
      <c r="A121">
        <v>120</v>
      </c>
      <c r="B121" t="s">
        <v>136</v>
      </c>
      <c r="C121" s="2">
        <v>46012</v>
      </c>
      <c r="D121" s="2">
        <v>46014</v>
      </c>
      <c r="E121" t="s">
        <v>1017</v>
      </c>
      <c r="F121" t="s">
        <v>1110</v>
      </c>
      <c r="G121" t="s">
        <v>1268</v>
      </c>
      <c r="H121" t="s">
        <v>1289</v>
      </c>
      <c r="I121" t="s">
        <v>1296</v>
      </c>
      <c r="J121" t="s">
        <v>1304</v>
      </c>
      <c r="K121" t="s">
        <v>1309</v>
      </c>
      <c r="L121" t="s">
        <v>1317</v>
      </c>
      <c r="M121">
        <v>1</v>
      </c>
      <c r="N121">
        <v>0</v>
      </c>
      <c r="O121">
        <v>819.72</v>
      </c>
      <c r="P121">
        <v>244.37</v>
      </c>
      <c r="Q121" t="s">
        <v>1330</v>
      </c>
      <c r="R121" t="b">
        <f t="shared" si="4"/>
        <v>0</v>
      </c>
      <c r="S121" t="b">
        <f t="shared" si="5"/>
        <v>0</v>
      </c>
      <c r="T121" t="b">
        <f t="shared" si="6"/>
        <v>0</v>
      </c>
    </row>
    <row r="122" spans="1:20" x14ac:dyDescent="0.3">
      <c r="A122">
        <v>121</v>
      </c>
      <c r="B122" t="s">
        <v>137</v>
      </c>
      <c r="C122" s="2">
        <v>45957</v>
      </c>
      <c r="D122" s="2">
        <v>45961</v>
      </c>
      <c r="E122" t="s">
        <v>1018</v>
      </c>
      <c r="F122" t="s">
        <v>1058</v>
      </c>
      <c r="G122" t="s">
        <v>1285</v>
      </c>
      <c r="H122" t="s">
        <v>1289</v>
      </c>
      <c r="I122" t="s">
        <v>1291</v>
      </c>
      <c r="J122" t="s">
        <v>1302</v>
      </c>
      <c r="K122" t="s">
        <v>1307</v>
      </c>
      <c r="L122" t="s">
        <v>1316</v>
      </c>
      <c r="M122">
        <v>1</v>
      </c>
      <c r="N122">
        <v>0.1</v>
      </c>
      <c r="O122">
        <v>453.95</v>
      </c>
      <c r="P122">
        <v>68.23</v>
      </c>
      <c r="Q122" t="s">
        <v>1331</v>
      </c>
      <c r="R122" t="b">
        <f t="shared" si="4"/>
        <v>0</v>
      </c>
      <c r="S122" t="b">
        <f t="shared" si="5"/>
        <v>0</v>
      </c>
      <c r="T122" t="b">
        <f t="shared" si="6"/>
        <v>0</v>
      </c>
    </row>
    <row r="123" spans="1:20" x14ac:dyDescent="0.3">
      <c r="A123">
        <v>122</v>
      </c>
      <c r="B123" t="s">
        <v>138</v>
      </c>
      <c r="C123" s="2">
        <v>45708</v>
      </c>
      <c r="D123" s="2">
        <v>45712</v>
      </c>
      <c r="E123" t="s">
        <v>1017</v>
      </c>
      <c r="F123" t="s">
        <v>1104</v>
      </c>
      <c r="G123" t="s">
        <v>1283</v>
      </c>
      <c r="H123" t="s">
        <v>1287</v>
      </c>
      <c r="I123" t="s">
        <v>1291</v>
      </c>
      <c r="J123" t="s">
        <v>1302</v>
      </c>
      <c r="K123" t="s">
        <v>1309</v>
      </c>
      <c r="L123" t="s">
        <v>1320</v>
      </c>
      <c r="M123">
        <v>5</v>
      </c>
      <c r="N123">
        <v>0.15</v>
      </c>
      <c r="O123">
        <v>5317.13</v>
      </c>
      <c r="P123">
        <v>1178.6300000000001</v>
      </c>
      <c r="Q123" t="s">
        <v>1331</v>
      </c>
      <c r="R123" t="b">
        <f t="shared" si="4"/>
        <v>0</v>
      </c>
      <c r="S123" t="b">
        <f t="shared" si="5"/>
        <v>0</v>
      </c>
      <c r="T123" t="b">
        <f t="shared" si="6"/>
        <v>0</v>
      </c>
    </row>
    <row r="124" spans="1:20" x14ac:dyDescent="0.3">
      <c r="A124">
        <v>123</v>
      </c>
      <c r="B124" t="s">
        <v>139</v>
      </c>
      <c r="C124" s="2">
        <v>45815</v>
      </c>
      <c r="D124" s="2">
        <v>45817</v>
      </c>
      <c r="E124" t="s">
        <v>1018</v>
      </c>
      <c r="F124" t="s">
        <v>1043</v>
      </c>
      <c r="G124" t="s">
        <v>1281</v>
      </c>
      <c r="H124" t="s">
        <v>1287</v>
      </c>
      <c r="I124" t="s">
        <v>1296</v>
      </c>
      <c r="J124" t="s">
        <v>1304</v>
      </c>
      <c r="K124" t="s">
        <v>1306</v>
      </c>
      <c r="L124" t="s">
        <v>1324</v>
      </c>
      <c r="M124">
        <v>2</v>
      </c>
      <c r="N124">
        <v>0</v>
      </c>
      <c r="O124">
        <v>178.2</v>
      </c>
      <c r="P124">
        <v>31.44</v>
      </c>
      <c r="Q124" t="s">
        <v>1334</v>
      </c>
      <c r="R124" t="b">
        <f t="shared" si="4"/>
        <v>0</v>
      </c>
      <c r="S124" t="b">
        <f t="shared" si="5"/>
        <v>0</v>
      </c>
      <c r="T124" t="b">
        <f t="shared" si="6"/>
        <v>0</v>
      </c>
    </row>
    <row r="125" spans="1:20" x14ac:dyDescent="0.3">
      <c r="A125">
        <v>124</v>
      </c>
      <c r="B125" t="s">
        <v>140</v>
      </c>
      <c r="C125" s="2">
        <v>45741</v>
      </c>
      <c r="D125" s="2">
        <v>45745</v>
      </c>
      <c r="E125" t="s">
        <v>1017</v>
      </c>
      <c r="F125" t="s">
        <v>1100</v>
      </c>
      <c r="G125" t="s">
        <v>1270</v>
      </c>
      <c r="H125" t="s">
        <v>1287</v>
      </c>
      <c r="I125" t="s">
        <v>1295</v>
      </c>
      <c r="J125" t="s">
        <v>1305</v>
      </c>
      <c r="K125" t="s">
        <v>1307</v>
      </c>
      <c r="L125" t="s">
        <v>1316</v>
      </c>
      <c r="M125">
        <v>1</v>
      </c>
      <c r="N125">
        <v>0.2</v>
      </c>
      <c r="O125">
        <v>382.71</v>
      </c>
      <c r="P125">
        <v>-8.08</v>
      </c>
      <c r="Q125" t="s">
        <v>1331</v>
      </c>
      <c r="R125" t="b">
        <f t="shared" si="4"/>
        <v>0</v>
      </c>
      <c r="S125" t="b">
        <f t="shared" si="5"/>
        <v>0</v>
      </c>
      <c r="T125" t="b">
        <f t="shared" si="6"/>
        <v>0</v>
      </c>
    </row>
    <row r="126" spans="1:20" x14ac:dyDescent="0.3">
      <c r="A126">
        <v>125</v>
      </c>
      <c r="B126" t="s">
        <v>141</v>
      </c>
      <c r="C126" s="2">
        <v>45928</v>
      </c>
      <c r="D126" s="2">
        <v>45930</v>
      </c>
      <c r="E126" t="s">
        <v>1019</v>
      </c>
      <c r="F126" t="s">
        <v>1035</v>
      </c>
      <c r="G126" t="s">
        <v>1268</v>
      </c>
      <c r="H126" t="s">
        <v>1288</v>
      </c>
      <c r="I126" t="s">
        <v>1301</v>
      </c>
      <c r="J126" t="s">
        <v>1303</v>
      </c>
      <c r="K126" t="s">
        <v>1308</v>
      </c>
      <c r="L126" t="s">
        <v>1327</v>
      </c>
      <c r="M126">
        <v>2</v>
      </c>
      <c r="N126">
        <v>0.15</v>
      </c>
      <c r="O126">
        <v>2958.84</v>
      </c>
      <c r="P126">
        <v>468.47</v>
      </c>
      <c r="Q126" t="s">
        <v>1331</v>
      </c>
      <c r="R126" t="b">
        <f t="shared" si="4"/>
        <v>0</v>
      </c>
      <c r="S126" t="b">
        <f t="shared" si="5"/>
        <v>0</v>
      </c>
      <c r="T126" t="b">
        <f t="shared" si="6"/>
        <v>0</v>
      </c>
    </row>
    <row r="127" spans="1:20" x14ac:dyDescent="0.3">
      <c r="A127">
        <v>126</v>
      </c>
      <c r="B127" t="s">
        <v>142</v>
      </c>
      <c r="C127" s="2">
        <v>45803</v>
      </c>
      <c r="D127" s="2">
        <v>45806</v>
      </c>
      <c r="E127" t="s">
        <v>1017</v>
      </c>
      <c r="F127" t="s">
        <v>1093</v>
      </c>
      <c r="G127" t="s">
        <v>1275</v>
      </c>
      <c r="H127" t="s">
        <v>1288</v>
      </c>
      <c r="I127" t="s">
        <v>1297</v>
      </c>
      <c r="J127" t="s">
        <v>1304</v>
      </c>
      <c r="K127" t="s">
        <v>1306</v>
      </c>
      <c r="L127" t="s">
        <v>1321</v>
      </c>
      <c r="M127">
        <v>2</v>
      </c>
      <c r="N127">
        <v>0.15</v>
      </c>
      <c r="O127">
        <v>774.48</v>
      </c>
      <c r="P127">
        <v>135.16</v>
      </c>
      <c r="Q127" t="s">
        <v>1334</v>
      </c>
      <c r="R127" t="b">
        <f t="shared" si="4"/>
        <v>0</v>
      </c>
      <c r="S127" t="b">
        <f t="shared" si="5"/>
        <v>0</v>
      </c>
      <c r="T127" t="b">
        <f t="shared" si="6"/>
        <v>0</v>
      </c>
    </row>
    <row r="128" spans="1:20" x14ac:dyDescent="0.3">
      <c r="A128">
        <v>127</v>
      </c>
      <c r="B128" t="s">
        <v>143</v>
      </c>
      <c r="C128" s="2">
        <v>45817</v>
      </c>
      <c r="D128" s="2">
        <v>45820</v>
      </c>
      <c r="E128" t="s">
        <v>1017</v>
      </c>
      <c r="F128" t="s">
        <v>1111</v>
      </c>
      <c r="G128" t="s">
        <v>1278</v>
      </c>
      <c r="H128" t="s">
        <v>1287</v>
      </c>
      <c r="I128" t="s">
        <v>1301</v>
      </c>
      <c r="J128" t="s">
        <v>1303</v>
      </c>
      <c r="K128" t="s">
        <v>1309</v>
      </c>
      <c r="L128" t="s">
        <v>1317</v>
      </c>
      <c r="M128">
        <v>1</v>
      </c>
      <c r="N128">
        <v>0.1</v>
      </c>
      <c r="O128">
        <v>699.82</v>
      </c>
      <c r="P128">
        <v>141.97</v>
      </c>
      <c r="Q128" t="s">
        <v>1333</v>
      </c>
      <c r="R128" t="b">
        <f t="shared" si="4"/>
        <v>0</v>
      </c>
      <c r="S128" t="b">
        <f t="shared" si="5"/>
        <v>0</v>
      </c>
      <c r="T128" t="b">
        <f t="shared" si="6"/>
        <v>0</v>
      </c>
    </row>
    <row r="129" spans="1:20" x14ac:dyDescent="0.3">
      <c r="A129">
        <v>128</v>
      </c>
      <c r="B129" t="s">
        <v>144</v>
      </c>
      <c r="C129" s="2">
        <v>45937</v>
      </c>
      <c r="D129" s="2">
        <v>45941</v>
      </c>
      <c r="E129" t="s">
        <v>1017</v>
      </c>
      <c r="F129" t="s">
        <v>1077</v>
      </c>
      <c r="G129" t="s">
        <v>1274</v>
      </c>
      <c r="H129" t="s">
        <v>1288</v>
      </c>
      <c r="I129" t="s">
        <v>1301</v>
      </c>
      <c r="J129" t="s">
        <v>1303</v>
      </c>
      <c r="K129" t="s">
        <v>1308</v>
      </c>
      <c r="L129" t="s">
        <v>1326</v>
      </c>
      <c r="M129">
        <v>2</v>
      </c>
      <c r="N129">
        <v>0.15</v>
      </c>
      <c r="O129">
        <v>12277.51</v>
      </c>
      <c r="P129">
        <v>1909.98</v>
      </c>
      <c r="Q129" t="s">
        <v>1331</v>
      </c>
      <c r="R129" t="b">
        <f t="shared" si="4"/>
        <v>0</v>
      </c>
      <c r="S129" t="b">
        <f t="shared" si="5"/>
        <v>0</v>
      </c>
      <c r="T129" t="b">
        <f t="shared" si="6"/>
        <v>0</v>
      </c>
    </row>
    <row r="130" spans="1:20" x14ac:dyDescent="0.3">
      <c r="A130">
        <v>129</v>
      </c>
      <c r="B130" t="s">
        <v>145</v>
      </c>
      <c r="C130" s="2">
        <v>45727</v>
      </c>
      <c r="D130" s="2">
        <v>45728</v>
      </c>
      <c r="E130" t="s">
        <v>1018</v>
      </c>
      <c r="F130" t="s">
        <v>1112</v>
      </c>
      <c r="G130" t="s">
        <v>1273</v>
      </c>
      <c r="H130" t="s">
        <v>1287</v>
      </c>
      <c r="I130" t="s">
        <v>1296</v>
      </c>
      <c r="J130" t="s">
        <v>1304</v>
      </c>
      <c r="K130" t="s">
        <v>1308</v>
      </c>
      <c r="L130" t="s">
        <v>1312</v>
      </c>
      <c r="M130">
        <v>2</v>
      </c>
      <c r="N130">
        <v>0.05</v>
      </c>
      <c r="O130">
        <v>2497.02</v>
      </c>
      <c r="P130">
        <v>656.38</v>
      </c>
      <c r="Q130" t="s">
        <v>1332</v>
      </c>
      <c r="R130" t="b">
        <f t="shared" si="4"/>
        <v>0</v>
      </c>
      <c r="S130" t="b">
        <f t="shared" si="5"/>
        <v>0</v>
      </c>
      <c r="T130" t="b">
        <f t="shared" si="6"/>
        <v>0</v>
      </c>
    </row>
    <row r="131" spans="1:20" x14ac:dyDescent="0.3">
      <c r="A131">
        <v>130</v>
      </c>
      <c r="B131" t="s">
        <v>146</v>
      </c>
      <c r="C131" s="2">
        <v>45916</v>
      </c>
      <c r="D131" s="2">
        <v>45918</v>
      </c>
      <c r="E131" t="s">
        <v>1017</v>
      </c>
      <c r="F131" t="s">
        <v>1113</v>
      </c>
      <c r="G131" t="s">
        <v>1276</v>
      </c>
      <c r="H131" t="s">
        <v>1287</v>
      </c>
      <c r="I131" t="s">
        <v>1296</v>
      </c>
      <c r="J131" t="s">
        <v>1304</v>
      </c>
      <c r="K131" t="s">
        <v>1309</v>
      </c>
      <c r="L131" t="s">
        <v>1325</v>
      </c>
      <c r="M131">
        <v>2</v>
      </c>
      <c r="N131">
        <v>0.05</v>
      </c>
      <c r="O131">
        <v>2590.06</v>
      </c>
      <c r="P131">
        <v>635.41</v>
      </c>
      <c r="Q131" t="s">
        <v>1333</v>
      </c>
      <c r="R131" t="b">
        <f t="shared" ref="R131:R194" si="7">D131&lt;C131</f>
        <v>0</v>
      </c>
      <c r="S131" t="b">
        <f t="shared" ref="S131:S194" si="8">M131&lt;=0</f>
        <v>0</v>
      </c>
      <c r="T131" t="b">
        <f t="shared" ref="T131:T194" si="9">OR(N131&lt;0,N131&gt;1)</f>
        <v>0</v>
      </c>
    </row>
    <row r="132" spans="1:20" x14ac:dyDescent="0.3">
      <c r="A132">
        <v>131</v>
      </c>
      <c r="B132" t="s">
        <v>147</v>
      </c>
      <c r="C132" s="2">
        <v>45815</v>
      </c>
      <c r="D132" s="2">
        <v>45816</v>
      </c>
      <c r="E132" t="s">
        <v>1017</v>
      </c>
      <c r="F132" t="s">
        <v>1114</v>
      </c>
      <c r="G132" t="s">
        <v>1276</v>
      </c>
      <c r="H132" t="s">
        <v>1287</v>
      </c>
      <c r="I132" t="s">
        <v>1294</v>
      </c>
      <c r="J132" t="s">
        <v>1305</v>
      </c>
      <c r="K132" t="s">
        <v>1307</v>
      </c>
      <c r="L132" t="s">
        <v>1315</v>
      </c>
      <c r="M132">
        <v>1</v>
      </c>
      <c r="N132">
        <v>0.1</v>
      </c>
      <c r="O132">
        <v>1671.2</v>
      </c>
      <c r="P132">
        <v>555.38</v>
      </c>
      <c r="Q132" t="s">
        <v>1331</v>
      </c>
      <c r="R132" t="b">
        <f t="shared" si="7"/>
        <v>0</v>
      </c>
      <c r="S132" t="b">
        <f t="shared" si="8"/>
        <v>0</v>
      </c>
      <c r="T132" t="b">
        <f t="shared" si="9"/>
        <v>0</v>
      </c>
    </row>
    <row r="133" spans="1:20" x14ac:dyDescent="0.3">
      <c r="A133">
        <v>132</v>
      </c>
      <c r="B133" t="s">
        <v>148</v>
      </c>
      <c r="C133" s="2">
        <v>45905</v>
      </c>
      <c r="D133" s="2">
        <v>45909</v>
      </c>
      <c r="E133" t="s">
        <v>1017</v>
      </c>
      <c r="F133" t="s">
        <v>1115</v>
      </c>
      <c r="G133" t="s">
        <v>1269</v>
      </c>
      <c r="H133" t="s">
        <v>1288</v>
      </c>
      <c r="I133" t="s">
        <v>1300</v>
      </c>
      <c r="J133" t="s">
        <v>1305</v>
      </c>
      <c r="K133" t="s">
        <v>1309</v>
      </c>
      <c r="L133" t="s">
        <v>1329</v>
      </c>
      <c r="M133">
        <v>1</v>
      </c>
      <c r="N133">
        <v>0.15</v>
      </c>
      <c r="O133">
        <v>1572.77</v>
      </c>
      <c r="P133">
        <v>140.33000000000001</v>
      </c>
      <c r="Q133" t="s">
        <v>1334</v>
      </c>
      <c r="R133" t="b">
        <f t="shared" si="7"/>
        <v>0</v>
      </c>
      <c r="S133" t="b">
        <f t="shared" si="8"/>
        <v>0</v>
      </c>
      <c r="T133" t="b">
        <f t="shared" si="9"/>
        <v>0</v>
      </c>
    </row>
    <row r="134" spans="1:20" x14ac:dyDescent="0.3">
      <c r="A134">
        <v>133</v>
      </c>
      <c r="B134" t="s">
        <v>149</v>
      </c>
      <c r="C134" s="2">
        <v>45949</v>
      </c>
      <c r="D134" s="2">
        <v>45950</v>
      </c>
      <c r="E134" t="s">
        <v>1017</v>
      </c>
      <c r="F134" t="s">
        <v>1116</v>
      </c>
      <c r="G134" t="s">
        <v>1279</v>
      </c>
      <c r="H134" t="s">
        <v>1287</v>
      </c>
      <c r="I134" t="s">
        <v>1301</v>
      </c>
      <c r="J134" t="s">
        <v>1303</v>
      </c>
      <c r="K134" t="s">
        <v>1308</v>
      </c>
      <c r="L134" t="s">
        <v>1312</v>
      </c>
      <c r="M134">
        <v>1</v>
      </c>
      <c r="N134">
        <v>0</v>
      </c>
      <c r="O134">
        <v>1263.58</v>
      </c>
      <c r="P134">
        <v>369.43</v>
      </c>
      <c r="Q134" t="s">
        <v>1334</v>
      </c>
      <c r="R134" t="b">
        <f t="shared" si="7"/>
        <v>0</v>
      </c>
      <c r="S134" t="b">
        <f t="shared" si="8"/>
        <v>0</v>
      </c>
      <c r="T134" t="b">
        <f t="shared" si="9"/>
        <v>0</v>
      </c>
    </row>
    <row r="135" spans="1:20" x14ac:dyDescent="0.3">
      <c r="A135">
        <v>134</v>
      </c>
      <c r="B135" t="s">
        <v>150</v>
      </c>
      <c r="C135" s="2">
        <v>45800</v>
      </c>
      <c r="D135" s="2">
        <v>45804</v>
      </c>
      <c r="E135" t="s">
        <v>1019</v>
      </c>
      <c r="F135" t="s">
        <v>1117</v>
      </c>
      <c r="G135" t="s">
        <v>1286</v>
      </c>
      <c r="H135" t="s">
        <v>1289</v>
      </c>
      <c r="I135" t="s">
        <v>1297</v>
      </c>
      <c r="J135" t="s">
        <v>1304</v>
      </c>
      <c r="K135" t="s">
        <v>1309</v>
      </c>
      <c r="L135" t="s">
        <v>1325</v>
      </c>
      <c r="M135">
        <v>4</v>
      </c>
      <c r="N135">
        <v>0</v>
      </c>
      <c r="O135">
        <v>5378.6</v>
      </c>
      <c r="P135">
        <v>1940.4</v>
      </c>
      <c r="Q135" t="s">
        <v>1331</v>
      </c>
      <c r="R135" t="b">
        <f t="shared" si="7"/>
        <v>0</v>
      </c>
      <c r="S135" t="b">
        <f t="shared" si="8"/>
        <v>0</v>
      </c>
      <c r="T135" t="b">
        <f t="shared" si="9"/>
        <v>0</v>
      </c>
    </row>
    <row r="136" spans="1:20" x14ac:dyDescent="0.3">
      <c r="A136">
        <v>135</v>
      </c>
      <c r="B136" t="s">
        <v>151</v>
      </c>
      <c r="C136" s="2">
        <v>45820</v>
      </c>
      <c r="D136" s="2">
        <v>45822</v>
      </c>
      <c r="E136" t="s">
        <v>1019</v>
      </c>
      <c r="F136" t="s">
        <v>1118</v>
      </c>
      <c r="G136" t="s">
        <v>1270</v>
      </c>
      <c r="H136" t="s">
        <v>1289</v>
      </c>
      <c r="I136" t="s">
        <v>1292</v>
      </c>
      <c r="J136" t="s">
        <v>1303</v>
      </c>
      <c r="K136" t="s">
        <v>1307</v>
      </c>
      <c r="L136" t="s">
        <v>1322</v>
      </c>
      <c r="M136">
        <v>1</v>
      </c>
      <c r="N136">
        <v>0</v>
      </c>
      <c r="O136">
        <v>674.8</v>
      </c>
      <c r="P136">
        <v>210.16</v>
      </c>
      <c r="Q136" t="s">
        <v>1331</v>
      </c>
      <c r="R136" t="b">
        <f t="shared" si="7"/>
        <v>0</v>
      </c>
      <c r="S136" t="b">
        <f t="shared" si="8"/>
        <v>0</v>
      </c>
      <c r="T136" t="b">
        <f t="shared" si="9"/>
        <v>0</v>
      </c>
    </row>
    <row r="137" spans="1:20" x14ac:dyDescent="0.3">
      <c r="A137">
        <v>136</v>
      </c>
      <c r="B137" t="s">
        <v>152</v>
      </c>
      <c r="C137" s="2">
        <v>45682</v>
      </c>
      <c r="D137" s="2">
        <v>45687</v>
      </c>
      <c r="E137" t="s">
        <v>1017</v>
      </c>
      <c r="F137" t="s">
        <v>1066</v>
      </c>
      <c r="G137" t="s">
        <v>1271</v>
      </c>
      <c r="H137" t="s">
        <v>1289</v>
      </c>
      <c r="I137" t="s">
        <v>1299</v>
      </c>
      <c r="J137" t="s">
        <v>1304</v>
      </c>
      <c r="K137" t="s">
        <v>1307</v>
      </c>
      <c r="L137" t="s">
        <v>1314</v>
      </c>
      <c r="M137">
        <v>2</v>
      </c>
      <c r="N137">
        <v>0.15</v>
      </c>
      <c r="O137">
        <v>1508.06</v>
      </c>
      <c r="P137">
        <v>368.79</v>
      </c>
      <c r="Q137" t="s">
        <v>1333</v>
      </c>
      <c r="R137" t="b">
        <f t="shared" si="7"/>
        <v>0</v>
      </c>
      <c r="S137" t="b">
        <f t="shared" si="8"/>
        <v>0</v>
      </c>
      <c r="T137" t="b">
        <f t="shared" si="9"/>
        <v>0</v>
      </c>
    </row>
    <row r="138" spans="1:20" x14ac:dyDescent="0.3">
      <c r="A138">
        <v>137</v>
      </c>
      <c r="B138" t="s">
        <v>153</v>
      </c>
      <c r="C138" s="2">
        <v>45817</v>
      </c>
      <c r="D138" s="2">
        <v>45822</v>
      </c>
      <c r="E138" t="s">
        <v>1017</v>
      </c>
      <c r="F138" t="s">
        <v>1119</v>
      </c>
      <c r="G138" t="s">
        <v>1272</v>
      </c>
      <c r="H138" t="s">
        <v>1288</v>
      </c>
      <c r="I138" t="s">
        <v>1297</v>
      </c>
      <c r="J138" t="s">
        <v>1304</v>
      </c>
      <c r="K138" t="s">
        <v>1307</v>
      </c>
      <c r="L138" t="s">
        <v>1314</v>
      </c>
      <c r="M138">
        <v>2</v>
      </c>
      <c r="N138">
        <v>0</v>
      </c>
      <c r="O138">
        <v>1711.28</v>
      </c>
      <c r="P138">
        <v>379.84</v>
      </c>
      <c r="Q138" t="s">
        <v>1331</v>
      </c>
      <c r="R138" t="b">
        <f t="shared" si="7"/>
        <v>0</v>
      </c>
      <c r="S138" t="b">
        <f t="shared" si="8"/>
        <v>0</v>
      </c>
      <c r="T138" t="b">
        <f t="shared" si="9"/>
        <v>0</v>
      </c>
    </row>
    <row r="139" spans="1:20" x14ac:dyDescent="0.3">
      <c r="A139">
        <v>138</v>
      </c>
      <c r="B139" t="s">
        <v>154</v>
      </c>
      <c r="C139" s="2">
        <v>45740</v>
      </c>
      <c r="D139" s="2">
        <v>45741</v>
      </c>
      <c r="E139" t="s">
        <v>1017</v>
      </c>
      <c r="F139" t="s">
        <v>1120</v>
      </c>
      <c r="G139" t="s">
        <v>1274</v>
      </c>
      <c r="H139" t="s">
        <v>1288</v>
      </c>
      <c r="I139" t="s">
        <v>1293</v>
      </c>
      <c r="J139" t="s">
        <v>1304</v>
      </c>
      <c r="K139" t="s">
        <v>1309</v>
      </c>
      <c r="L139" t="s">
        <v>1329</v>
      </c>
      <c r="M139">
        <v>1</v>
      </c>
      <c r="N139">
        <v>0.15</v>
      </c>
      <c r="O139">
        <v>1556.4</v>
      </c>
      <c r="P139">
        <v>332.92</v>
      </c>
      <c r="Q139" t="s">
        <v>1331</v>
      </c>
      <c r="R139" t="b">
        <f t="shared" si="7"/>
        <v>0</v>
      </c>
      <c r="S139" t="b">
        <f t="shared" si="8"/>
        <v>0</v>
      </c>
      <c r="T139" t="b">
        <f t="shared" si="9"/>
        <v>0</v>
      </c>
    </row>
    <row r="140" spans="1:20" x14ac:dyDescent="0.3">
      <c r="A140">
        <v>139</v>
      </c>
      <c r="B140" t="s">
        <v>155</v>
      </c>
      <c r="C140" s="2">
        <v>45965</v>
      </c>
      <c r="D140" s="2">
        <v>45969</v>
      </c>
      <c r="E140" t="s">
        <v>1017</v>
      </c>
      <c r="F140" t="s">
        <v>1098</v>
      </c>
      <c r="G140" t="s">
        <v>1267</v>
      </c>
      <c r="H140" t="s">
        <v>1287</v>
      </c>
      <c r="I140" t="s">
        <v>1298</v>
      </c>
      <c r="J140" t="s">
        <v>1303</v>
      </c>
      <c r="K140" t="s">
        <v>1306</v>
      </c>
      <c r="L140" t="s">
        <v>1323</v>
      </c>
      <c r="M140">
        <v>2</v>
      </c>
      <c r="N140">
        <v>0.05</v>
      </c>
      <c r="O140">
        <v>342.92</v>
      </c>
      <c r="P140">
        <v>89.04</v>
      </c>
      <c r="Q140" t="s">
        <v>1333</v>
      </c>
      <c r="R140" t="b">
        <f t="shared" si="7"/>
        <v>0</v>
      </c>
      <c r="S140" t="b">
        <f t="shared" si="8"/>
        <v>0</v>
      </c>
      <c r="T140" t="b">
        <f t="shared" si="9"/>
        <v>0</v>
      </c>
    </row>
    <row r="141" spans="1:20" x14ac:dyDescent="0.3">
      <c r="A141">
        <v>140</v>
      </c>
      <c r="B141" t="s">
        <v>156</v>
      </c>
      <c r="C141" s="2">
        <v>45719</v>
      </c>
      <c r="D141" s="2">
        <v>45722</v>
      </c>
      <c r="E141" t="s">
        <v>1017</v>
      </c>
      <c r="F141" t="s">
        <v>1121</v>
      </c>
      <c r="G141" t="s">
        <v>1274</v>
      </c>
      <c r="H141" t="s">
        <v>1288</v>
      </c>
      <c r="I141" t="s">
        <v>1301</v>
      </c>
      <c r="J141" t="s">
        <v>1303</v>
      </c>
      <c r="K141" t="s">
        <v>1307</v>
      </c>
      <c r="L141" t="s">
        <v>1315</v>
      </c>
      <c r="M141">
        <v>5</v>
      </c>
      <c r="N141">
        <v>0</v>
      </c>
      <c r="O141">
        <v>8921.76</v>
      </c>
      <c r="P141">
        <v>1923.04</v>
      </c>
      <c r="Q141" t="s">
        <v>1331</v>
      </c>
      <c r="R141" t="b">
        <f t="shared" si="7"/>
        <v>0</v>
      </c>
      <c r="S141" t="b">
        <f t="shared" si="8"/>
        <v>0</v>
      </c>
      <c r="T141" t="b">
        <f t="shared" si="9"/>
        <v>0</v>
      </c>
    </row>
    <row r="142" spans="1:20" x14ac:dyDescent="0.3">
      <c r="A142">
        <v>141</v>
      </c>
      <c r="B142" t="s">
        <v>157</v>
      </c>
      <c r="C142" s="2">
        <v>45817</v>
      </c>
      <c r="D142" s="2">
        <v>45821</v>
      </c>
      <c r="E142" t="s">
        <v>1018</v>
      </c>
      <c r="F142" t="s">
        <v>1122</v>
      </c>
      <c r="G142" t="s">
        <v>1276</v>
      </c>
      <c r="H142" t="s">
        <v>1287</v>
      </c>
      <c r="I142" t="s">
        <v>1298</v>
      </c>
      <c r="J142" t="s">
        <v>1303</v>
      </c>
      <c r="K142" t="s">
        <v>1307</v>
      </c>
      <c r="L142" t="s">
        <v>1315</v>
      </c>
      <c r="M142">
        <v>1</v>
      </c>
      <c r="N142">
        <v>0</v>
      </c>
      <c r="O142">
        <v>1775.87</v>
      </c>
      <c r="P142">
        <v>564.84</v>
      </c>
      <c r="Q142" t="s">
        <v>1331</v>
      </c>
      <c r="R142" t="b">
        <f t="shared" si="7"/>
        <v>0</v>
      </c>
      <c r="S142" t="b">
        <f t="shared" si="8"/>
        <v>0</v>
      </c>
      <c r="T142" t="b">
        <f t="shared" si="9"/>
        <v>0</v>
      </c>
    </row>
    <row r="143" spans="1:20" x14ac:dyDescent="0.3">
      <c r="A143">
        <v>142</v>
      </c>
      <c r="B143" t="s">
        <v>158</v>
      </c>
      <c r="C143" s="2">
        <v>45884</v>
      </c>
      <c r="D143" s="2">
        <v>45885</v>
      </c>
      <c r="E143" t="s">
        <v>1017</v>
      </c>
      <c r="F143" t="s">
        <v>1117</v>
      </c>
      <c r="G143" t="s">
        <v>1280</v>
      </c>
      <c r="H143" t="s">
        <v>1287</v>
      </c>
      <c r="I143" t="s">
        <v>1297</v>
      </c>
      <c r="J143" t="s">
        <v>1304</v>
      </c>
      <c r="K143" t="s">
        <v>1309</v>
      </c>
      <c r="L143" t="s">
        <v>1325</v>
      </c>
      <c r="M143">
        <v>1</v>
      </c>
      <c r="N143">
        <v>0.15</v>
      </c>
      <c r="O143">
        <v>1116.75</v>
      </c>
      <c r="P143">
        <v>88.05</v>
      </c>
      <c r="Q143" t="s">
        <v>1331</v>
      </c>
      <c r="R143" t="b">
        <f t="shared" si="7"/>
        <v>0</v>
      </c>
      <c r="S143" t="b">
        <f t="shared" si="8"/>
        <v>0</v>
      </c>
      <c r="T143" t="b">
        <f t="shared" si="9"/>
        <v>0</v>
      </c>
    </row>
    <row r="144" spans="1:20" x14ac:dyDescent="0.3">
      <c r="A144">
        <v>143</v>
      </c>
      <c r="B144" t="s">
        <v>159</v>
      </c>
      <c r="C144" s="2">
        <v>45754</v>
      </c>
      <c r="D144" s="2">
        <v>45756</v>
      </c>
      <c r="E144" t="s">
        <v>1018</v>
      </c>
      <c r="F144" t="s">
        <v>1051</v>
      </c>
      <c r="G144" t="s">
        <v>1281</v>
      </c>
      <c r="H144" t="s">
        <v>1287</v>
      </c>
      <c r="I144" t="s">
        <v>1299</v>
      </c>
      <c r="J144" t="s">
        <v>1304</v>
      </c>
      <c r="K144" t="s">
        <v>1308</v>
      </c>
      <c r="L144" t="s">
        <v>1318</v>
      </c>
      <c r="M144">
        <v>3</v>
      </c>
      <c r="N144">
        <v>0</v>
      </c>
      <c r="O144">
        <v>17206.900000000001</v>
      </c>
      <c r="P144">
        <v>6143.82</v>
      </c>
      <c r="Q144" t="s">
        <v>1331</v>
      </c>
      <c r="R144" t="b">
        <f t="shared" si="7"/>
        <v>0</v>
      </c>
      <c r="S144" t="b">
        <f t="shared" si="8"/>
        <v>0</v>
      </c>
      <c r="T144" t="b">
        <f t="shared" si="9"/>
        <v>0</v>
      </c>
    </row>
    <row r="145" spans="1:20" x14ac:dyDescent="0.3">
      <c r="A145">
        <v>144</v>
      </c>
      <c r="B145" t="s">
        <v>160</v>
      </c>
      <c r="C145" s="2">
        <v>45726</v>
      </c>
      <c r="D145" s="2">
        <v>45730</v>
      </c>
      <c r="E145" t="s">
        <v>1017</v>
      </c>
      <c r="F145" t="s">
        <v>1034</v>
      </c>
      <c r="G145" t="s">
        <v>1281</v>
      </c>
      <c r="H145" t="s">
        <v>1288</v>
      </c>
      <c r="I145" t="s">
        <v>1299</v>
      </c>
      <c r="J145" t="s">
        <v>1304</v>
      </c>
      <c r="K145" t="s">
        <v>1306</v>
      </c>
      <c r="L145" t="s">
        <v>1323</v>
      </c>
      <c r="M145">
        <v>1</v>
      </c>
      <c r="N145">
        <v>0.1</v>
      </c>
      <c r="P145">
        <v>26.11</v>
      </c>
      <c r="Q145" t="s">
        <v>1334</v>
      </c>
      <c r="R145" t="b">
        <f t="shared" si="7"/>
        <v>0</v>
      </c>
      <c r="S145" t="b">
        <f t="shared" si="8"/>
        <v>0</v>
      </c>
      <c r="T145" t="b">
        <f t="shared" si="9"/>
        <v>0</v>
      </c>
    </row>
    <row r="146" spans="1:20" x14ac:dyDescent="0.3">
      <c r="A146">
        <v>145</v>
      </c>
      <c r="B146" t="s">
        <v>161</v>
      </c>
      <c r="C146" s="2">
        <v>45885</v>
      </c>
      <c r="D146" s="2">
        <v>45888</v>
      </c>
      <c r="E146" t="s">
        <v>1018</v>
      </c>
      <c r="F146" t="s">
        <v>1062</v>
      </c>
      <c r="G146" t="s">
        <v>1281</v>
      </c>
      <c r="H146" t="s">
        <v>1287</v>
      </c>
      <c r="I146" t="s">
        <v>1298</v>
      </c>
      <c r="J146" t="s">
        <v>1303</v>
      </c>
      <c r="K146" t="s">
        <v>1309</v>
      </c>
      <c r="L146" t="s">
        <v>1317</v>
      </c>
      <c r="M146">
        <v>2</v>
      </c>
      <c r="N146">
        <v>0.05</v>
      </c>
      <c r="O146">
        <v>1589.56</v>
      </c>
      <c r="P146">
        <v>297.64</v>
      </c>
      <c r="Q146" t="s">
        <v>1333</v>
      </c>
      <c r="R146" t="b">
        <f t="shared" si="7"/>
        <v>0</v>
      </c>
      <c r="S146" t="b">
        <f t="shared" si="8"/>
        <v>0</v>
      </c>
      <c r="T146" t="b">
        <f t="shared" si="9"/>
        <v>0</v>
      </c>
    </row>
    <row r="147" spans="1:20" x14ac:dyDescent="0.3">
      <c r="A147">
        <v>146</v>
      </c>
      <c r="B147" t="s">
        <v>162</v>
      </c>
      <c r="C147" s="2">
        <v>45994</v>
      </c>
      <c r="D147" s="2">
        <v>45995</v>
      </c>
      <c r="E147" t="s">
        <v>1017</v>
      </c>
      <c r="F147" t="s">
        <v>1123</v>
      </c>
      <c r="G147" t="s">
        <v>1283</v>
      </c>
      <c r="H147" t="s">
        <v>1288</v>
      </c>
      <c r="I147" t="s">
        <v>1301</v>
      </c>
      <c r="J147" t="s">
        <v>1303</v>
      </c>
      <c r="K147" t="s">
        <v>1307</v>
      </c>
      <c r="L147" t="s">
        <v>1311</v>
      </c>
      <c r="M147">
        <v>1</v>
      </c>
      <c r="N147">
        <v>0.1</v>
      </c>
      <c r="O147">
        <v>281.91000000000003</v>
      </c>
      <c r="P147">
        <v>56.62</v>
      </c>
      <c r="Q147" t="s">
        <v>1332</v>
      </c>
      <c r="R147" t="b">
        <f t="shared" si="7"/>
        <v>0</v>
      </c>
      <c r="S147" t="b">
        <f t="shared" si="8"/>
        <v>0</v>
      </c>
      <c r="T147" t="b">
        <f t="shared" si="9"/>
        <v>0</v>
      </c>
    </row>
    <row r="148" spans="1:20" x14ac:dyDescent="0.3">
      <c r="A148">
        <v>147</v>
      </c>
      <c r="B148" t="s">
        <v>163</v>
      </c>
      <c r="C148" s="2">
        <v>45915</v>
      </c>
      <c r="D148" s="2">
        <v>45920</v>
      </c>
      <c r="E148" t="s">
        <v>1018</v>
      </c>
      <c r="F148" t="s">
        <v>1124</v>
      </c>
      <c r="G148" t="s">
        <v>1278</v>
      </c>
      <c r="H148" t="s">
        <v>1287</v>
      </c>
      <c r="I148" t="s">
        <v>1295</v>
      </c>
      <c r="J148" t="s">
        <v>1305</v>
      </c>
      <c r="K148" t="s">
        <v>1306</v>
      </c>
      <c r="L148" t="s">
        <v>1328</v>
      </c>
      <c r="M148">
        <v>3</v>
      </c>
      <c r="N148">
        <v>0.05</v>
      </c>
      <c r="O148">
        <v>344.82</v>
      </c>
      <c r="P148">
        <v>67.760000000000005</v>
      </c>
      <c r="Q148" t="s">
        <v>1331</v>
      </c>
      <c r="R148" t="b">
        <f t="shared" si="7"/>
        <v>0</v>
      </c>
      <c r="S148" t="b">
        <f t="shared" si="8"/>
        <v>0</v>
      </c>
      <c r="T148" t="b">
        <f t="shared" si="9"/>
        <v>0</v>
      </c>
    </row>
    <row r="149" spans="1:20" x14ac:dyDescent="0.3">
      <c r="A149">
        <v>148</v>
      </c>
      <c r="B149" t="s">
        <v>164</v>
      </c>
      <c r="C149" s="2">
        <v>45771</v>
      </c>
      <c r="D149" s="2">
        <v>45775</v>
      </c>
      <c r="E149" t="s">
        <v>1017</v>
      </c>
      <c r="F149" t="s">
        <v>1125</v>
      </c>
      <c r="G149" t="s">
        <v>1275</v>
      </c>
      <c r="H149" t="s">
        <v>1288</v>
      </c>
      <c r="I149" t="s">
        <v>1294</v>
      </c>
      <c r="J149" t="s">
        <v>1305</v>
      </c>
      <c r="K149" t="s">
        <v>1307</v>
      </c>
      <c r="L149" t="s">
        <v>1316</v>
      </c>
      <c r="M149">
        <v>2</v>
      </c>
      <c r="N149">
        <v>0.1</v>
      </c>
      <c r="O149">
        <v>874.91</v>
      </c>
      <c r="P149">
        <v>231.9</v>
      </c>
      <c r="Q149" t="s">
        <v>1331</v>
      </c>
      <c r="R149" t="b">
        <f t="shared" si="7"/>
        <v>0</v>
      </c>
      <c r="S149" t="b">
        <f t="shared" si="8"/>
        <v>0</v>
      </c>
      <c r="T149" t="b">
        <f t="shared" si="9"/>
        <v>0</v>
      </c>
    </row>
    <row r="150" spans="1:20" x14ac:dyDescent="0.3">
      <c r="A150">
        <v>149</v>
      </c>
      <c r="B150" t="s">
        <v>165</v>
      </c>
      <c r="C150" s="2">
        <v>45806</v>
      </c>
      <c r="D150" s="2">
        <v>45810</v>
      </c>
      <c r="E150" t="s">
        <v>1018</v>
      </c>
      <c r="F150" t="s">
        <v>1126</v>
      </c>
      <c r="G150" t="s">
        <v>1280</v>
      </c>
      <c r="H150" t="s">
        <v>1287</v>
      </c>
      <c r="I150" t="s">
        <v>1291</v>
      </c>
      <c r="J150" t="s">
        <v>1302</v>
      </c>
      <c r="K150" t="s">
        <v>1307</v>
      </c>
      <c r="L150" t="s">
        <v>1316</v>
      </c>
      <c r="M150">
        <v>4</v>
      </c>
      <c r="N150">
        <v>0.05</v>
      </c>
      <c r="O150">
        <v>1811.6</v>
      </c>
      <c r="P150">
        <v>446.31</v>
      </c>
      <c r="Q150" t="s">
        <v>1331</v>
      </c>
      <c r="R150" t="b">
        <f t="shared" si="7"/>
        <v>0</v>
      </c>
      <c r="S150" t="b">
        <f t="shared" si="8"/>
        <v>0</v>
      </c>
      <c r="T150" t="b">
        <f t="shared" si="9"/>
        <v>0</v>
      </c>
    </row>
    <row r="151" spans="1:20" x14ac:dyDescent="0.3">
      <c r="A151">
        <v>150</v>
      </c>
      <c r="B151" t="s">
        <v>166</v>
      </c>
      <c r="C151" s="2">
        <v>45745</v>
      </c>
      <c r="D151" s="2">
        <v>45749</v>
      </c>
      <c r="E151" t="s">
        <v>1017</v>
      </c>
      <c r="F151" t="s">
        <v>1127</v>
      </c>
      <c r="G151" t="s">
        <v>1267</v>
      </c>
      <c r="H151" t="s">
        <v>1287</v>
      </c>
      <c r="I151" t="s">
        <v>1293</v>
      </c>
      <c r="J151" t="s">
        <v>1304</v>
      </c>
      <c r="K151" t="s">
        <v>1308</v>
      </c>
      <c r="L151" t="s">
        <v>1319</v>
      </c>
      <c r="M151">
        <v>1</v>
      </c>
      <c r="N151">
        <v>0.1</v>
      </c>
      <c r="O151">
        <v>4235.46</v>
      </c>
      <c r="P151">
        <v>885.33</v>
      </c>
      <c r="Q151" t="s">
        <v>1333</v>
      </c>
      <c r="R151" t="b">
        <f t="shared" si="7"/>
        <v>0</v>
      </c>
      <c r="S151" t="b">
        <f t="shared" si="8"/>
        <v>0</v>
      </c>
      <c r="T151" t="b">
        <f t="shared" si="9"/>
        <v>0</v>
      </c>
    </row>
    <row r="152" spans="1:20" x14ac:dyDescent="0.3">
      <c r="A152">
        <v>151</v>
      </c>
      <c r="B152" t="s">
        <v>167</v>
      </c>
      <c r="C152" s="2">
        <v>46019</v>
      </c>
      <c r="D152" s="2">
        <v>46021</v>
      </c>
      <c r="E152" t="s">
        <v>1018</v>
      </c>
      <c r="F152" t="s">
        <v>1128</v>
      </c>
      <c r="G152" t="s">
        <v>1283</v>
      </c>
      <c r="H152" t="s">
        <v>1287</v>
      </c>
      <c r="I152" t="s">
        <v>1294</v>
      </c>
      <c r="J152" t="s">
        <v>1305</v>
      </c>
      <c r="K152" t="s">
        <v>1308</v>
      </c>
      <c r="L152" t="s">
        <v>1312</v>
      </c>
      <c r="M152">
        <v>3</v>
      </c>
      <c r="N152">
        <v>0</v>
      </c>
      <c r="O152">
        <v>3705.79</v>
      </c>
      <c r="P152">
        <v>1097.3900000000001</v>
      </c>
      <c r="Q152" t="s">
        <v>1333</v>
      </c>
      <c r="R152" t="b">
        <f t="shared" si="7"/>
        <v>0</v>
      </c>
      <c r="S152" t="b">
        <f t="shared" si="8"/>
        <v>0</v>
      </c>
      <c r="T152" t="b">
        <f t="shared" si="9"/>
        <v>0</v>
      </c>
    </row>
    <row r="153" spans="1:20" x14ac:dyDescent="0.3">
      <c r="A153">
        <v>152</v>
      </c>
      <c r="B153" t="s">
        <v>168</v>
      </c>
      <c r="C153" s="2">
        <v>45888</v>
      </c>
      <c r="D153" s="2">
        <v>45891</v>
      </c>
      <c r="E153" t="s">
        <v>1018</v>
      </c>
      <c r="F153" t="s">
        <v>1129</v>
      </c>
      <c r="G153" t="s">
        <v>1283</v>
      </c>
      <c r="H153" t="s">
        <v>1287</v>
      </c>
      <c r="I153" t="s">
        <v>1294</v>
      </c>
      <c r="J153" t="s">
        <v>1305</v>
      </c>
      <c r="K153" t="s">
        <v>1307</v>
      </c>
      <c r="L153" t="s">
        <v>1322</v>
      </c>
      <c r="M153">
        <v>2</v>
      </c>
      <c r="N153">
        <v>0.15</v>
      </c>
      <c r="O153">
        <v>1151.23</v>
      </c>
      <c r="P153">
        <v>185.1</v>
      </c>
      <c r="Q153" t="s">
        <v>1332</v>
      </c>
      <c r="R153" t="b">
        <f t="shared" si="7"/>
        <v>0</v>
      </c>
      <c r="S153" t="b">
        <f t="shared" si="8"/>
        <v>0</v>
      </c>
      <c r="T153" t="b">
        <f t="shared" si="9"/>
        <v>0</v>
      </c>
    </row>
    <row r="154" spans="1:20" x14ac:dyDescent="0.3">
      <c r="A154">
        <v>153</v>
      </c>
      <c r="B154" t="s">
        <v>169</v>
      </c>
      <c r="C154" s="2">
        <v>45732</v>
      </c>
      <c r="D154" s="2">
        <v>45735</v>
      </c>
      <c r="E154" t="s">
        <v>1017</v>
      </c>
      <c r="F154" t="s">
        <v>1130</v>
      </c>
      <c r="G154" t="s">
        <v>1283</v>
      </c>
      <c r="H154" t="s">
        <v>1287</v>
      </c>
      <c r="I154" t="s">
        <v>1294</v>
      </c>
      <c r="J154" t="s">
        <v>1305</v>
      </c>
      <c r="K154" t="s">
        <v>1309</v>
      </c>
      <c r="L154" t="s">
        <v>1317</v>
      </c>
      <c r="M154">
        <v>5</v>
      </c>
      <c r="N154">
        <v>0.05</v>
      </c>
      <c r="O154">
        <v>3925.04</v>
      </c>
      <c r="P154">
        <v>1072.3599999999999</v>
      </c>
      <c r="Q154" t="s">
        <v>1332</v>
      </c>
      <c r="R154" t="b">
        <f t="shared" si="7"/>
        <v>0</v>
      </c>
      <c r="S154" t="b">
        <f t="shared" si="8"/>
        <v>0</v>
      </c>
      <c r="T154" t="b">
        <f t="shared" si="9"/>
        <v>0</v>
      </c>
    </row>
    <row r="155" spans="1:20" x14ac:dyDescent="0.3">
      <c r="A155">
        <v>154</v>
      </c>
      <c r="B155" t="s">
        <v>170</v>
      </c>
      <c r="C155" s="2">
        <v>46016</v>
      </c>
      <c r="D155" s="2">
        <v>46021</v>
      </c>
      <c r="E155" t="s">
        <v>1017</v>
      </c>
      <c r="F155" t="s">
        <v>1100</v>
      </c>
      <c r="G155" t="s">
        <v>1276</v>
      </c>
      <c r="H155" t="s">
        <v>1287</v>
      </c>
      <c r="I155" t="s">
        <v>1295</v>
      </c>
      <c r="J155" t="s">
        <v>1305</v>
      </c>
      <c r="K155" t="s">
        <v>1307</v>
      </c>
      <c r="L155" t="s">
        <v>1322</v>
      </c>
      <c r="M155">
        <v>2</v>
      </c>
      <c r="N155">
        <v>0.1</v>
      </c>
      <c r="O155">
        <v>1198.95</v>
      </c>
      <c r="P155">
        <v>285.52999999999997</v>
      </c>
      <c r="Q155" t="s">
        <v>1334</v>
      </c>
      <c r="R155" t="b">
        <f t="shared" si="7"/>
        <v>0</v>
      </c>
      <c r="S155" t="b">
        <f t="shared" si="8"/>
        <v>0</v>
      </c>
      <c r="T155" t="b">
        <f t="shared" si="9"/>
        <v>0</v>
      </c>
    </row>
    <row r="156" spans="1:20" x14ac:dyDescent="0.3">
      <c r="A156">
        <v>155</v>
      </c>
      <c r="B156" t="s">
        <v>171</v>
      </c>
      <c r="C156" s="2">
        <v>45911</v>
      </c>
      <c r="D156" s="2">
        <v>45913</v>
      </c>
      <c r="E156" t="s">
        <v>1017</v>
      </c>
      <c r="F156" t="s">
        <v>1131</v>
      </c>
      <c r="G156" t="s">
        <v>1275</v>
      </c>
      <c r="H156" t="s">
        <v>1288</v>
      </c>
      <c r="I156" t="s">
        <v>1300</v>
      </c>
      <c r="J156" t="s">
        <v>1305</v>
      </c>
      <c r="K156" t="s">
        <v>1306</v>
      </c>
      <c r="L156" t="s">
        <v>1321</v>
      </c>
      <c r="M156">
        <v>1</v>
      </c>
      <c r="N156">
        <v>0</v>
      </c>
      <c r="O156">
        <v>454.47</v>
      </c>
      <c r="P156">
        <v>121.28</v>
      </c>
      <c r="Q156" t="s">
        <v>1331</v>
      </c>
      <c r="R156" t="b">
        <f t="shared" si="7"/>
        <v>0</v>
      </c>
      <c r="S156" t="b">
        <f t="shared" si="8"/>
        <v>0</v>
      </c>
      <c r="T156" t="b">
        <f t="shared" si="9"/>
        <v>0</v>
      </c>
    </row>
    <row r="157" spans="1:20" x14ac:dyDescent="0.3">
      <c r="A157">
        <v>156</v>
      </c>
      <c r="B157" t="s">
        <v>172</v>
      </c>
      <c r="C157" s="2">
        <v>45849</v>
      </c>
      <c r="D157" s="2">
        <v>45852</v>
      </c>
      <c r="E157" t="s">
        <v>1017</v>
      </c>
      <c r="F157" t="s">
        <v>1132</v>
      </c>
      <c r="G157" t="s">
        <v>1277</v>
      </c>
      <c r="H157" t="s">
        <v>1287</v>
      </c>
      <c r="I157" t="s">
        <v>1295</v>
      </c>
      <c r="J157" t="s">
        <v>1305</v>
      </c>
      <c r="K157" t="s">
        <v>1308</v>
      </c>
      <c r="L157" t="s">
        <v>1312</v>
      </c>
      <c r="M157">
        <v>3</v>
      </c>
      <c r="N157">
        <v>0.15</v>
      </c>
      <c r="O157">
        <v>3292.64</v>
      </c>
      <c r="P157">
        <v>761.58</v>
      </c>
      <c r="Q157" t="s">
        <v>1331</v>
      </c>
      <c r="R157" t="b">
        <f t="shared" si="7"/>
        <v>0</v>
      </c>
      <c r="S157" t="b">
        <f t="shared" si="8"/>
        <v>0</v>
      </c>
      <c r="T157" t="b">
        <f t="shared" si="9"/>
        <v>0</v>
      </c>
    </row>
    <row r="158" spans="1:20" x14ac:dyDescent="0.3">
      <c r="A158">
        <v>157</v>
      </c>
      <c r="B158" t="s">
        <v>173</v>
      </c>
      <c r="C158" s="2">
        <v>45818</v>
      </c>
      <c r="D158" s="2">
        <v>45819</v>
      </c>
      <c r="E158" t="s">
        <v>1017</v>
      </c>
      <c r="F158" t="s">
        <v>1103</v>
      </c>
      <c r="G158" t="s">
        <v>1286</v>
      </c>
      <c r="H158" t="s">
        <v>1289</v>
      </c>
      <c r="I158" t="s">
        <v>1290</v>
      </c>
      <c r="J158" t="s">
        <v>1302</v>
      </c>
      <c r="K158" t="s">
        <v>1308</v>
      </c>
      <c r="L158" t="s">
        <v>1319</v>
      </c>
      <c r="M158">
        <v>3</v>
      </c>
      <c r="N158">
        <v>0.05</v>
      </c>
      <c r="O158">
        <v>13287.44</v>
      </c>
      <c r="P158">
        <v>3364.18</v>
      </c>
      <c r="Q158" t="s">
        <v>1332</v>
      </c>
      <c r="R158" t="b">
        <f t="shared" si="7"/>
        <v>0</v>
      </c>
      <c r="S158" t="b">
        <f t="shared" si="8"/>
        <v>0</v>
      </c>
      <c r="T158" t="b">
        <f t="shared" si="9"/>
        <v>0</v>
      </c>
    </row>
    <row r="159" spans="1:20" x14ac:dyDescent="0.3">
      <c r="A159">
        <v>158</v>
      </c>
      <c r="B159" t="s">
        <v>174</v>
      </c>
      <c r="C159" s="2">
        <v>45707</v>
      </c>
      <c r="D159" s="2">
        <v>45710</v>
      </c>
      <c r="E159" t="s">
        <v>1018</v>
      </c>
      <c r="F159" t="s">
        <v>1065</v>
      </c>
      <c r="G159" t="s">
        <v>1286</v>
      </c>
      <c r="H159" t="s">
        <v>1287</v>
      </c>
      <c r="I159" t="s">
        <v>1298</v>
      </c>
      <c r="J159" t="s">
        <v>1303</v>
      </c>
      <c r="K159" t="s">
        <v>1308</v>
      </c>
      <c r="L159" t="s">
        <v>1326</v>
      </c>
      <c r="M159">
        <v>1</v>
      </c>
      <c r="N159">
        <v>0.05</v>
      </c>
      <c r="O159">
        <v>6334.02</v>
      </c>
      <c r="P159">
        <v>1960.78</v>
      </c>
      <c r="Q159" t="s">
        <v>1331</v>
      </c>
      <c r="R159" t="b">
        <f t="shared" si="7"/>
        <v>0</v>
      </c>
      <c r="S159" t="b">
        <f t="shared" si="8"/>
        <v>0</v>
      </c>
      <c r="T159" t="b">
        <f t="shared" si="9"/>
        <v>0</v>
      </c>
    </row>
    <row r="160" spans="1:20" x14ac:dyDescent="0.3">
      <c r="A160">
        <v>159</v>
      </c>
      <c r="B160" t="s">
        <v>175</v>
      </c>
      <c r="C160" s="2">
        <v>46006</v>
      </c>
      <c r="D160" s="2">
        <v>46011</v>
      </c>
      <c r="E160" t="s">
        <v>1019</v>
      </c>
      <c r="F160" t="s">
        <v>1133</v>
      </c>
      <c r="G160" t="s">
        <v>1286</v>
      </c>
      <c r="H160" t="s">
        <v>1288</v>
      </c>
      <c r="I160" t="s">
        <v>1296</v>
      </c>
      <c r="J160" t="s">
        <v>1304</v>
      </c>
      <c r="K160" t="s">
        <v>1307</v>
      </c>
      <c r="L160" t="s">
        <v>1311</v>
      </c>
      <c r="M160">
        <v>2</v>
      </c>
      <c r="N160">
        <v>0.2</v>
      </c>
      <c r="O160">
        <v>477.49</v>
      </c>
      <c r="P160">
        <v>54.68</v>
      </c>
      <c r="Q160" t="s">
        <v>1331</v>
      </c>
      <c r="R160" t="b">
        <f t="shared" si="7"/>
        <v>0</v>
      </c>
      <c r="S160" t="b">
        <f t="shared" si="8"/>
        <v>0</v>
      </c>
      <c r="T160" t="b">
        <f t="shared" si="9"/>
        <v>0</v>
      </c>
    </row>
    <row r="161" spans="1:20" x14ac:dyDescent="0.3">
      <c r="A161">
        <v>160</v>
      </c>
      <c r="B161" t="s">
        <v>176</v>
      </c>
      <c r="C161" s="2">
        <v>45954</v>
      </c>
      <c r="D161" s="2">
        <v>45958</v>
      </c>
      <c r="E161" t="s">
        <v>1019</v>
      </c>
      <c r="F161" t="s">
        <v>1134</v>
      </c>
      <c r="G161" t="s">
        <v>1283</v>
      </c>
      <c r="H161" t="s">
        <v>1287</v>
      </c>
      <c r="I161" t="s">
        <v>1299</v>
      </c>
      <c r="J161" t="s">
        <v>1304</v>
      </c>
      <c r="K161" t="s">
        <v>1307</v>
      </c>
      <c r="L161" t="s">
        <v>1322</v>
      </c>
      <c r="M161">
        <v>3</v>
      </c>
      <c r="N161">
        <v>0</v>
      </c>
      <c r="O161">
        <v>2019.69</v>
      </c>
      <c r="P161">
        <v>552.28</v>
      </c>
      <c r="Q161" t="s">
        <v>1331</v>
      </c>
      <c r="R161" t="b">
        <f t="shared" si="7"/>
        <v>0</v>
      </c>
      <c r="S161" t="b">
        <f t="shared" si="8"/>
        <v>0</v>
      </c>
      <c r="T161" t="b">
        <f t="shared" si="9"/>
        <v>0</v>
      </c>
    </row>
    <row r="162" spans="1:20" x14ac:dyDescent="0.3">
      <c r="A162">
        <v>161</v>
      </c>
      <c r="B162" t="s">
        <v>177</v>
      </c>
      <c r="C162" s="2">
        <v>45777</v>
      </c>
      <c r="D162" s="2">
        <v>45779</v>
      </c>
      <c r="E162" t="s">
        <v>1017</v>
      </c>
      <c r="F162" t="s">
        <v>1096</v>
      </c>
      <c r="G162" t="s">
        <v>1286</v>
      </c>
      <c r="H162" t="s">
        <v>1287</v>
      </c>
      <c r="I162" t="s">
        <v>1292</v>
      </c>
      <c r="J162" t="s">
        <v>1303</v>
      </c>
      <c r="K162" t="s">
        <v>1309</v>
      </c>
      <c r="L162" t="s">
        <v>1313</v>
      </c>
      <c r="M162">
        <v>1</v>
      </c>
      <c r="N162">
        <v>0.2</v>
      </c>
      <c r="O162">
        <v>1171.8499999999999</v>
      </c>
      <c r="P162">
        <v>14.8</v>
      </c>
      <c r="Q162" t="s">
        <v>1333</v>
      </c>
      <c r="R162" t="b">
        <f t="shared" si="7"/>
        <v>0</v>
      </c>
      <c r="S162" t="b">
        <f t="shared" si="8"/>
        <v>0</v>
      </c>
      <c r="T162" t="b">
        <f t="shared" si="9"/>
        <v>0</v>
      </c>
    </row>
    <row r="163" spans="1:20" x14ac:dyDescent="0.3">
      <c r="A163">
        <v>162</v>
      </c>
      <c r="B163" t="s">
        <v>178</v>
      </c>
      <c r="C163" s="2">
        <v>45853</v>
      </c>
      <c r="D163" s="2">
        <v>45855</v>
      </c>
      <c r="E163" t="s">
        <v>1018</v>
      </c>
      <c r="F163" t="s">
        <v>1118</v>
      </c>
      <c r="G163" t="s">
        <v>1281</v>
      </c>
      <c r="H163" t="s">
        <v>1289</v>
      </c>
      <c r="I163" t="s">
        <v>1293</v>
      </c>
      <c r="J163" t="s">
        <v>1304</v>
      </c>
      <c r="K163" t="s">
        <v>1309</v>
      </c>
      <c r="L163" t="s">
        <v>1313</v>
      </c>
      <c r="M163">
        <v>4</v>
      </c>
      <c r="N163">
        <v>0</v>
      </c>
      <c r="O163">
        <v>5942.69</v>
      </c>
      <c r="P163">
        <v>1808.64</v>
      </c>
      <c r="Q163" t="s">
        <v>1333</v>
      </c>
      <c r="R163" t="b">
        <f t="shared" si="7"/>
        <v>0</v>
      </c>
      <c r="S163" t="b">
        <f t="shared" si="8"/>
        <v>0</v>
      </c>
      <c r="T163" t="b">
        <f t="shared" si="9"/>
        <v>0</v>
      </c>
    </row>
    <row r="164" spans="1:20" x14ac:dyDescent="0.3">
      <c r="A164">
        <v>163</v>
      </c>
      <c r="B164" t="s">
        <v>179</v>
      </c>
      <c r="C164" s="2">
        <v>45970</v>
      </c>
      <c r="D164" s="2">
        <v>45975</v>
      </c>
      <c r="E164" t="s">
        <v>1018</v>
      </c>
      <c r="F164" t="s">
        <v>1135</v>
      </c>
      <c r="G164" t="s">
        <v>1273</v>
      </c>
      <c r="H164" t="s">
        <v>1288</v>
      </c>
      <c r="I164" t="s">
        <v>1295</v>
      </c>
      <c r="J164" t="s">
        <v>1305</v>
      </c>
      <c r="K164" t="s">
        <v>1307</v>
      </c>
      <c r="L164" t="s">
        <v>1311</v>
      </c>
      <c r="M164">
        <v>2</v>
      </c>
      <c r="N164">
        <v>0.05</v>
      </c>
      <c r="O164">
        <v>595.44000000000005</v>
      </c>
      <c r="P164">
        <v>194</v>
      </c>
      <c r="Q164" t="s">
        <v>1333</v>
      </c>
      <c r="R164" t="b">
        <f t="shared" si="7"/>
        <v>0</v>
      </c>
      <c r="S164" t="b">
        <f t="shared" si="8"/>
        <v>0</v>
      </c>
      <c r="T164" t="b">
        <f t="shared" si="9"/>
        <v>0</v>
      </c>
    </row>
    <row r="165" spans="1:20" x14ac:dyDescent="0.3">
      <c r="A165">
        <v>164</v>
      </c>
      <c r="B165" t="s">
        <v>180</v>
      </c>
      <c r="C165" s="2">
        <v>45774</v>
      </c>
      <c r="D165" s="2">
        <v>45778</v>
      </c>
      <c r="E165" t="s">
        <v>1018</v>
      </c>
      <c r="F165" t="s">
        <v>1136</v>
      </c>
      <c r="G165" t="s">
        <v>1275</v>
      </c>
      <c r="H165" t="s">
        <v>1289</v>
      </c>
      <c r="I165" t="s">
        <v>1294</v>
      </c>
      <c r="J165" t="s">
        <v>1305</v>
      </c>
      <c r="K165" t="s">
        <v>1307</v>
      </c>
      <c r="L165" t="s">
        <v>1314</v>
      </c>
      <c r="M165">
        <v>1</v>
      </c>
      <c r="N165">
        <v>0</v>
      </c>
      <c r="O165">
        <v>891.63</v>
      </c>
      <c r="P165">
        <v>318.27999999999997</v>
      </c>
      <c r="Q165" t="s">
        <v>1331</v>
      </c>
      <c r="R165" t="b">
        <f t="shared" si="7"/>
        <v>0</v>
      </c>
      <c r="S165" t="b">
        <f t="shared" si="8"/>
        <v>0</v>
      </c>
      <c r="T165" t="b">
        <f t="shared" si="9"/>
        <v>0</v>
      </c>
    </row>
    <row r="166" spans="1:20" x14ac:dyDescent="0.3">
      <c r="A166">
        <v>165</v>
      </c>
      <c r="B166" t="s">
        <v>181</v>
      </c>
      <c r="C166" s="2">
        <v>45755</v>
      </c>
      <c r="D166" s="2">
        <v>45757</v>
      </c>
      <c r="E166" t="s">
        <v>1019</v>
      </c>
      <c r="F166" t="s">
        <v>1137</v>
      </c>
      <c r="G166" t="s">
        <v>1278</v>
      </c>
      <c r="H166" t="s">
        <v>1287</v>
      </c>
      <c r="I166" t="s">
        <v>1294</v>
      </c>
      <c r="J166" t="s">
        <v>1305</v>
      </c>
      <c r="K166" t="s">
        <v>1306</v>
      </c>
      <c r="L166" t="s">
        <v>1321</v>
      </c>
      <c r="M166">
        <v>3</v>
      </c>
      <c r="N166">
        <v>0.1</v>
      </c>
      <c r="O166">
        <v>1213.1400000000001</v>
      </c>
      <c r="P166">
        <v>331.38</v>
      </c>
      <c r="Q166" t="s">
        <v>1334</v>
      </c>
      <c r="R166" t="b">
        <f t="shared" si="7"/>
        <v>0</v>
      </c>
      <c r="S166" t="b">
        <f t="shared" si="8"/>
        <v>0</v>
      </c>
      <c r="T166" t="b">
        <f t="shared" si="9"/>
        <v>0</v>
      </c>
    </row>
    <row r="167" spans="1:20" x14ac:dyDescent="0.3">
      <c r="A167">
        <v>166</v>
      </c>
      <c r="B167" t="s">
        <v>182</v>
      </c>
      <c r="C167" s="2">
        <v>45716</v>
      </c>
      <c r="D167" s="2">
        <v>45718</v>
      </c>
      <c r="E167" t="s">
        <v>1017</v>
      </c>
      <c r="F167" t="s">
        <v>1077</v>
      </c>
      <c r="G167" t="s">
        <v>1274</v>
      </c>
      <c r="H167" t="s">
        <v>1289</v>
      </c>
      <c r="I167" t="s">
        <v>1300</v>
      </c>
      <c r="J167" t="s">
        <v>1305</v>
      </c>
      <c r="K167" t="s">
        <v>1306</v>
      </c>
      <c r="L167" t="s">
        <v>1324</v>
      </c>
      <c r="M167">
        <v>3</v>
      </c>
      <c r="N167">
        <v>0</v>
      </c>
      <c r="O167">
        <v>282.91000000000003</v>
      </c>
      <c r="P167">
        <v>72.63</v>
      </c>
      <c r="Q167" t="s">
        <v>1333</v>
      </c>
      <c r="R167" t="b">
        <f t="shared" si="7"/>
        <v>0</v>
      </c>
      <c r="S167" t="b">
        <f t="shared" si="8"/>
        <v>0</v>
      </c>
      <c r="T167" t="b">
        <f t="shared" si="9"/>
        <v>0</v>
      </c>
    </row>
    <row r="168" spans="1:20" x14ac:dyDescent="0.3">
      <c r="A168">
        <v>167</v>
      </c>
      <c r="B168" t="s">
        <v>183</v>
      </c>
      <c r="C168" s="2">
        <v>45736</v>
      </c>
      <c r="D168" s="2">
        <v>45740</v>
      </c>
      <c r="E168" t="s">
        <v>1017</v>
      </c>
      <c r="F168" t="s">
        <v>1042</v>
      </c>
      <c r="G168" t="s">
        <v>1275</v>
      </c>
      <c r="H168" t="s">
        <v>1287</v>
      </c>
      <c r="I168" t="s">
        <v>1301</v>
      </c>
      <c r="J168" t="s">
        <v>1303</v>
      </c>
      <c r="K168" t="s">
        <v>1307</v>
      </c>
      <c r="L168" t="s">
        <v>1314</v>
      </c>
      <c r="M168">
        <v>1</v>
      </c>
      <c r="N168">
        <v>0</v>
      </c>
      <c r="O168">
        <v>932.32</v>
      </c>
      <c r="P168">
        <v>332</v>
      </c>
      <c r="Q168" t="s">
        <v>1331</v>
      </c>
      <c r="R168" t="b">
        <f t="shared" si="7"/>
        <v>0</v>
      </c>
      <c r="S168" t="b">
        <f t="shared" si="8"/>
        <v>0</v>
      </c>
      <c r="T168" t="b">
        <f t="shared" si="9"/>
        <v>0</v>
      </c>
    </row>
    <row r="169" spans="1:20" x14ac:dyDescent="0.3">
      <c r="A169">
        <v>168</v>
      </c>
      <c r="B169" t="s">
        <v>184</v>
      </c>
      <c r="C169" s="2">
        <v>45824</v>
      </c>
      <c r="D169" s="2">
        <v>45828</v>
      </c>
      <c r="E169" t="s">
        <v>1017</v>
      </c>
      <c r="F169" t="s">
        <v>1138</v>
      </c>
      <c r="G169" t="s">
        <v>1272</v>
      </c>
      <c r="H169" t="s">
        <v>1287</v>
      </c>
      <c r="I169" t="s">
        <v>1299</v>
      </c>
      <c r="J169" t="s">
        <v>1304</v>
      </c>
      <c r="K169" t="s">
        <v>1306</v>
      </c>
      <c r="L169" t="s">
        <v>1324</v>
      </c>
      <c r="M169">
        <v>2</v>
      </c>
      <c r="N169">
        <v>0.15</v>
      </c>
      <c r="O169">
        <v>152.26</v>
      </c>
      <c r="P169">
        <v>26.35</v>
      </c>
      <c r="Q169" t="s">
        <v>1331</v>
      </c>
      <c r="R169" t="b">
        <f t="shared" si="7"/>
        <v>0</v>
      </c>
      <c r="S169" t="b">
        <f t="shared" si="8"/>
        <v>0</v>
      </c>
      <c r="T169" t="b">
        <f t="shared" si="9"/>
        <v>0</v>
      </c>
    </row>
    <row r="170" spans="1:20" x14ac:dyDescent="0.3">
      <c r="A170">
        <v>169</v>
      </c>
      <c r="B170" t="s">
        <v>185</v>
      </c>
      <c r="C170" s="2">
        <v>45729</v>
      </c>
      <c r="D170" s="2">
        <v>45730</v>
      </c>
      <c r="E170" t="s">
        <v>1017</v>
      </c>
      <c r="F170" t="s">
        <v>1117</v>
      </c>
      <c r="G170" t="s">
        <v>1276</v>
      </c>
      <c r="H170" t="s">
        <v>1288</v>
      </c>
      <c r="I170" t="s">
        <v>1291</v>
      </c>
      <c r="J170" t="s">
        <v>1302</v>
      </c>
      <c r="K170" t="s">
        <v>1309</v>
      </c>
      <c r="L170" t="s">
        <v>1313</v>
      </c>
      <c r="M170">
        <v>3</v>
      </c>
      <c r="N170">
        <v>0.05</v>
      </c>
      <c r="O170">
        <v>4227.71</v>
      </c>
      <c r="P170">
        <v>616.54</v>
      </c>
      <c r="Q170" t="s">
        <v>1331</v>
      </c>
      <c r="R170" t="b">
        <f t="shared" si="7"/>
        <v>0</v>
      </c>
      <c r="S170" t="b">
        <f t="shared" si="8"/>
        <v>0</v>
      </c>
      <c r="T170" t="b">
        <f t="shared" si="9"/>
        <v>0</v>
      </c>
    </row>
    <row r="171" spans="1:20" x14ac:dyDescent="0.3">
      <c r="A171">
        <v>170</v>
      </c>
      <c r="B171" t="s">
        <v>186</v>
      </c>
      <c r="C171" s="2">
        <v>45877</v>
      </c>
      <c r="D171" s="2">
        <v>45878</v>
      </c>
      <c r="E171" t="s">
        <v>1018</v>
      </c>
      <c r="F171" t="s">
        <v>1139</v>
      </c>
      <c r="G171" t="s">
        <v>1281</v>
      </c>
      <c r="H171" t="s">
        <v>1287</v>
      </c>
      <c r="I171" t="s">
        <v>1296</v>
      </c>
      <c r="J171" t="s">
        <v>1304</v>
      </c>
      <c r="K171" t="s">
        <v>1308</v>
      </c>
      <c r="L171" t="s">
        <v>1327</v>
      </c>
      <c r="M171">
        <v>4</v>
      </c>
      <c r="N171">
        <v>0</v>
      </c>
      <c r="O171">
        <v>6860.22</v>
      </c>
      <c r="P171">
        <v>1875.27</v>
      </c>
      <c r="Q171" t="s">
        <v>1332</v>
      </c>
      <c r="R171" t="b">
        <f t="shared" si="7"/>
        <v>0</v>
      </c>
      <c r="S171" t="b">
        <f t="shared" si="8"/>
        <v>0</v>
      </c>
      <c r="T171" t="b">
        <f t="shared" si="9"/>
        <v>0</v>
      </c>
    </row>
    <row r="172" spans="1:20" x14ac:dyDescent="0.3">
      <c r="A172">
        <v>171</v>
      </c>
      <c r="B172" t="s">
        <v>187</v>
      </c>
      <c r="C172" s="2">
        <v>45673</v>
      </c>
      <c r="D172" s="2">
        <v>45674</v>
      </c>
      <c r="E172" t="s">
        <v>1018</v>
      </c>
      <c r="F172" t="s">
        <v>1140</v>
      </c>
      <c r="G172" t="s">
        <v>1278</v>
      </c>
      <c r="H172" t="s">
        <v>1287</v>
      </c>
      <c r="I172" t="s">
        <v>1294</v>
      </c>
      <c r="J172" t="s">
        <v>1305</v>
      </c>
      <c r="K172" t="s">
        <v>1307</v>
      </c>
      <c r="L172" t="s">
        <v>1322</v>
      </c>
      <c r="M172">
        <v>3</v>
      </c>
      <c r="N172">
        <v>0.1</v>
      </c>
      <c r="O172">
        <v>1871.78</v>
      </c>
      <c r="P172">
        <v>158.9</v>
      </c>
      <c r="Q172" t="s">
        <v>1330</v>
      </c>
      <c r="R172" t="b">
        <f t="shared" si="7"/>
        <v>0</v>
      </c>
      <c r="S172" t="b">
        <f t="shared" si="8"/>
        <v>0</v>
      </c>
      <c r="T172" t="b">
        <f t="shared" si="9"/>
        <v>0</v>
      </c>
    </row>
    <row r="173" spans="1:20" x14ac:dyDescent="0.3">
      <c r="A173">
        <v>172</v>
      </c>
      <c r="B173" t="s">
        <v>188</v>
      </c>
      <c r="C173" s="2">
        <v>45938</v>
      </c>
      <c r="D173" s="2">
        <v>45942</v>
      </c>
      <c r="E173" t="s">
        <v>1018</v>
      </c>
      <c r="F173" t="s">
        <v>1101</v>
      </c>
      <c r="G173" t="s">
        <v>1279</v>
      </c>
      <c r="H173" t="s">
        <v>1289</v>
      </c>
      <c r="I173" t="s">
        <v>1298</v>
      </c>
      <c r="J173" t="s">
        <v>1303</v>
      </c>
      <c r="K173" t="s">
        <v>1306</v>
      </c>
      <c r="L173" t="s">
        <v>1321</v>
      </c>
      <c r="M173">
        <v>2</v>
      </c>
      <c r="N173">
        <v>0.1</v>
      </c>
      <c r="O173">
        <v>841.61</v>
      </c>
      <c r="P173">
        <v>269.32</v>
      </c>
      <c r="Q173" t="s">
        <v>1333</v>
      </c>
      <c r="R173" t="b">
        <f t="shared" si="7"/>
        <v>0</v>
      </c>
      <c r="S173" t="b">
        <f t="shared" si="8"/>
        <v>0</v>
      </c>
      <c r="T173" t="b">
        <f t="shared" si="9"/>
        <v>0</v>
      </c>
    </row>
    <row r="174" spans="1:20" x14ac:dyDescent="0.3">
      <c r="A174">
        <v>173</v>
      </c>
      <c r="B174" t="s">
        <v>189</v>
      </c>
      <c r="C174" s="2">
        <v>46021</v>
      </c>
      <c r="D174" s="2">
        <v>46022</v>
      </c>
      <c r="E174" t="s">
        <v>1018</v>
      </c>
      <c r="F174" t="s">
        <v>1076</v>
      </c>
      <c r="G174" t="s">
        <v>1268</v>
      </c>
      <c r="H174" t="s">
        <v>1288</v>
      </c>
      <c r="I174" t="s">
        <v>1294</v>
      </c>
      <c r="J174" t="s">
        <v>1305</v>
      </c>
      <c r="K174" t="s">
        <v>1308</v>
      </c>
      <c r="L174" t="s">
        <v>1312</v>
      </c>
      <c r="M174">
        <v>2</v>
      </c>
      <c r="N174">
        <v>0.2</v>
      </c>
      <c r="O174">
        <v>2048.84</v>
      </c>
      <c r="P174">
        <v>181.29</v>
      </c>
      <c r="Q174" t="s">
        <v>1334</v>
      </c>
      <c r="R174" t="b">
        <f t="shared" si="7"/>
        <v>0</v>
      </c>
      <c r="S174" t="b">
        <f t="shared" si="8"/>
        <v>0</v>
      </c>
      <c r="T174" t="b">
        <f t="shared" si="9"/>
        <v>0</v>
      </c>
    </row>
    <row r="175" spans="1:20" x14ac:dyDescent="0.3">
      <c r="A175">
        <v>174</v>
      </c>
      <c r="B175" t="s">
        <v>190</v>
      </c>
      <c r="C175" s="2">
        <v>45995</v>
      </c>
      <c r="D175" s="2">
        <v>45997</v>
      </c>
      <c r="E175" t="s">
        <v>1017</v>
      </c>
      <c r="F175" t="s">
        <v>1141</v>
      </c>
      <c r="G175" t="s">
        <v>1273</v>
      </c>
      <c r="H175" t="s">
        <v>1289</v>
      </c>
      <c r="I175" t="s">
        <v>1296</v>
      </c>
      <c r="J175" t="s">
        <v>1304</v>
      </c>
      <c r="K175" t="s">
        <v>1309</v>
      </c>
      <c r="L175" t="s">
        <v>1320</v>
      </c>
      <c r="M175">
        <v>1</v>
      </c>
      <c r="N175">
        <v>0.05</v>
      </c>
      <c r="O175">
        <v>1152.01</v>
      </c>
      <c r="P175">
        <v>304.2</v>
      </c>
      <c r="Q175" t="s">
        <v>1334</v>
      </c>
      <c r="R175" t="b">
        <f t="shared" si="7"/>
        <v>0</v>
      </c>
      <c r="S175" t="b">
        <f t="shared" si="8"/>
        <v>0</v>
      </c>
      <c r="T175" t="b">
        <f t="shared" si="9"/>
        <v>0</v>
      </c>
    </row>
    <row r="176" spans="1:20" x14ac:dyDescent="0.3">
      <c r="A176">
        <v>175</v>
      </c>
      <c r="B176" t="s">
        <v>191</v>
      </c>
      <c r="C176" s="2">
        <v>45905</v>
      </c>
      <c r="D176" s="2">
        <v>45909</v>
      </c>
      <c r="E176" t="s">
        <v>1018</v>
      </c>
      <c r="F176" t="s">
        <v>1075</v>
      </c>
      <c r="G176" t="s">
        <v>1282</v>
      </c>
      <c r="H176" t="s">
        <v>1287</v>
      </c>
      <c r="I176" t="s">
        <v>1297</v>
      </c>
      <c r="J176" t="s">
        <v>1304</v>
      </c>
      <c r="K176" t="s">
        <v>1309</v>
      </c>
      <c r="L176" t="s">
        <v>1317</v>
      </c>
      <c r="M176">
        <v>3</v>
      </c>
      <c r="N176">
        <v>0</v>
      </c>
      <c r="O176">
        <v>2440.5500000000002</v>
      </c>
      <c r="P176">
        <v>874.29</v>
      </c>
      <c r="Q176" t="s">
        <v>1331</v>
      </c>
      <c r="R176" t="b">
        <f t="shared" si="7"/>
        <v>0</v>
      </c>
      <c r="S176" t="b">
        <f t="shared" si="8"/>
        <v>0</v>
      </c>
      <c r="T176" t="b">
        <f t="shared" si="9"/>
        <v>0</v>
      </c>
    </row>
    <row r="177" spans="1:20" x14ac:dyDescent="0.3">
      <c r="A177">
        <v>176</v>
      </c>
      <c r="B177" t="s">
        <v>192</v>
      </c>
      <c r="C177" s="2">
        <v>45678</v>
      </c>
      <c r="D177" s="2">
        <v>45681</v>
      </c>
      <c r="E177" t="s">
        <v>1018</v>
      </c>
      <c r="F177" t="s">
        <v>1073</v>
      </c>
      <c r="G177" t="s">
        <v>1285</v>
      </c>
      <c r="H177" t="s">
        <v>1287</v>
      </c>
      <c r="I177" t="s">
        <v>1294</v>
      </c>
      <c r="J177" t="s">
        <v>1305</v>
      </c>
      <c r="K177" t="s">
        <v>1306</v>
      </c>
      <c r="L177" t="s">
        <v>1328</v>
      </c>
      <c r="M177">
        <v>1</v>
      </c>
      <c r="N177">
        <v>0.05</v>
      </c>
      <c r="O177">
        <v>117</v>
      </c>
      <c r="P177">
        <v>32.799999999999997</v>
      </c>
      <c r="Q177" t="s">
        <v>1334</v>
      </c>
      <c r="R177" t="b">
        <f t="shared" si="7"/>
        <v>0</v>
      </c>
      <c r="S177" t="b">
        <f t="shared" si="8"/>
        <v>0</v>
      </c>
      <c r="T177" t="b">
        <f t="shared" si="9"/>
        <v>0</v>
      </c>
    </row>
    <row r="178" spans="1:20" x14ac:dyDescent="0.3">
      <c r="A178">
        <v>177</v>
      </c>
      <c r="B178" t="s">
        <v>193</v>
      </c>
      <c r="C178" s="2">
        <v>45748</v>
      </c>
      <c r="D178" s="2">
        <v>45750</v>
      </c>
      <c r="E178" t="s">
        <v>1018</v>
      </c>
      <c r="F178" t="s">
        <v>1110</v>
      </c>
      <c r="G178" t="s">
        <v>1267</v>
      </c>
      <c r="H178" t="s">
        <v>1287</v>
      </c>
      <c r="I178" t="s">
        <v>1296</v>
      </c>
      <c r="J178" t="s">
        <v>1304</v>
      </c>
      <c r="K178" t="s">
        <v>1309</v>
      </c>
      <c r="L178" t="s">
        <v>1325</v>
      </c>
      <c r="M178">
        <v>4</v>
      </c>
      <c r="N178">
        <v>0.15</v>
      </c>
      <c r="O178">
        <v>4393.22</v>
      </c>
      <c r="P178">
        <v>693.3</v>
      </c>
      <c r="Q178" t="s">
        <v>1334</v>
      </c>
      <c r="R178" t="b">
        <f t="shared" si="7"/>
        <v>0</v>
      </c>
      <c r="S178" t="b">
        <f t="shared" si="8"/>
        <v>0</v>
      </c>
      <c r="T178" t="b">
        <f t="shared" si="9"/>
        <v>0</v>
      </c>
    </row>
    <row r="179" spans="1:20" x14ac:dyDescent="0.3">
      <c r="A179">
        <v>178</v>
      </c>
      <c r="B179" t="s">
        <v>194</v>
      </c>
      <c r="C179" s="2">
        <v>45759</v>
      </c>
      <c r="D179" s="2">
        <v>45760</v>
      </c>
      <c r="E179" t="s">
        <v>1018</v>
      </c>
      <c r="F179" t="s">
        <v>1059</v>
      </c>
      <c r="G179" t="s">
        <v>1276</v>
      </c>
      <c r="H179" t="s">
        <v>1289</v>
      </c>
      <c r="I179" t="s">
        <v>1294</v>
      </c>
      <c r="J179" t="s">
        <v>1305</v>
      </c>
      <c r="K179" t="s">
        <v>1306</v>
      </c>
      <c r="L179" t="s">
        <v>1323</v>
      </c>
      <c r="M179">
        <v>2</v>
      </c>
      <c r="N179">
        <v>0</v>
      </c>
      <c r="O179">
        <v>352.52</v>
      </c>
      <c r="P179">
        <v>63.74</v>
      </c>
      <c r="Q179" t="s">
        <v>1332</v>
      </c>
      <c r="R179" t="b">
        <f t="shared" si="7"/>
        <v>0</v>
      </c>
      <c r="S179" t="b">
        <f t="shared" si="8"/>
        <v>0</v>
      </c>
      <c r="T179" t="b">
        <f t="shared" si="9"/>
        <v>0</v>
      </c>
    </row>
    <row r="180" spans="1:20" x14ac:dyDescent="0.3">
      <c r="A180">
        <v>179</v>
      </c>
      <c r="B180" t="s">
        <v>195</v>
      </c>
      <c r="C180" s="2">
        <v>45777</v>
      </c>
      <c r="D180" s="2">
        <v>45782</v>
      </c>
      <c r="E180" t="s">
        <v>1017</v>
      </c>
      <c r="F180" t="s">
        <v>1067</v>
      </c>
      <c r="G180" t="s">
        <v>1277</v>
      </c>
      <c r="H180" t="s">
        <v>1287</v>
      </c>
      <c r="I180" t="s">
        <v>1292</v>
      </c>
      <c r="J180" t="s">
        <v>1303</v>
      </c>
      <c r="K180" t="s">
        <v>1308</v>
      </c>
      <c r="L180" t="s">
        <v>1312</v>
      </c>
      <c r="M180">
        <v>2</v>
      </c>
      <c r="N180">
        <v>0.1</v>
      </c>
      <c r="O180">
        <v>2347.7199999999998</v>
      </c>
      <c r="P180">
        <v>686.8</v>
      </c>
      <c r="Q180" t="s">
        <v>1331</v>
      </c>
      <c r="R180" t="b">
        <f t="shared" si="7"/>
        <v>0</v>
      </c>
      <c r="S180" t="b">
        <f t="shared" si="8"/>
        <v>0</v>
      </c>
      <c r="T180" t="b">
        <f t="shared" si="9"/>
        <v>0</v>
      </c>
    </row>
    <row r="181" spans="1:20" x14ac:dyDescent="0.3">
      <c r="A181">
        <v>180</v>
      </c>
      <c r="B181" t="s">
        <v>196</v>
      </c>
      <c r="C181" s="2">
        <v>45853</v>
      </c>
      <c r="D181" s="2">
        <v>45856</v>
      </c>
      <c r="E181" t="s">
        <v>1018</v>
      </c>
      <c r="F181" t="s">
        <v>1142</v>
      </c>
      <c r="G181" t="s">
        <v>1279</v>
      </c>
      <c r="H181" t="s">
        <v>1289</v>
      </c>
      <c r="I181" t="s">
        <v>1294</v>
      </c>
      <c r="J181" t="s">
        <v>1305</v>
      </c>
      <c r="K181" t="s">
        <v>1308</v>
      </c>
      <c r="L181" t="s">
        <v>1319</v>
      </c>
      <c r="M181">
        <v>1</v>
      </c>
      <c r="N181">
        <v>0.15</v>
      </c>
      <c r="O181">
        <v>4066.65</v>
      </c>
      <c r="P181">
        <v>431.36</v>
      </c>
      <c r="Q181" t="s">
        <v>1332</v>
      </c>
      <c r="R181" t="b">
        <f t="shared" si="7"/>
        <v>0</v>
      </c>
      <c r="S181" t="b">
        <f t="shared" si="8"/>
        <v>0</v>
      </c>
      <c r="T181" t="b">
        <f t="shared" si="9"/>
        <v>0</v>
      </c>
    </row>
    <row r="182" spans="1:20" x14ac:dyDescent="0.3">
      <c r="A182">
        <v>181</v>
      </c>
      <c r="B182" t="s">
        <v>197</v>
      </c>
      <c r="C182" s="2">
        <v>45707</v>
      </c>
      <c r="D182" s="2">
        <v>45712</v>
      </c>
      <c r="E182" t="s">
        <v>1018</v>
      </c>
      <c r="F182" t="s">
        <v>1033</v>
      </c>
      <c r="G182" t="s">
        <v>1285</v>
      </c>
      <c r="H182" t="s">
        <v>1287</v>
      </c>
      <c r="I182" t="s">
        <v>1291</v>
      </c>
      <c r="J182" t="s">
        <v>1302</v>
      </c>
      <c r="K182" t="s">
        <v>1306</v>
      </c>
      <c r="L182" t="s">
        <v>1323</v>
      </c>
      <c r="M182">
        <v>2</v>
      </c>
      <c r="N182">
        <v>0.25</v>
      </c>
      <c r="O182">
        <v>270.58</v>
      </c>
      <c r="P182">
        <v>42.8</v>
      </c>
      <c r="Q182" t="s">
        <v>1331</v>
      </c>
      <c r="R182" t="b">
        <f t="shared" si="7"/>
        <v>0</v>
      </c>
      <c r="S182" t="b">
        <f t="shared" si="8"/>
        <v>0</v>
      </c>
      <c r="T182" t="b">
        <f t="shared" si="9"/>
        <v>0</v>
      </c>
    </row>
    <row r="183" spans="1:20" x14ac:dyDescent="0.3">
      <c r="A183">
        <v>182</v>
      </c>
      <c r="B183" t="s">
        <v>198</v>
      </c>
      <c r="C183" s="2">
        <v>45722</v>
      </c>
      <c r="D183" s="2">
        <v>45727</v>
      </c>
      <c r="E183" t="s">
        <v>1019</v>
      </c>
      <c r="F183" t="s">
        <v>1125</v>
      </c>
      <c r="G183" t="s">
        <v>1271</v>
      </c>
      <c r="H183" t="s">
        <v>1287</v>
      </c>
      <c r="I183" t="s">
        <v>1296</v>
      </c>
      <c r="J183" t="s">
        <v>1304</v>
      </c>
      <c r="K183" t="s">
        <v>1307</v>
      </c>
      <c r="L183" t="s">
        <v>1314</v>
      </c>
      <c r="M183">
        <v>3</v>
      </c>
      <c r="N183">
        <v>0.2</v>
      </c>
      <c r="O183">
        <v>2199.5500000000002</v>
      </c>
      <c r="P183">
        <v>483.07</v>
      </c>
      <c r="Q183" t="s">
        <v>1331</v>
      </c>
      <c r="R183" t="b">
        <f t="shared" si="7"/>
        <v>0</v>
      </c>
      <c r="S183" t="b">
        <f t="shared" si="8"/>
        <v>0</v>
      </c>
      <c r="T183" t="b">
        <f t="shared" si="9"/>
        <v>0</v>
      </c>
    </row>
    <row r="184" spans="1:20" x14ac:dyDescent="0.3">
      <c r="A184">
        <v>183</v>
      </c>
      <c r="B184" t="s">
        <v>199</v>
      </c>
      <c r="C184" s="2">
        <v>45836</v>
      </c>
      <c r="D184" s="2">
        <v>45840</v>
      </c>
      <c r="E184" t="s">
        <v>1017</v>
      </c>
      <c r="F184" t="s">
        <v>1143</v>
      </c>
      <c r="G184" t="s">
        <v>1280</v>
      </c>
      <c r="H184" t="s">
        <v>1289</v>
      </c>
      <c r="I184" t="s">
        <v>1296</v>
      </c>
      <c r="J184" t="s">
        <v>1304</v>
      </c>
      <c r="K184" t="s">
        <v>1309</v>
      </c>
      <c r="L184" t="s">
        <v>1320</v>
      </c>
      <c r="M184">
        <v>2</v>
      </c>
      <c r="N184">
        <v>0.15</v>
      </c>
      <c r="O184">
        <v>2074.2600000000002</v>
      </c>
      <c r="P184">
        <v>524.34</v>
      </c>
      <c r="Q184" t="s">
        <v>1331</v>
      </c>
      <c r="R184" t="b">
        <f t="shared" si="7"/>
        <v>0</v>
      </c>
      <c r="S184" t="b">
        <f t="shared" si="8"/>
        <v>0</v>
      </c>
      <c r="T184" t="b">
        <f t="shared" si="9"/>
        <v>0</v>
      </c>
    </row>
    <row r="185" spans="1:20" x14ac:dyDescent="0.3">
      <c r="A185">
        <v>184</v>
      </c>
      <c r="B185" t="s">
        <v>200</v>
      </c>
      <c r="C185" s="2">
        <v>45919</v>
      </c>
      <c r="D185" s="2">
        <v>45920</v>
      </c>
      <c r="E185" t="s">
        <v>1018</v>
      </c>
      <c r="F185" t="s">
        <v>1144</v>
      </c>
      <c r="G185" t="s">
        <v>1282</v>
      </c>
      <c r="H185" t="s">
        <v>1287</v>
      </c>
      <c r="I185" t="s">
        <v>1292</v>
      </c>
      <c r="J185" t="s">
        <v>1303</v>
      </c>
      <c r="K185" t="s">
        <v>1309</v>
      </c>
      <c r="L185" t="s">
        <v>1329</v>
      </c>
      <c r="M185">
        <v>5</v>
      </c>
      <c r="N185">
        <v>0.05</v>
      </c>
      <c r="O185">
        <v>8571.8700000000008</v>
      </c>
      <c r="P185">
        <v>2609.4499999999998</v>
      </c>
      <c r="Q185" t="s">
        <v>1333</v>
      </c>
      <c r="R185" t="b">
        <f t="shared" si="7"/>
        <v>0</v>
      </c>
      <c r="S185" t="b">
        <f t="shared" si="8"/>
        <v>0</v>
      </c>
      <c r="T185" t="b">
        <f t="shared" si="9"/>
        <v>0</v>
      </c>
    </row>
    <row r="186" spans="1:20" x14ac:dyDescent="0.3">
      <c r="A186">
        <v>185</v>
      </c>
      <c r="B186" t="s">
        <v>201</v>
      </c>
      <c r="C186" s="2">
        <v>45894</v>
      </c>
      <c r="D186" s="2">
        <v>45898</v>
      </c>
      <c r="E186" t="s">
        <v>1017</v>
      </c>
      <c r="F186" t="s">
        <v>1091</v>
      </c>
      <c r="G186" t="s">
        <v>1275</v>
      </c>
      <c r="H186" t="s">
        <v>1287</v>
      </c>
      <c r="I186" t="s">
        <v>1299</v>
      </c>
      <c r="J186" t="s">
        <v>1304</v>
      </c>
      <c r="K186" t="s">
        <v>1306</v>
      </c>
      <c r="L186" t="s">
        <v>1310</v>
      </c>
      <c r="M186">
        <v>2</v>
      </c>
      <c r="N186">
        <v>0.1</v>
      </c>
      <c r="O186">
        <v>1135.72</v>
      </c>
      <c r="P186">
        <v>195.41</v>
      </c>
      <c r="Q186" t="s">
        <v>1331</v>
      </c>
      <c r="R186" t="b">
        <f t="shared" si="7"/>
        <v>0</v>
      </c>
      <c r="S186" t="b">
        <f t="shared" si="8"/>
        <v>0</v>
      </c>
      <c r="T186" t="b">
        <f t="shared" si="9"/>
        <v>0</v>
      </c>
    </row>
    <row r="187" spans="1:20" x14ac:dyDescent="0.3">
      <c r="A187">
        <v>186</v>
      </c>
      <c r="B187" t="s">
        <v>202</v>
      </c>
      <c r="C187" s="2">
        <v>45975</v>
      </c>
      <c r="D187" s="2">
        <v>45977</v>
      </c>
      <c r="E187" t="s">
        <v>1017</v>
      </c>
      <c r="F187" t="s">
        <v>1145</v>
      </c>
      <c r="G187" t="s">
        <v>1275</v>
      </c>
      <c r="H187" t="s">
        <v>1288</v>
      </c>
      <c r="I187" t="s">
        <v>1292</v>
      </c>
      <c r="J187" t="s">
        <v>1303</v>
      </c>
      <c r="K187" t="s">
        <v>1309</v>
      </c>
      <c r="L187" t="s">
        <v>1325</v>
      </c>
      <c r="M187">
        <v>3</v>
      </c>
      <c r="N187">
        <v>0.1</v>
      </c>
      <c r="O187">
        <v>3434.87</v>
      </c>
      <c r="P187">
        <v>292.52</v>
      </c>
      <c r="Q187" t="s">
        <v>1331</v>
      </c>
      <c r="R187" t="b">
        <f t="shared" si="7"/>
        <v>0</v>
      </c>
      <c r="S187" t="b">
        <f t="shared" si="8"/>
        <v>0</v>
      </c>
      <c r="T187" t="b">
        <f t="shared" si="9"/>
        <v>0</v>
      </c>
    </row>
    <row r="188" spans="1:20" x14ac:dyDescent="0.3">
      <c r="A188">
        <v>187</v>
      </c>
      <c r="B188" t="s">
        <v>203</v>
      </c>
      <c r="C188" s="2">
        <v>45804</v>
      </c>
      <c r="D188" s="2">
        <v>45807</v>
      </c>
      <c r="E188" t="s">
        <v>1017</v>
      </c>
      <c r="F188" t="s">
        <v>1086</v>
      </c>
      <c r="G188" t="s">
        <v>1272</v>
      </c>
      <c r="H188" t="s">
        <v>1287</v>
      </c>
      <c r="I188" t="s">
        <v>1292</v>
      </c>
      <c r="J188" t="s">
        <v>1303</v>
      </c>
      <c r="K188" t="s">
        <v>1306</v>
      </c>
      <c r="L188" t="s">
        <v>1323</v>
      </c>
      <c r="M188">
        <v>2</v>
      </c>
      <c r="N188">
        <v>0.15</v>
      </c>
      <c r="O188">
        <v>294.72000000000003</v>
      </c>
      <c r="P188">
        <v>51.74</v>
      </c>
      <c r="Q188" t="s">
        <v>1330</v>
      </c>
      <c r="R188" t="b">
        <f t="shared" si="7"/>
        <v>0</v>
      </c>
      <c r="S188" t="b">
        <f t="shared" si="8"/>
        <v>0</v>
      </c>
      <c r="T188" t="b">
        <f t="shared" si="9"/>
        <v>0</v>
      </c>
    </row>
    <row r="189" spans="1:20" x14ac:dyDescent="0.3">
      <c r="A189">
        <v>188</v>
      </c>
      <c r="B189" t="s">
        <v>204</v>
      </c>
      <c r="C189" s="2">
        <v>45907</v>
      </c>
      <c r="D189" s="2">
        <v>45912</v>
      </c>
      <c r="E189" t="s">
        <v>1017</v>
      </c>
      <c r="F189" t="s">
        <v>1065</v>
      </c>
      <c r="G189" t="s">
        <v>1271</v>
      </c>
      <c r="H189" t="s">
        <v>1287</v>
      </c>
      <c r="I189" t="s">
        <v>1299</v>
      </c>
      <c r="J189" t="s">
        <v>1304</v>
      </c>
      <c r="K189" t="s">
        <v>1308</v>
      </c>
      <c r="L189" t="s">
        <v>1312</v>
      </c>
      <c r="M189">
        <v>3</v>
      </c>
      <c r="N189">
        <v>0.25</v>
      </c>
      <c r="O189">
        <v>2777.07</v>
      </c>
      <c r="P189">
        <v>-135.08000000000001</v>
      </c>
      <c r="Q189" t="s">
        <v>1332</v>
      </c>
      <c r="R189" t="b">
        <f t="shared" si="7"/>
        <v>0</v>
      </c>
      <c r="S189" t="b">
        <f t="shared" si="8"/>
        <v>0</v>
      </c>
      <c r="T189" t="b">
        <f t="shared" si="9"/>
        <v>0</v>
      </c>
    </row>
    <row r="190" spans="1:20" x14ac:dyDescent="0.3">
      <c r="A190">
        <v>189</v>
      </c>
      <c r="B190" t="s">
        <v>205</v>
      </c>
      <c r="C190" s="2">
        <v>45739</v>
      </c>
      <c r="D190" s="2">
        <v>45744</v>
      </c>
      <c r="E190" t="s">
        <v>1018</v>
      </c>
      <c r="F190" t="s">
        <v>1039</v>
      </c>
      <c r="G190" t="s">
        <v>1285</v>
      </c>
      <c r="H190" t="s">
        <v>1287</v>
      </c>
      <c r="I190" t="s">
        <v>1297</v>
      </c>
      <c r="J190" t="s">
        <v>1304</v>
      </c>
      <c r="K190" t="s">
        <v>1308</v>
      </c>
      <c r="L190" t="s">
        <v>1326</v>
      </c>
      <c r="M190">
        <v>2</v>
      </c>
      <c r="N190">
        <v>0.1</v>
      </c>
      <c r="O190">
        <v>12120.76</v>
      </c>
      <c r="P190">
        <v>2269.11</v>
      </c>
      <c r="Q190" t="s">
        <v>1331</v>
      </c>
      <c r="R190" t="b">
        <f t="shared" si="7"/>
        <v>0</v>
      </c>
      <c r="S190" t="b">
        <f t="shared" si="8"/>
        <v>0</v>
      </c>
      <c r="T190" t="b">
        <f t="shared" si="9"/>
        <v>0</v>
      </c>
    </row>
    <row r="191" spans="1:20" x14ac:dyDescent="0.3">
      <c r="A191">
        <v>190</v>
      </c>
      <c r="B191" t="s">
        <v>206</v>
      </c>
      <c r="C191" s="2">
        <v>45923</v>
      </c>
      <c r="D191" s="2">
        <v>45925</v>
      </c>
      <c r="E191" t="s">
        <v>1017</v>
      </c>
      <c r="F191" t="s">
        <v>1146</v>
      </c>
      <c r="G191" t="s">
        <v>1276</v>
      </c>
      <c r="H191" t="s">
        <v>1288</v>
      </c>
      <c r="I191" t="s">
        <v>1294</v>
      </c>
      <c r="J191" t="s">
        <v>1305</v>
      </c>
      <c r="K191" t="s">
        <v>1307</v>
      </c>
      <c r="L191" t="s">
        <v>1315</v>
      </c>
      <c r="M191">
        <v>2</v>
      </c>
      <c r="N191">
        <v>0.2</v>
      </c>
      <c r="O191">
        <v>2774.45</v>
      </c>
      <c r="P191">
        <v>460.41</v>
      </c>
      <c r="Q191" t="s">
        <v>1332</v>
      </c>
      <c r="R191" t="b">
        <f t="shared" si="7"/>
        <v>0</v>
      </c>
      <c r="S191" t="b">
        <f t="shared" si="8"/>
        <v>0</v>
      </c>
      <c r="T191" t="b">
        <f t="shared" si="9"/>
        <v>0</v>
      </c>
    </row>
    <row r="192" spans="1:20" x14ac:dyDescent="0.3">
      <c r="A192">
        <v>191</v>
      </c>
      <c r="B192" t="s">
        <v>207</v>
      </c>
      <c r="C192" s="2">
        <v>45925</v>
      </c>
      <c r="D192" s="2">
        <v>45928</v>
      </c>
      <c r="E192" t="s">
        <v>1017</v>
      </c>
      <c r="F192" t="s">
        <v>1147</v>
      </c>
      <c r="G192" t="s">
        <v>1275</v>
      </c>
      <c r="H192" t="s">
        <v>1287</v>
      </c>
      <c r="I192" t="s">
        <v>1300</v>
      </c>
      <c r="J192" t="s">
        <v>1305</v>
      </c>
      <c r="K192" t="s">
        <v>1306</v>
      </c>
      <c r="L192" t="s">
        <v>1321</v>
      </c>
      <c r="M192">
        <v>3</v>
      </c>
      <c r="N192">
        <v>0.15</v>
      </c>
      <c r="O192">
        <v>1141.6300000000001</v>
      </c>
      <c r="P192">
        <v>281.83999999999997</v>
      </c>
      <c r="Q192" t="s">
        <v>1333</v>
      </c>
      <c r="R192" t="b">
        <f t="shared" si="7"/>
        <v>0</v>
      </c>
      <c r="S192" t="b">
        <f t="shared" si="8"/>
        <v>0</v>
      </c>
      <c r="T192" t="b">
        <f t="shared" si="9"/>
        <v>0</v>
      </c>
    </row>
    <row r="193" spans="1:20" x14ac:dyDescent="0.3">
      <c r="A193">
        <v>192</v>
      </c>
      <c r="B193" t="s">
        <v>208</v>
      </c>
      <c r="C193" s="2">
        <v>45756</v>
      </c>
      <c r="D193" s="2">
        <v>45761</v>
      </c>
      <c r="E193" t="s">
        <v>1018</v>
      </c>
      <c r="F193" t="s">
        <v>1112</v>
      </c>
      <c r="G193" t="s">
        <v>1285</v>
      </c>
      <c r="H193" t="s">
        <v>1288</v>
      </c>
      <c r="I193" t="s">
        <v>1298</v>
      </c>
      <c r="J193" t="s">
        <v>1303</v>
      </c>
      <c r="K193" t="s">
        <v>1307</v>
      </c>
      <c r="L193" t="s">
        <v>1314</v>
      </c>
      <c r="M193">
        <v>3</v>
      </c>
      <c r="N193">
        <v>0.1</v>
      </c>
      <c r="O193">
        <v>2372.7800000000002</v>
      </c>
      <c r="P193">
        <v>535.41</v>
      </c>
      <c r="Q193" t="s">
        <v>1334</v>
      </c>
      <c r="R193" t="b">
        <f t="shared" si="7"/>
        <v>0</v>
      </c>
      <c r="S193" t="b">
        <f t="shared" si="8"/>
        <v>0</v>
      </c>
      <c r="T193" t="b">
        <f t="shared" si="9"/>
        <v>0</v>
      </c>
    </row>
    <row r="194" spans="1:20" x14ac:dyDescent="0.3">
      <c r="A194">
        <v>193</v>
      </c>
      <c r="B194" t="s">
        <v>209</v>
      </c>
      <c r="C194" s="2">
        <v>45970</v>
      </c>
      <c r="D194" s="2">
        <v>45974</v>
      </c>
      <c r="E194" t="s">
        <v>1017</v>
      </c>
      <c r="F194" t="s">
        <v>1148</v>
      </c>
      <c r="G194" t="s">
        <v>1273</v>
      </c>
      <c r="H194" t="s">
        <v>1288</v>
      </c>
      <c r="I194" t="s">
        <v>1292</v>
      </c>
      <c r="J194" t="s">
        <v>1303</v>
      </c>
      <c r="K194" t="s">
        <v>1307</v>
      </c>
      <c r="L194" t="s">
        <v>1316</v>
      </c>
      <c r="M194">
        <v>1</v>
      </c>
      <c r="N194">
        <v>0.1</v>
      </c>
      <c r="O194">
        <v>444.29</v>
      </c>
      <c r="P194">
        <v>82.43</v>
      </c>
      <c r="Q194" t="s">
        <v>1331</v>
      </c>
      <c r="R194" t="b">
        <f t="shared" si="7"/>
        <v>0</v>
      </c>
      <c r="S194" t="b">
        <f t="shared" si="8"/>
        <v>0</v>
      </c>
      <c r="T194" t="b">
        <f t="shared" si="9"/>
        <v>0</v>
      </c>
    </row>
    <row r="195" spans="1:20" x14ac:dyDescent="0.3">
      <c r="A195">
        <v>194</v>
      </c>
      <c r="B195" t="s">
        <v>210</v>
      </c>
      <c r="C195" s="2">
        <v>45783</v>
      </c>
      <c r="D195" s="2">
        <v>45786</v>
      </c>
      <c r="E195" t="s">
        <v>1018</v>
      </c>
      <c r="F195" t="s">
        <v>1149</v>
      </c>
      <c r="G195" t="s">
        <v>1268</v>
      </c>
      <c r="H195" t="s">
        <v>1287</v>
      </c>
      <c r="I195" t="s">
        <v>1296</v>
      </c>
      <c r="J195" t="s">
        <v>1304</v>
      </c>
      <c r="K195" t="s">
        <v>1307</v>
      </c>
      <c r="L195" t="s">
        <v>1314</v>
      </c>
      <c r="M195">
        <v>1</v>
      </c>
      <c r="N195">
        <v>0.1</v>
      </c>
      <c r="O195">
        <v>793.83</v>
      </c>
      <c r="P195">
        <v>114.7</v>
      </c>
      <c r="Q195" t="s">
        <v>1330</v>
      </c>
      <c r="R195" t="b">
        <f t="shared" ref="R195:R258" si="10">D195&lt;C195</f>
        <v>0</v>
      </c>
      <c r="S195" t="b">
        <f t="shared" ref="S195:S258" si="11">M195&lt;=0</f>
        <v>0</v>
      </c>
      <c r="T195" t="b">
        <f t="shared" ref="T195:T258" si="12">OR(N195&lt;0,N195&gt;1)</f>
        <v>0</v>
      </c>
    </row>
    <row r="196" spans="1:20" x14ac:dyDescent="0.3">
      <c r="A196">
        <v>195</v>
      </c>
      <c r="B196" t="s">
        <v>211</v>
      </c>
      <c r="C196" s="2">
        <v>46001</v>
      </c>
      <c r="D196" s="2">
        <v>46004</v>
      </c>
      <c r="E196" t="s">
        <v>1017</v>
      </c>
      <c r="F196" t="s">
        <v>1125</v>
      </c>
      <c r="G196" t="s">
        <v>1281</v>
      </c>
      <c r="H196" t="s">
        <v>1287</v>
      </c>
      <c r="I196" t="s">
        <v>1299</v>
      </c>
      <c r="J196" t="s">
        <v>1304</v>
      </c>
      <c r="K196" t="s">
        <v>1306</v>
      </c>
      <c r="L196" t="s">
        <v>1324</v>
      </c>
      <c r="M196">
        <v>1</v>
      </c>
      <c r="N196">
        <v>0.1</v>
      </c>
      <c r="O196">
        <v>81.260000000000005</v>
      </c>
      <c r="P196">
        <v>23.02</v>
      </c>
      <c r="Q196" t="s">
        <v>1331</v>
      </c>
      <c r="R196" t="b">
        <f t="shared" si="10"/>
        <v>0</v>
      </c>
      <c r="S196" t="b">
        <f t="shared" si="11"/>
        <v>0</v>
      </c>
      <c r="T196" t="b">
        <f t="shared" si="12"/>
        <v>0</v>
      </c>
    </row>
    <row r="197" spans="1:20" x14ac:dyDescent="0.3">
      <c r="A197">
        <v>196</v>
      </c>
      <c r="B197" t="s">
        <v>212</v>
      </c>
      <c r="C197" s="2">
        <v>45782</v>
      </c>
      <c r="D197" s="2">
        <v>45787</v>
      </c>
      <c r="E197" t="s">
        <v>1018</v>
      </c>
      <c r="F197" t="s">
        <v>1150</v>
      </c>
      <c r="G197" t="s">
        <v>1269</v>
      </c>
      <c r="H197" t="s">
        <v>1289</v>
      </c>
      <c r="I197" t="s">
        <v>1298</v>
      </c>
      <c r="J197" t="s">
        <v>1303</v>
      </c>
      <c r="K197" t="s">
        <v>1309</v>
      </c>
      <c r="L197" t="s">
        <v>1329</v>
      </c>
      <c r="M197">
        <v>1</v>
      </c>
      <c r="N197">
        <v>0.2</v>
      </c>
      <c r="O197">
        <v>1588.46</v>
      </c>
      <c r="P197">
        <v>291.83999999999997</v>
      </c>
      <c r="Q197" t="s">
        <v>1330</v>
      </c>
      <c r="R197" t="b">
        <f t="shared" si="10"/>
        <v>0</v>
      </c>
      <c r="S197" t="b">
        <f t="shared" si="11"/>
        <v>0</v>
      </c>
      <c r="T197" t="b">
        <f t="shared" si="12"/>
        <v>0</v>
      </c>
    </row>
    <row r="198" spans="1:20" x14ac:dyDescent="0.3">
      <c r="A198">
        <v>197</v>
      </c>
      <c r="B198" t="s">
        <v>213</v>
      </c>
      <c r="C198" s="2">
        <v>45725</v>
      </c>
      <c r="D198" s="2">
        <v>45730</v>
      </c>
      <c r="E198" t="s">
        <v>1017</v>
      </c>
      <c r="F198" t="s">
        <v>1040</v>
      </c>
      <c r="G198" t="s">
        <v>1272</v>
      </c>
      <c r="H198" t="s">
        <v>1287</v>
      </c>
      <c r="I198" t="s">
        <v>1299</v>
      </c>
      <c r="J198" t="s">
        <v>1304</v>
      </c>
      <c r="K198" t="s">
        <v>1309</v>
      </c>
      <c r="L198" t="s">
        <v>1313</v>
      </c>
      <c r="M198">
        <v>2</v>
      </c>
      <c r="N198">
        <v>0.05</v>
      </c>
      <c r="O198">
        <v>2749.6</v>
      </c>
      <c r="P198">
        <v>558.83000000000004</v>
      </c>
      <c r="Q198" t="s">
        <v>1334</v>
      </c>
      <c r="R198" t="b">
        <f t="shared" si="10"/>
        <v>0</v>
      </c>
      <c r="S198" t="b">
        <f t="shared" si="11"/>
        <v>0</v>
      </c>
      <c r="T198" t="b">
        <f t="shared" si="12"/>
        <v>0</v>
      </c>
    </row>
    <row r="199" spans="1:20" x14ac:dyDescent="0.3">
      <c r="A199">
        <v>198</v>
      </c>
      <c r="B199" t="s">
        <v>214</v>
      </c>
      <c r="C199" s="2">
        <v>45678</v>
      </c>
      <c r="D199" s="2">
        <v>45682</v>
      </c>
      <c r="E199" t="s">
        <v>1017</v>
      </c>
      <c r="F199" t="s">
        <v>1057</v>
      </c>
      <c r="G199" t="s">
        <v>1267</v>
      </c>
      <c r="H199" t="s">
        <v>1287</v>
      </c>
      <c r="I199" t="s">
        <v>1299</v>
      </c>
      <c r="J199" t="s">
        <v>1304</v>
      </c>
      <c r="K199" t="s">
        <v>1308</v>
      </c>
      <c r="L199" t="s">
        <v>1326</v>
      </c>
      <c r="M199">
        <v>2</v>
      </c>
      <c r="N199">
        <v>0.15</v>
      </c>
      <c r="O199">
        <v>12291.76</v>
      </c>
      <c r="P199">
        <v>2087.6999999999998</v>
      </c>
      <c r="Q199" t="s">
        <v>1334</v>
      </c>
      <c r="R199" t="b">
        <f t="shared" si="10"/>
        <v>0</v>
      </c>
      <c r="S199" t="b">
        <f t="shared" si="11"/>
        <v>0</v>
      </c>
      <c r="T199" t="b">
        <f t="shared" si="12"/>
        <v>0</v>
      </c>
    </row>
    <row r="200" spans="1:20" x14ac:dyDescent="0.3">
      <c r="A200">
        <v>199</v>
      </c>
      <c r="B200" t="s">
        <v>215</v>
      </c>
      <c r="C200" s="2">
        <v>45871</v>
      </c>
      <c r="D200" s="2">
        <v>45872</v>
      </c>
      <c r="E200" t="s">
        <v>1018</v>
      </c>
      <c r="F200" t="s">
        <v>1151</v>
      </c>
      <c r="G200" t="s">
        <v>1273</v>
      </c>
      <c r="H200" t="s">
        <v>1287</v>
      </c>
      <c r="I200" t="s">
        <v>1299</v>
      </c>
      <c r="J200" t="s">
        <v>1304</v>
      </c>
      <c r="K200" t="s">
        <v>1309</v>
      </c>
      <c r="L200" t="s">
        <v>1320</v>
      </c>
      <c r="M200">
        <v>3</v>
      </c>
      <c r="N200">
        <v>0.05</v>
      </c>
      <c r="O200">
        <v>3517.11</v>
      </c>
      <c r="P200">
        <v>955.01</v>
      </c>
      <c r="Q200" t="s">
        <v>1333</v>
      </c>
      <c r="R200" t="b">
        <f t="shared" si="10"/>
        <v>0</v>
      </c>
      <c r="S200" t="b">
        <f t="shared" si="11"/>
        <v>0</v>
      </c>
      <c r="T200" t="b">
        <f t="shared" si="12"/>
        <v>0</v>
      </c>
    </row>
    <row r="201" spans="1:20" x14ac:dyDescent="0.3">
      <c r="A201">
        <v>200</v>
      </c>
      <c r="B201" t="s">
        <v>216</v>
      </c>
      <c r="C201" s="2">
        <v>45704</v>
      </c>
      <c r="D201" s="2">
        <v>45708</v>
      </c>
      <c r="E201" t="s">
        <v>1017</v>
      </c>
      <c r="F201" t="s">
        <v>1152</v>
      </c>
      <c r="G201" t="s">
        <v>1275</v>
      </c>
      <c r="H201" t="s">
        <v>1288</v>
      </c>
      <c r="I201" t="s">
        <v>1298</v>
      </c>
      <c r="J201" t="s">
        <v>1303</v>
      </c>
      <c r="K201" t="s">
        <v>1309</v>
      </c>
      <c r="L201" t="s">
        <v>1329</v>
      </c>
      <c r="M201">
        <v>2</v>
      </c>
      <c r="N201">
        <v>0.05</v>
      </c>
      <c r="O201">
        <v>3441.4</v>
      </c>
      <c r="P201">
        <v>520.08000000000004</v>
      </c>
      <c r="Q201" t="s">
        <v>1333</v>
      </c>
      <c r="R201" t="b">
        <f t="shared" si="10"/>
        <v>0</v>
      </c>
      <c r="S201" t="b">
        <f t="shared" si="11"/>
        <v>0</v>
      </c>
      <c r="T201" t="b">
        <f t="shared" si="12"/>
        <v>0</v>
      </c>
    </row>
    <row r="202" spans="1:20" x14ac:dyDescent="0.3">
      <c r="A202">
        <v>201</v>
      </c>
      <c r="B202" t="s">
        <v>217</v>
      </c>
      <c r="C202" s="2">
        <v>45893</v>
      </c>
      <c r="D202" s="2">
        <v>45897</v>
      </c>
      <c r="E202" t="s">
        <v>1017</v>
      </c>
      <c r="F202" t="s">
        <v>1056</v>
      </c>
      <c r="G202" t="s">
        <v>1281</v>
      </c>
      <c r="H202" t="s">
        <v>1287</v>
      </c>
      <c r="I202" t="s">
        <v>1296</v>
      </c>
      <c r="J202" t="s">
        <v>1304</v>
      </c>
      <c r="K202" t="s">
        <v>1309</v>
      </c>
      <c r="L202" t="s">
        <v>1317</v>
      </c>
      <c r="M202">
        <v>2</v>
      </c>
      <c r="N202">
        <v>0.25</v>
      </c>
      <c r="O202">
        <v>1242.07</v>
      </c>
      <c r="P202">
        <v>63.15</v>
      </c>
      <c r="Q202" t="s">
        <v>1332</v>
      </c>
      <c r="R202" t="b">
        <f t="shared" si="10"/>
        <v>0</v>
      </c>
      <c r="S202" t="b">
        <f t="shared" si="11"/>
        <v>0</v>
      </c>
      <c r="T202" t="b">
        <f t="shared" si="12"/>
        <v>0</v>
      </c>
    </row>
    <row r="203" spans="1:20" x14ac:dyDescent="0.3">
      <c r="A203">
        <v>202</v>
      </c>
      <c r="B203" t="s">
        <v>218</v>
      </c>
      <c r="C203" s="2">
        <v>45876</v>
      </c>
      <c r="D203" s="2">
        <v>45878</v>
      </c>
      <c r="E203" t="s">
        <v>1017</v>
      </c>
      <c r="F203" t="s">
        <v>1153</v>
      </c>
      <c r="G203" t="s">
        <v>1280</v>
      </c>
      <c r="H203" t="s">
        <v>1287</v>
      </c>
      <c r="I203" t="s">
        <v>1294</v>
      </c>
      <c r="J203" t="s">
        <v>1305</v>
      </c>
      <c r="K203" t="s">
        <v>1306</v>
      </c>
      <c r="L203" t="s">
        <v>1321</v>
      </c>
      <c r="M203">
        <v>2</v>
      </c>
      <c r="N203">
        <v>0.15</v>
      </c>
      <c r="O203">
        <v>760.67</v>
      </c>
      <c r="P203">
        <v>94.29</v>
      </c>
      <c r="Q203" t="s">
        <v>1330</v>
      </c>
      <c r="R203" t="b">
        <f t="shared" si="10"/>
        <v>0</v>
      </c>
      <c r="S203" t="b">
        <f t="shared" si="11"/>
        <v>0</v>
      </c>
      <c r="T203" t="b">
        <f t="shared" si="12"/>
        <v>0</v>
      </c>
    </row>
    <row r="204" spans="1:20" x14ac:dyDescent="0.3">
      <c r="A204">
        <v>203</v>
      </c>
      <c r="B204" t="s">
        <v>219</v>
      </c>
      <c r="C204" s="2">
        <v>45985</v>
      </c>
      <c r="D204" s="2">
        <v>45988</v>
      </c>
      <c r="E204" t="s">
        <v>1017</v>
      </c>
      <c r="F204" t="s">
        <v>1093</v>
      </c>
      <c r="G204" t="s">
        <v>1284</v>
      </c>
      <c r="H204" t="s">
        <v>1287</v>
      </c>
      <c r="I204" t="s">
        <v>1299</v>
      </c>
      <c r="J204" t="s">
        <v>1304</v>
      </c>
      <c r="K204" t="s">
        <v>1309</v>
      </c>
      <c r="L204" t="s">
        <v>1320</v>
      </c>
      <c r="M204">
        <v>2</v>
      </c>
      <c r="N204">
        <v>0.05</v>
      </c>
      <c r="O204">
        <v>2235.25</v>
      </c>
      <c r="P204">
        <v>625.69000000000005</v>
      </c>
      <c r="Q204" t="s">
        <v>1332</v>
      </c>
      <c r="R204" t="b">
        <f t="shared" si="10"/>
        <v>0</v>
      </c>
      <c r="S204" t="b">
        <f t="shared" si="11"/>
        <v>0</v>
      </c>
      <c r="T204" t="b">
        <f t="shared" si="12"/>
        <v>0</v>
      </c>
    </row>
    <row r="205" spans="1:20" x14ac:dyDescent="0.3">
      <c r="A205">
        <v>204</v>
      </c>
      <c r="B205" t="s">
        <v>220</v>
      </c>
      <c r="C205" s="2">
        <v>45955</v>
      </c>
      <c r="D205" s="2">
        <v>45960</v>
      </c>
      <c r="E205" t="s">
        <v>1017</v>
      </c>
      <c r="F205" t="s">
        <v>1127</v>
      </c>
      <c r="G205" t="s">
        <v>1271</v>
      </c>
      <c r="H205" t="s">
        <v>1289</v>
      </c>
      <c r="I205" t="s">
        <v>1301</v>
      </c>
      <c r="J205" t="s">
        <v>1303</v>
      </c>
      <c r="K205" t="s">
        <v>1307</v>
      </c>
      <c r="L205" t="s">
        <v>1315</v>
      </c>
      <c r="M205">
        <v>3</v>
      </c>
      <c r="N205">
        <v>0.15</v>
      </c>
      <c r="O205">
        <v>4522.6400000000003</v>
      </c>
      <c r="P205">
        <v>308.19</v>
      </c>
      <c r="Q205" t="s">
        <v>1331</v>
      </c>
      <c r="R205" t="b">
        <f t="shared" si="10"/>
        <v>0</v>
      </c>
      <c r="S205" t="b">
        <f t="shared" si="11"/>
        <v>0</v>
      </c>
      <c r="T205" t="b">
        <f t="shared" si="12"/>
        <v>0</v>
      </c>
    </row>
    <row r="206" spans="1:20" x14ac:dyDescent="0.3">
      <c r="A206">
        <v>205</v>
      </c>
      <c r="B206" t="s">
        <v>221</v>
      </c>
      <c r="C206" s="2">
        <v>45694</v>
      </c>
      <c r="D206" s="2">
        <v>45699</v>
      </c>
      <c r="E206" t="s">
        <v>1018</v>
      </c>
      <c r="F206" t="s">
        <v>1154</v>
      </c>
      <c r="G206" t="s">
        <v>1277</v>
      </c>
      <c r="H206" t="s">
        <v>1289</v>
      </c>
      <c r="I206" t="s">
        <v>1299</v>
      </c>
      <c r="J206" t="s">
        <v>1304</v>
      </c>
      <c r="K206" t="s">
        <v>1307</v>
      </c>
      <c r="L206" t="s">
        <v>1322</v>
      </c>
      <c r="M206">
        <v>1</v>
      </c>
      <c r="N206">
        <v>0.1</v>
      </c>
      <c r="O206">
        <v>645.04</v>
      </c>
      <c r="P206">
        <v>104.16</v>
      </c>
      <c r="Q206" t="s">
        <v>1332</v>
      </c>
      <c r="R206" t="b">
        <f t="shared" si="10"/>
        <v>0</v>
      </c>
      <c r="S206" t="b">
        <f t="shared" si="11"/>
        <v>0</v>
      </c>
      <c r="T206" t="b">
        <f t="shared" si="12"/>
        <v>0</v>
      </c>
    </row>
    <row r="207" spans="1:20" x14ac:dyDescent="0.3">
      <c r="A207">
        <v>206</v>
      </c>
      <c r="B207" t="s">
        <v>222</v>
      </c>
      <c r="C207" s="2">
        <v>46015</v>
      </c>
      <c r="D207" s="2">
        <v>46018</v>
      </c>
      <c r="E207" t="s">
        <v>1018</v>
      </c>
      <c r="F207" t="s">
        <v>1100</v>
      </c>
      <c r="G207" t="s">
        <v>1278</v>
      </c>
      <c r="H207" t="s">
        <v>1287</v>
      </c>
      <c r="I207" t="s">
        <v>1293</v>
      </c>
      <c r="J207" t="s">
        <v>1304</v>
      </c>
      <c r="K207" t="s">
        <v>1309</v>
      </c>
      <c r="L207" t="s">
        <v>1317</v>
      </c>
      <c r="M207">
        <v>1</v>
      </c>
      <c r="N207">
        <v>0.1</v>
      </c>
      <c r="O207">
        <v>708.23</v>
      </c>
      <c r="P207">
        <v>195.11</v>
      </c>
      <c r="Q207" t="s">
        <v>1331</v>
      </c>
      <c r="R207" t="b">
        <f t="shared" si="10"/>
        <v>0</v>
      </c>
      <c r="S207" t="b">
        <f t="shared" si="11"/>
        <v>0</v>
      </c>
      <c r="T207" t="b">
        <f t="shared" si="12"/>
        <v>0</v>
      </c>
    </row>
    <row r="208" spans="1:20" x14ac:dyDescent="0.3">
      <c r="A208">
        <v>207</v>
      </c>
      <c r="B208" t="s">
        <v>223</v>
      </c>
      <c r="C208" s="2">
        <v>45801</v>
      </c>
      <c r="D208" s="2">
        <v>45805</v>
      </c>
      <c r="E208" t="s">
        <v>1018</v>
      </c>
      <c r="F208" t="s">
        <v>1155</v>
      </c>
      <c r="G208" t="s">
        <v>1278</v>
      </c>
      <c r="H208" t="s">
        <v>1287</v>
      </c>
      <c r="I208" t="s">
        <v>1300</v>
      </c>
      <c r="J208" t="s">
        <v>1305</v>
      </c>
      <c r="K208" t="s">
        <v>1307</v>
      </c>
      <c r="L208" t="s">
        <v>1311</v>
      </c>
      <c r="M208">
        <v>1</v>
      </c>
      <c r="N208">
        <v>0.2</v>
      </c>
      <c r="O208">
        <v>230.71</v>
      </c>
      <c r="P208">
        <v>2.87</v>
      </c>
      <c r="Q208" t="s">
        <v>1334</v>
      </c>
      <c r="R208" t="b">
        <f t="shared" si="10"/>
        <v>0</v>
      </c>
      <c r="S208" t="b">
        <f t="shared" si="11"/>
        <v>0</v>
      </c>
      <c r="T208" t="b">
        <f t="shared" si="12"/>
        <v>0</v>
      </c>
    </row>
    <row r="209" spans="1:20" x14ac:dyDescent="0.3">
      <c r="A209">
        <v>208</v>
      </c>
      <c r="B209" t="s">
        <v>224</v>
      </c>
      <c r="C209" s="2">
        <v>45978</v>
      </c>
      <c r="D209" s="2">
        <v>45979</v>
      </c>
      <c r="E209" t="s">
        <v>1018</v>
      </c>
      <c r="F209" t="s">
        <v>1156</v>
      </c>
      <c r="G209" t="s">
        <v>1272</v>
      </c>
      <c r="H209" t="s">
        <v>1288</v>
      </c>
      <c r="I209" t="s">
        <v>1301</v>
      </c>
      <c r="J209" t="s">
        <v>1303</v>
      </c>
      <c r="K209" t="s">
        <v>1307</v>
      </c>
      <c r="L209" t="s">
        <v>1322</v>
      </c>
      <c r="M209">
        <v>1</v>
      </c>
      <c r="N209">
        <v>0.1</v>
      </c>
      <c r="O209">
        <v>637.94000000000005</v>
      </c>
      <c r="P209">
        <v>67.7</v>
      </c>
      <c r="Q209" t="s">
        <v>1331</v>
      </c>
      <c r="R209" t="b">
        <f t="shared" si="10"/>
        <v>0</v>
      </c>
      <c r="S209" t="b">
        <f t="shared" si="11"/>
        <v>0</v>
      </c>
      <c r="T209" t="b">
        <f t="shared" si="12"/>
        <v>0</v>
      </c>
    </row>
    <row r="210" spans="1:20" x14ac:dyDescent="0.3">
      <c r="A210">
        <v>209</v>
      </c>
      <c r="B210" t="s">
        <v>225</v>
      </c>
      <c r="C210" s="2">
        <v>45805</v>
      </c>
      <c r="D210" s="2">
        <v>45807</v>
      </c>
      <c r="E210" t="s">
        <v>1018</v>
      </c>
      <c r="F210" t="s">
        <v>1035</v>
      </c>
      <c r="G210" t="s">
        <v>1271</v>
      </c>
      <c r="H210" t="s">
        <v>1288</v>
      </c>
      <c r="I210" t="s">
        <v>1295</v>
      </c>
      <c r="J210" t="s">
        <v>1305</v>
      </c>
      <c r="K210" t="s">
        <v>1307</v>
      </c>
      <c r="L210" t="s">
        <v>1311</v>
      </c>
      <c r="M210">
        <v>3</v>
      </c>
      <c r="N210">
        <v>0.1</v>
      </c>
      <c r="O210">
        <v>786.47</v>
      </c>
      <c r="P210">
        <v>102.25</v>
      </c>
      <c r="Q210" t="s">
        <v>1333</v>
      </c>
      <c r="R210" t="b">
        <f t="shared" si="10"/>
        <v>0</v>
      </c>
      <c r="S210" t="b">
        <f t="shared" si="11"/>
        <v>0</v>
      </c>
      <c r="T210" t="b">
        <f t="shared" si="12"/>
        <v>0</v>
      </c>
    </row>
    <row r="211" spans="1:20" x14ac:dyDescent="0.3">
      <c r="A211">
        <v>210</v>
      </c>
      <c r="B211" t="s">
        <v>226</v>
      </c>
      <c r="C211" s="2">
        <v>45995</v>
      </c>
      <c r="D211" s="2">
        <v>45997</v>
      </c>
      <c r="E211" t="s">
        <v>1017</v>
      </c>
      <c r="F211" t="s">
        <v>1157</v>
      </c>
      <c r="G211" t="s">
        <v>1275</v>
      </c>
      <c r="H211" t="s">
        <v>1287</v>
      </c>
      <c r="I211" t="s">
        <v>1291</v>
      </c>
      <c r="J211" t="s">
        <v>1302</v>
      </c>
      <c r="K211" t="s">
        <v>1309</v>
      </c>
      <c r="L211" t="s">
        <v>1325</v>
      </c>
      <c r="M211">
        <v>2</v>
      </c>
      <c r="N211">
        <v>0.05</v>
      </c>
      <c r="O211">
        <v>2522.8200000000002</v>
      </c>
      <c r="P211">
        <v>770.96</v>
      </c>
      <c r="Q211" t="s">
        <v>1331</v>
      </c>
      <c r="R211" t="b">
        <f t="shared" si="10"/>
        <v>0</v>
      </c>
      <c r="S211" t="b">
        <f t="shared" si="11"/>
        <v>0</v>
      </c>
      <c r="T211" t="b">
        <f t="shared" si="12"/>
        <v>0</v>
      </c>
    </row>
    <row r="212" spans="1:20" x14ac:dyDescent="0.3">
      <c r="A212">
        <v>211</v>
      </c>
      <c r="B212" t="s">
        <v>227</v>
      </c>
      <c r="C212" s="2">
        <v>45982</v>
      </c>
      <c r="D212" s="2">
        <v>45986</v>
      </c>
      <c r="E212" t="s">
        <v>1017</v>
      </c>
      <c r="F212" t="s">
        <v>1158</v>
      </c>
      <c r="G212" t="s">
        <v>1281</v>
      </c>
      <c r="H212" t="s">
        <v>1287</v>
      </c>
      <c r="I212" t="s">
        <v>1292</v>
      </c>
      <c r="J212" t="s">
        <v>1303</v>
      </c>
      <c r="K212" t="s">
        <v>1309</v>
      </c>
      <c r="L212" t="s">
        <v>1317</v>
      </c>
      <c r="M212">
        <v>2</v>
      </c>
      <c r="N212">
        <v>0.1</v>
      </c>
      <c r="O212">
        <v>1472.85</v>
      </c>
      <c r="P212">
        <v>381.01</v>
      </c>
      <c r="Q212" t="s">
        <v>1334</v>
      </c>
      <c r="R212" t="b">
        <f t="shared" si="10"/>
        <v>0</v>
      </c>
      <c r="S212" t="b">
        <f t="shared" si="11"/>
        <v>0</v>
      </c>
      <c r="T212" t="b">
        <f t="shared" si="12"/>
        <v>0</v>
      </c>
    </row>
    <row r="213" spans="1:20" x14ac:dyDescent="0.3">
      <c r="A213">
        <v>212</v>
      </c>
      <c r="B213" t="s">
        <v>228</v>
      </c>
      <c r="C213" s="2">
        <v>45834</v>
      </c>
      <c r="D213" s="2">
        <v>45838</v>
      </c>
      <c r="E213" t="s">
        <v>1017</v>
      </c>
      <c r="F213" t="s">
        <v>1072</v>
      </c>
      <c r="G213" t="s">
        <v>1277</v>
      </c>
      <c r="H213" t="s">
        <v>1289</v>
      </c>
      <c r="I213" t="s">
        <v>1293</v>
      </c>
      <c r="J213" t="s">
        <v>1304</v>
      </c>
      <c r="K213" t="s">
        <v>1306</v>
      </c>
      <c r="L213" t="s">
        <v>1324</v>
      </c>
      <c r="M213">
        <v>4</v>
      </c>
      <c r="N213">
        <v>0.1</v>
      </c>
      <c r="O213">
        <v>329.67</v>
      </c>
      <c r="P213">
        <v>98.12</v>
      </c>
      <c r="Q213" t="s">
        <v>1334</v>
      </c>
      <c r="R213" t="b">
        <f t="shared" si="10"/>
        <v>0</v>
      </c>
      <c r="S213" t="b">
        <f t="shared" si="11"/>
        <v>0</v>
      </c>
      <c r="T213" t="b">
        <f t="shared" si="12"/>
        <v>0</v>
      </c>
    </row>
    <row r="214" spans="1:20" x14ac:dyDescent="0.3">
      <c r="A214">
        <v>213</v>
      </c>
      <c r="B214" t="s">
        <v>229</v>
      </c>
      <c r="C214" s="2">
        <v>45681</v>
      </c>
      <c r="D214" s="2">
        <v>45685</v>
      </c>
      <c r="E214" t="s">
        <v>1019</v>
      </c>
      <c r="F214" t="s">
        <v>1059</v>
      </c>
      <c r="G214" t="s">
        <v>1276</v>
      </c>
      <c r="H214" t="s">
        <v>1288</v>
      </c>
      <c r="I214" t="s">
        <v>1298</v>
      </c>
      <c r="J214" t="s">
        <v>1303</v>
      </c>
      <c r="K214" t="s">
        <v>1308</v>
      </c>
      <c r="L214" t="s">
        <v>1327</v>
      </c>
      <c r="M214">
        <v>4</v>
      </c>
      <c r="N214">
        <v>0</v>
      </c>
      <c r="O214">
        <v>6929.46</v>
      </c>
      <c r="P214">
        <v>1494.89</v>
      </c>
      <c r="Q214" t="s">
        <v>1332</v>
      </c>
      <c r="R214" t="b">
        <f t="shared" si="10"/>
        <v>0</v>
      </c>
      <c r="S214" t="b">
        <f t="shared" si="11"/>
        <v>0</v>
      </c>
      <c r="T214" t="b">
        <f t="shared" si="12"/>
        <v>0</v>
      </c>
    </row>
    <row r="215" spans="1:20" x14ac:dyDescent="0.3">
      <c r="A215">
        <v>214</v>
      </c>
      <c r="B215" t="s">
        <v>230</v>
      </c>
      <c r="C215" s="2">
        <v>45698</v>
      </c>
      <c r="D215" s="2">
        <v>45701</v>
      </c>
      <c r="E215" t="s">
        <v>1017</v>
      </c>
      <c r="F215" t="s">
        <v>1074</v>
      </c>
      <c r="G215" t="s">
        <v>1279</v>
      </c>
      <c r="H215" t="s">
        <v>1287</v>
      </c>
      <c r="I215" t="s">
        <v>1301</v>
      </c>
      <c r="J215" t="s">
        <v>1303</v>
      </c>
      <c r="K215" t="s">
        <v>1309</v>
      </c>
      <c r="L215" t="s">
        <v>1320</v>
      </c>
      <c r="M215">
        <v>5</v>
      </c>
      <c r="N215">
        <v>0.1</v>
      </c>
      <c r="O215">
        <v>5372.68</v>
      </c>
      <c r="P215">
        <v>1405.33</v>
      </c>
      <c r="Q215" t="s">
        <v>1332</v>
      </c>
      <c r="R215" t="b">
        <f t="shared" si="10"/>
        <v>0</v>
      </c>
      <c r="S215" t="b">
        <f t="shared" si="11"/>
        <v>0</v>
      </c>
      <c r="T215" t="b">
        <f t="shared" si="12"/>
        <v>0</v>
      </c>
    </row>
    <row r="216" spans="1:20" x14ac:dyDescent="0.3">
      <c r="A216">
        <v>215</v>
      </c>
      <c r="B216" t="s">
        <v>231</v>
      </c>
      <c r="C216" s="2">
        <v>45986</v>
      </c>
      <c r="D216" s="2">
        <v>45989</v>
      </c>
      <c r="E216" t="s">
        <v>1018</v>
      </c>
      <c r="F216" t="s">
        <v>1159</v>
      </c>
      <c r="G216" t="s">
        <v>1280</v>
      </c>
      <c r="H216" t="s">
        <v>1287</v>
      </c>
      <c r="I216" t="s">
        <v>1297</v>
      </c>
      <c r="J216" t="s">
        <v>1304</v>
      </c>
      <c r="K216" t="s">
        <v>1306</v>
      </c>
      <c r="L216" t="s">
        <v>1310</v>
      </c>
      <c r="M216">
        <v>4</v>
      </c>
      <c r="N216">
        <v>0</v>
      </c>
      <c r="O216">
        <v>2659.93</v>
      </c>
      <c r="P216">
        <v>711.12</v>
      </c>
      <c r="Q216" t="s">
        <v>1331</v>
      </c>
      <c r="R216" t="b">
        <f t="shared" si="10"/>
        <v>0</v>
      </c>
      <c r="S216" t="b">
        <f t="shared" si="11"/>
        <v>0</v>
      </c>
      <c r="T216" t="b">
        <f t="shared" si="12"/>
        <v>0</v>
      </c>
    </row>
    <row r="217" spans="1:20" x14ac:dyDescent="0.3">
      <c r="A217">
        <v>216</v>
      </c>
      <c r="B217" t="s">
        <v>232</v>
      </c>
      <c r="C217" s="2">
        <v>45806</v>
      </c>
      <c r="D217" s="2">
        <v>45810</v>
      </c>
      <c r="E217" t="s">
        <v>1018</v>
      </c>
      <c r="F217" t="s">
        <v>1081</v>
      </c>
      <c r="G217" t="s">
        <v>1267</v>
      </c>
      <c r="H217" t="s">
        <v>1288</v>
      </c>
      <c r="I217" t="s">
        <v>1293</v>
      </c>
      <c r="J217" t="s">
        <v>1304</v>
      </c>
      <c r="K217" t="s">
        <v>1307</v>
      </c>
      <c r="L217" t="s">
        <v>1314</v>
      </c>
      <c r="M217">
        <v>3</v>
      </c>
      <c r="N217">
        <v>0.25</v>
      </c>
      <c r="O217">
        <v>2065.88</v>
      </c>
      <c r="P217">
        <v>286.27999999999997</v>
      </c>
      <c r="Q217" t="s">
        <v>1334</v>
      </c>
      <c r="R217" t="b">
        <f t="shared" si="10"/>
        <v>0</v>
      </c>
      <c r="S217" t="b">
        <f t="shared" si="11"/>
        <v>0</v>
      </c>
      <c r="T217" t="b">
        <f t="shared" si="12"/>
        <v>0</v>
      </c>
    </row>
    <row r="218" spans="1:20" x14ac:dyDescent="0.3">
      <c r="A218">
        <v>217</v>
      </c>
      <c r="B218" t="s">
        <v>233</v>
      </c>
      <c r="C218" s="2">
        <v>45670</v>
      </c>
      <c r="D218" s="2">
        <v>45675</v>
      </c>
      <c r="E218" t="s">
        <v>1018</v>
      </c>
      <c r="F218" t="s">
        <v>1052</v>
      </c>
      <c r="G218" t="s">
        <v>1270</v>
      </c>
      <c r="H218" t="s">
        <v>1287</v>
      </c>
      <c r="I218" t="s">
        <v>1291</v>
      </c>
      <c r="J218" t="s">
        <v>1302</v>
      </c>
      <c r="K218" t="s">
        <v>1307</v>
      </c>
      <c r="L218" t="s">
        <v>1315</v>
      </c>
      <c r="M218">
        <v>1</v>
      </c>
      <c r="N218">
        <v>0.15</v>
      </c>
      <c r="O218">
        <v>1592.01</v>
      </c>
      <c r="P218">
        <v>175.02</v>
      </c>
      <c r="Q218" t="s">
        <v>1332</v>
      </c>
      <c r="R218" t="b">
        <f t="shared" si="10"/>
        <v>0</v>
      </c>
      <c r="S218" t="b">
        <f t="shared" si="11"/>
        <v>0</v>
      </c>
      <c r="T218" t="b">
        <f t="shared" si="12"/>
        <v>0</v>
      </c>
    </row>
    <row r="219" spans="1:20" x14ac:dyDescent="0.3">
      <c r="A219">
        <v>218</v>
      </c>
      <c r="B219" t="s">
        <v>234</v>
      </c>
      <c r="C219" s="2">
        <v>45885</v>
      </c>
      <c r="D219" s="2">
        <v>45887</v>
      </c>
      <c r="E219" t="s">
        <v>1017</v>
      </c>
      <c r="F219" t="s">
        <v>1148</v>
      </c>
      <c r="G219" t="s">
        <v>1268</v>
      </c>
      <c r="H219" t="s">
        <v>1288</v>
      </c>
      <c r="I219" t="s">
        <v>1301</v>
      </c>
      <c r="J219" t="s">
        <v>1303</v>
      </c>
      <c r="K219" t="s">
        <v>1306</v>
      </c>
      <c r="L219" t="s">
        <v>1324</v>
      </c>
      <c r="M219">
        <v>1</v>
      </c>
      <c r="N219">
        <v>0.15</v>
      </c>
      <c r="O219">
        <v>76.650000000000006</v>
      </c>
      <c r="P219">
        <v>8.65</v>
      </c>
      <c r="Q219" t="s">
        <v>1333</v>
      </c>
      <c r="R219" t="b">
        <f t="shared" si="10"/>
        <v>0</v>
      </c>
      <c r="S219" t="b">
        <f t="shared" si="11"/>
        <v>0</v>
      </c>
      <c r="T219" t="b">
        <f t="shared" si="12"/>
        <v>0</v>
      </c>
    </row>
    <row r="220" spans="1:20" x14ac:dyDescent="0.3">
      <c r="A220">
        <v>219</v>
      </c>
      <c r="B220" t="s">
        <v>235</v>
      </c>
      <c r="C220" s="2">
        <v>45879</v>
      </c>
      <c r="D220" s="2">
        <v>45880</v>
      </c>
      <c r="E220" t="s">
        <v>1017</v>
      </c>
      <c r="F220" t="s">
        <v>1160</v>
      </c>
      <c r="G220" t="s">
        <v>1277</v>
      </c>
      <c r="H220" t="s">
        <v>1288</v>
      </c>
      <c r="I220" t="s">
        <v>1301</v>
      </c>
      <c r="J220" t="s">
        <v>1303</v>
      </c>
      <c r="K220" t="s">
        <v>1307</v>
      </c>
      <c r="L220" t="s">
        <v>1322</v>
      </c>
      <c r="M220">
        <v>1</v>
      </c>
      <c r="N220">
        <v>0.15</v>
      </c>
      <c r="O220">
        <v>571.58000000000004</v>
      </c>
      <c r="P220">
        <v>101.07</v>
      </c>
      <c r="Q220" t="s">
        <v>1331</v>
      </c>
      <c r="R220" t="b">
        <f t="shared" si="10"/>
        <v>0</v>
      </c>
      <c r="S220" t="b">
        <f t="shared" si="11"/>
        <v>0</v>
      </c>
      <c r="T220" t="b">
        <f t="shared" si="12"/>
        <v>0</v>
      </c>
    </row>
    <row r="221" spans="1:20" x14ac:dyDescent="0.3">
      <c r="A221">
        <v>220</v>
      </c>
      <c r="B221" t="s">
        <v>236</v>
      </c>
      <c r="C221" s="2">
        <v>45885</v>
      </c>
      <c r="D221" s="2">
        <v>45888</v>
      </c>
      <c r="E221" t="s">
        <v>1018</v>
      </c>
      <c r="F221" t="s">
        <v>1134</v>
      </c>
      <c r="G221" t="s">
        <v>1282</v>
      </c>
      <c r="H221" t="s">
        <v>1287</v>
      </c>
      <c r="I221" t="s">
        <v>1290</v>
      </c>
      <c r="J221" t="s">
        <v>1302</v>
      </c>
      <c r="K221" t="s">
        <v>1308</v>
      </c>
      <c r="L221" t="s">
        <v>1312</v>
      </c>
      <c r="M221">
        <v>3</v>
      </c>
      <c r="N221">
        <v>0.1</v>
      </c>
      <c r="O221">
        <v>3340.21</v>
      </c>
      <c r="P221">
        <v>223.73</v>
      </c>
      <c r="Q221" t="s">
        <v>1331</v>
      </c>
      <c r="R221" t="b">
        <f t="shared" si="10"/>
        <v>0</v>
      </c>
      <c r="S221" t="b">
        <f t="shared" si="11"/>
        <v>0</v>
      </c>
      <c r="T221" t="b">
        <f t="shared" si="12"/>
        <v>0</v>
      </c>
    </row>
    <row r="222" spans="1:20" x14ac:dyDescent="0.3">
      <c r="A222">
        <v>221</v>
      </c>
      <c r="B222" t="s">
        <v>237</v>
      </c>
      <c r="C222" s="2">
        <v>45862</v>
      </c>
      <c r="D222" s="2">
        <v>45866</v>
      </c>
      <c r="E222" t="s">
        <v>1019</v>
      </c>
      <c r="F222" t="s">
        <v>1027</v>
      </c>
      <c r="G222" t="s">
        <v>1273</v>
      </c>
      <c r="H222" t="s">
        <v>1287</v>
      </c>
      <c r="I222" t="s">
        <v>1294</v>
      </c>
      <c r="J222" t="s">
        <v>1305</v>
      </c>
      <c r="K222" t="s">
        <v>1307</v>
      </c>
      <c r="L222" t="s">
        <v>1315</v>
      </c>
      <c r="M222">
        <v>4</v>
      </c>
      <c r="N222">
        <v>0.1</v>
      </c>
      <c r="O222">
        <v>6459.44</v>
      </c>
      <c r="P222">
        <v>1914.67</v>
      </c>
      <c r="Q222" t="s">
        <v>1332</v>
      </c>
      <c r="R222" t="b">
        <f t="shared" si="10"/>
        <v>0</v>
      </c>
      <c r="S222" t="b">
        <f t="shared" si="11"/>
        <v>0</v>
      </c>
      <c r="T222" t="b">
        <f t="shared" si="12"/>
        <v>0</v>
      </c>
    </row>
    <row r="223" spans="1:20" x14ac:dyDescent="0.3">
      <c r="A223">
        <v>222</v>
      </c>
      <c r="B223" t="s">
        <v>238</v>
      </c>
      <c r="C223" s="2">
        <v>45856</v>
      </c>
      <c r="D223" s="2">
        <v>45858</v>
      </c>
      <c r="E223" t="s">
        <v>1017</v>
      </c>
      <c r="F223" t="s">
        <v>1161</v>
      </c>
      <c r="G223" t="s">
        <v>1281</v>
      </c>
      <c r="H223" t="s">
        <v>1289</v>
      </c>
      <c r="I223" t="s">
        <v>1301</v>
      </c>
      <c r="J223" t="s">
        <v>1303</v>
      </c>
      <c r="K223" t="s">
        <v>1308</v>
      </c>
      <c r="L223" t="s">
        <v>1312</v>
      </c>
      <c r="N223">
        <v>0</v>
      </c>
      <c r="O223">
        <v>2700.9</v>
      </c>
      <c r="P223">
        <v>649.94000000000005</v>
      </c>
      <c r="Q223" t="s">
        <v>1333</v>
      </c>
      <c r="R223" t="b">
        <f t="shared" si="10"/>
        <v>0</v>
      </c>
      <c r="S223" t="b">
        <f t="shared" si="11"/>
        <v>1</v>
      </c>
      <c r="T223" t="b">
        <f t="shared" si="12"/>
        <v>0</v>
      </c>
    </row>
    <row r="224" spans="1:20" x14ac:dyDescent="0.3">
      <c r="A224">
        <v>223</v>
      </c>
      <c r="B224" t="s">
        <v>239</v>
      </c>
      <c r="C224" s="2">
        <v>45709</v>
      </c>
      <c r="D224" s="2">
        <v>45713</v>
      </c>
      <c r="E224" t="s">
        <v>1018</v>
      </c>
      <c r="F224" t="s">
        <v>1162</v>
      </c>
      <c r="G224" t="s">
        <v>1275</v>
      </c>
      <c r="H224" t="s">
        <v>1289</v>
      </c>
      <c r="I224" t="s">
        <v>1290</v>
      </c>
      <c r="J224" t="s">
        <v>1302</v>
      </c>
      <c r="K224" t="s">
        <v>1307</v>
      </c>
      <c r="L224" t="s">
        <v>1314</v>
      </c>
      <c r="M224">
        <v>1</v>
      </c>
      <c r="N224">
        <v>0.05</v>
      </c>
      <c r="O224">
        <v>857.36</v>
      </c>
      <c r="P224">
        <v>289.08</v>
      </c>
      <c r="Q224" t="s">
        <v>1333</v>
      </c>
      <c r="R224" t="b">
        <f t="shared" si="10"/>
        <v>0</v>
      </c>
      <c r="S224" t="b">
        <f t="shared" si="11"/>
        <v>0</v>
      </c>
      <c r="T224" t="b">
        <f t="shared" si="12"/>
        <v>0</v>
      </c>
    </row>
    <row r="225" spans="1:20" x14ac:dyDescent="0.3">
      <c r="A225">
        <v>224</v>
      </c>
      <c r="B225" t="s">
        <v>240</v>
      </c>
      <c r="C225" s="2">
        <v>45881</v>
      </c>
      <c r="D225" s="2">
        <v>45886</v>
      </c>
      <c r="E225" t="s">
        <v>1018</v>
      </c>
      <c r="F225" t="s">
        <v>1163</v>
      </c>
      <c r="G225" t="s">
        <v>1269</v>
      </c>
      <c r="H225" t="s">
        <v>1287</v>
      </c>
      <c r="I225" t="s">
        <v>1293</v>
      </c>
      <c r="J225" t="s">
        <v>1304</v>
      </c>
      <c r="K225" t="s">
        <v>1309</v>
      </c>
      <c r="L225" t="s">
        <v>1317</v>
      </c>
      <c r="M225">
        <v>1</v>
      </c>
      <c r="N225">
        <v>0.15</v>
      </c>
      <c r="O225">
        <v>709.65</v>
      </c>
      <c r="P225">
        <v>60.49</v>
      </c>
      <c r="Q225" t="s">
        <v>1331</v>
      </c>
      <c r="R225" t="b">
        <f t="shared" si="10"/>
        <v>0</v>
      </c>
      <c r="S225" t="b">
        <f t="shared" si="11"/>
        <v>0</v>
      </c>
      <c r="T225" t="b">
        <f t="shared" si="12"/>
        <v>0</v>
      </c>
    </row>
    <row r="226" spans="1:20" x14ac:dyDescent="0.3">
      <c r="A226">
        <v>225</v>
      </c>
      <c r="B226" t="s">
        <v>241</v>
      </c>
      <c r="C226" s="2">
        <v>45892</v>
      </c>
      <c r="D226" s="2">
        <v>45896</v>
      </c>
      <c r="E226" t="s">
        <v>1018</v>
      </c>
      <c r="F226" t="s">
        <v>1079</v>
      </c>
      <c r="G226" t="s">
        <v>1285</v>
      </c>
      <c r="H226" t="s">
        <v>1289</v>
      </c>
      <c r="I226" t="s">
        <v>1301</v>
      </c>
      <c r="J226" t="s">
        <v>1303</v>
      </c>
      <c r="K226" t="s">
        <v>1306</v>
      </c>
      <c r="L226" t="s">
        <v>1321</v>
      </c>
      <c r="M226">
        <v>2</v>
      </c>
      <c r="N226">
        <v>0</v>
      </c>
      <c r="O226">
        <v>930.93</v>
      </c>
      <c r="P226">
        <v>196.32</v>
      </c>
      <c r="Q226" t="s">
        <v>1331</v>
      </c>
      <c r="R226" t="b">
        <f t="shared" si="10"/>
        <v>0</v>
      </c>
      <c r="S226" t="b">
        <f t="shared" si="11"/>
        <v>0</v>
      </c>
      <c r="T226" t="b">
        <f t="shared" si="12"/>
        <v>0</v>
      </c>
    </row>
    <row r="227" spans="1:20" x14ac:dyDescent="0.3">
      <c r="A227">
        <v>226</v>
      </c>
      <c r="B227" t="s">
        <v>242</v>
      </c>
      <c r="C227" s="2">
        <v>46014</v>
      </c>
      <c r="D227" s="2">
        <v>46015</v>
      </c>
      <c r="E227" t="s">
        <v>1017</v>
      </c>
      <c r="F227" t="s">
        <v>1118</v>
      </c>
      <c r="G227" t="s">
        <v>1286</v>
      </c>
      <c r="H227" t="s">
        <v>1287</v>
      </c>
      <c r="I227" t="s">
        <v>1295</v>
      </c>
      <c r="J227" t="s">
        <v>1305</v>
      </c>
      <c r="K227" t="s">
        <v>1307</v>
      </c>
      <c r="L227" t="s">
        <v>1322</v>
      </c>
      <c r="M227">
        <v>2</v>
      </c>
      <c r="N227">
        <v>0</v>
      </c>
      <c r="O227">
        <v>1456.63</v>
      </c>
      <c r="P227">
        <v>540.63</v>
      </c>
      <c r="Q227" t="s">
        <v>1332</v>
      </c>
      <c r="R227" t="b">
        <f t="shared" si="10"/>
        <v>0</v>
      </c>
      <c r="S227" t="b">
        <f t="shared" si="11"/>
        <v>0</v>
      </c>
      <c r="T227" t="b">
        <f t="shared" si="12"/>
        <v>0</v>
      </c>
    </row>
    <row r="228" spans="1:20" x14ac:dyDescent="0.3">
      <c r="A228">
        <v>227</v>
      </c>
      <c r="B228" t="s">
        <v>243</v>
      </c>
      <c r="C228" s="2">
        <v>45904</v>
      </c>
      <c r="D228" s="2">
        <v>45909</v>
      </c>
      <c r="E228" t="s">
        <v>1017</v>
      </c>
      <c r="F228" t="s">
        <v>1043</v>
      </c>
      <c r="G228" t="s">
        <v>1277</v>
      </c>
      <c r="H228" t="s">
        <v>1287</v>
      </c>
      <c r="I228" t="s">
        <v>1299</v>
      </c>
      <c r="J228" t="s">
        <v>1304</v>
      </c>
      <c r="K228" t="s">
        <v>1307</v>
      </c>
      <c r="L228" t="s">
        <v>1311</v>
      </c>
      <c r="M228">
        <v>5</v>
      </c>
      <c r="N228">
        <v>1.25</v>
      </c>
      <c r="O228">
        <v>1393.16</v>
      </c>
      <c r="P228">
        <v>235.11</v>
      </c>
      <c r="Q228" t="s">
        <v>1332</v>
      </c>
      <c r="R228" t="b">
        <f t="shared" si="10"/>
        <v>0</v>
      </c>
      <c r="S228" t="b">
        <f t="shared" si="11"/>
        <v>0</v>
      </c>
      <c r="T228" t="b">
        <f t="shared" si="12"/>
        <v>1</v>
      </c>
    </row>
    <row r="229" spans="1:20" x14ac:dyDescent="0.3">
      <c r="A229">
        <v>228</v>
      </c>
      <c r="B229" t="s">
        <v>244</v>
      </c>
      <c r="C229" s="2">
        <v>45731</v>
      </c>
      <c r="D229" s="2">
        <v>45735</v>
      </c>
      <c r="E229" t="s">
        <v>1017</v>
      </c>
      <c r="F229" t="s">
        <v>1164</v>
      </c>
      <c r="G229" t="s">
        <v>1270</v>
      </c>
      <c r="H229" t="s">
        <v>1287</v>
      </c>
      <c r="I229" t="s">
        <v>1301</v>
      </c>
      <c r="J229" t="s">
        <v>1303</v>
      </c>
      <c r="K229" t="s">
        <v>1307</v>
      </c>
      <c r="L229" t="s">
        <v>1311</v>
      </c>
      <c r="M229">
        <v>4</v>
      </c>
      <c r="N229">
        <v>0.1</v>
      </c>
      <c r="O229">
        <v>1061.01</v>
      </c>
      <c r="P229">
        <v>97.94</v>
      </c>
      <c r="Q229" t="s">
        <v>1334</v>
      </c>
      <c r="R229" t="b">
        <f t="shared" si="10"/>
        <v>0</v>
      </c>
      <c r="S229" t="b">
        <f t="shared" si="11"/>
        <v>0</v>
      </c>
      <c r="T229" t="b">
        <f t="shared" si="12"/>
        <v>0</v>
      </c>
    </row>
    <row r="230" spans="1:20" x14ac:dyDescent="0.3">
      <c r="A230">
        <v>229</v>
      </c>
      <c r="B230" t="s">
        <v>245</v>
      </c>
      <c r="C230" s="2">
        <v>46021</v>
      </c>
      <c r="D230" s="2">
        <v>46026</v>
      </c>
      <c r="E230" t="s">
        <v>1017</v>
      </c>
      <c r="F230" t="s">
        <v>1045</v>
      </c>
      <c r="G230" t="s">
        <v>1278</v>
      </c>
      <c r="H230" t="s">
        <v>1289</v>
      </c>
      <c r="I230" t="s">
        <v>1301</v>
      </c>
      <c r="J230" t="s">
        <v>1303</v>
      </c>
      <c r="K230" t="s">
        <v>1308</v>
      </c>
      <c r="L230" t="s">
        <v>1319</v>
      </c>
      <c r="M230">
        <v>2</v>
      </c>
      <c r="N230">
        <v>0</v>
      </c>
      <c r="O230">
        <v>8738.51</v>
      </c>
      <c r="P230">
        <v>1377.57</v>
      </c>
      <c r="Q230" t="s">
        <v>1331</v>
      </c>
      <c r="R230" t="b">
        <f t="shared" si="10"/>
        <v>0</v>
      </c>
      <c r="S230" t="b">
        <f t="shared" si="11"/>
        <v>0</v>
      </c>
      <c r="T230" t="b">
        <f t="shared" si="12"/>
        <v>0</v>
      </c>
    </row>
    <row r="231" spans="1:20" x14ac:dyDescent="0.3">
      <c r="A231">
        <v>230</v>
      </c>
      <c r="B231" t="s">
        <v>246</v>
      </c>
      <c r="C231" s="2">
        <v>45820</v>
      </c>
      <c r="D231" s="2">
        <v>45823</v>
      </c>
      <c r="E231" t="s">
        <v>1017</v>
      </c>
      <c r="F231" t="s">
        <v>1165</v>
      </c>
      <c r="G231" t="s">
        <v>1280</v>
      </c>
      <c r="H231" t="s">
        <v>1287</v>
      </c>
      <c r="I231" t="s">
        <v>1296</v>
      </c>
      <c r="J231" t="s">
        <v>1304</v>
      </c>
      <c r="K231" t="s">
        <v>1307</v>
      </c>
      <c r="L231" t="s">
        <v>1316</v>
      </c>
      <c r="M231">
        <v>2</v>
      </c>
      <c r="N231">
        <v>0.15</v>
      </c>
      <c r="O231">
        <v>886.55</v>
      </c>
      <c r="P231">
        <v>152.6</v>
      </c>
      <c r="Q231" t="s">
        <v>1333</v>
      </c>
      <c r="R231" t="b">
        <f t="shared" si="10"/>
        <v>0</v>
      </c>
      <c r="S231" t="b">
        <f t="shared" si="11"/>
        <v>0</v>
      </c>
      <c r="T231" t="b">
        <f t="shared" si="12"/>
        <v>0</v>
      </c>
    </row>
    <row r="232" spans="1:20" x14ac:dyDescent="0.3">
      <c r="A232">
        <v>231</v>
      </c>
      <c r="B232" t="s">
        <v>247</v>
      </c>
      <c r="C232" s="2">
        <v>46022</v>
      </c>
      <c r="D232" s="2">
        <v>46026</v>
      </c>
      <c r="E232" t="s">
        <v>1017</v>
      </c>
      <c r="F232" t="s">
        <v>1102</v>
      </c>
      <c r="G232" t="s">
        <v>1273</v>
      </c>
      <c r="H232" t="s">
        <v>1287</v>
      </c>
      <c r="I232" t="s">
        <v>1299</v>
      </c>
      <c r="J232" t="s">
        <v>1304</v>
      </c>
      <c r="K232" t="s">
        <v>1306</v>
      </c>
      <c r="L232" t="s">
        <v>1324</v>
      </c>
      <c r="M232">
        <v>1</v>
      </c>
      <c r="N232">
        <v>0</v>
      </c>
      <c r="O232">
        <v>86.42</v>
      </c>
      <c r="P232">
        <v>21.51</v>
      </c>
      <c r="Q232" t="s">
        <v>1331</v>
      </c>
      <c r="R232" t="b">
        <f t="shared" si="10"/>
        <v>0</v>
      </c>
      <c r="S232" t="b">
        <f t="shared" si="11"/>
        <v>0</v>
      </c>
      <c r="T232" t="b">
        <f t="shared" si="12"/>
        <v>0</v>
      </c>
    </row>
    <row r="233" spans="1:20" x14ac:dyDescent="0.3">
      <c r="A233">
        <v>232</v>
      </c>
      <c r="B233" t="s">
        <v>248</v>
      </c>
      <c r="C233" s="2">
        <v>45796</v>
      </c>
      <c r="D233" s="2">
        <v>45799</v>
      </c>
      <c r="E233" t="s">
        <v>1018</v>
      </c>
      <c r="F233" t="s">
        <v>1085</v>
      </c>
      <c r="G233" t="s">
        <v>1274</v>
      </c>
      <c r="H233" t="s">
        <v>1289</v>
      </c>
      <c r="I233" t="s">
        <v>1294</v>
      </c>
      <c r="J233" t="s">
        <v>1305</v>
      </c>
      <c r="K233" t="s">
        <v>1307</v>
      </c>
      <c r="L233" t="s">
        <v>1315</v>
      </c>
      <c r="M233">
        <v>5</v>
      </c>
      <c r="N233">
        <v>0.1</v>
      </c>
      <c r="O233">
        <v>8036.81</v>
      </c>
      <c r="P233">
        <v>1872.83</v>
      </c>
      <c r="Q233" t="s">
        <v>1330</v>
      </c>
      <c r="R233" t="b">
        <f t="shared" si="10"/>
        <v>0</v>
      </c>
      <c r="S233" t="b">
        <f t="shared" si="11"/>
        <v>0</v>
      </c>
      <c r="T233" t="b">
        <f t="shared" si="12"/>
        <v>0</v>
      </c>
    </row>
    <row r="234" spans="1:20" x14ac:dyDescent="0.3">
      <c r="A234">
        <v>233</v>
      </c>
      <c r="B234" t="s">
        <v>249</v>
      </c>
      <c r="C234" s="2">
        <v>45899</v>
      </c>
      <c r="D234" s="2">
        <v>45903</v>
      </c>
      <c r="E234" t="s">
        <v>1017</v>
      </c>
      <c r="F234" t="s">
        <v>1137</v>
      </c>
      <c r="G234" t="s">
        <v>1274</v>
      </c>
      <c r="H234" t="s">
        <v>1287</v>
      </c>
      <c r="I234" t="s">
        <v>1297</v>
      </c>
      <c r="J234" t="s">
        <v>1304</v>
      </c>
      <c r="K234" t="s">
        <v>1307</v>
      </c>
      <c r="L234" t="s">
        <v>1315</v>
      </c>
      <c r="M234">
        <v>3</v>
      </c>
      <c r="N234">
        <v>0.2</v>
      </c>
      <c r="O234">
        <v>4190</v>
      </c>
      <c r="P234">
        <v>568.28</v>
      </c>
      <c r="Q234" t="s">
        <v>1332</v>
      </c>
      <c r="R234" t="b">
        <f t="shared" si="10"/>
        <v>0</v>
      </c>
      <c r="S234" t="b">
        <f t="shared" si="11"/>
        <v>0</v>
      </c>
      <c r="T234" t="b">
        <f t="shared" si="12"/>
        <v>0</v>
      </c>
    </row>
    <row r="235" spans="1:20" x14ac:dyDescent="0.3">
      <c r="A235">
        <v>234</v>
      </c>
      <c r="B235" t="s">
        <v>250</v>
      </c>
      <c r="C235" s="2">
        <v>45937</v>
      </c>
      <c r="D235" s="2">
        <v>45940</v>
      </c>
      <c r="E235" t="s">
        <v>1018</v>
      </c>
      <c r="F235" t="s">
        <v>1080</v>
      </c>
      <c r="G235" t="s">
        <v>1270</v>
      </c>
      <c r="H235" t="s">
        <v>1289</v>
      </c>
      <c r="I235" t="s">
        <v>1296</v>
      </c>
      <c r="J235" t="s">
        <v>1304</v>
      </c>
      <c r="K235" t="s">
        <v>1306</v>
      </c>
      <c r="L235" t="s">
        <v>1328</v>
      </c>
      <c r="M235">
        <v>2</v>
      </c>
      <c r="N235">
        <v>0.1</v>
      </c>
      <c r="O235">
        <v>223.25</v>
      </c>
      <c r="P235">
        <v>58.5</v>
      </c>
      <c r="Q235" t="s">
        <v>1333</v>
      </c>
      <c r="R235" t="b">
        <f t="shared" si="10"/>
        <v>0</v>
      </c>
      <c r="S235" t="b">
        <f t="shared" si="11"/>
        <v>0</v>
      </c>
      <c r="T235" t="b">
        <f t="shared" si="12"/>
        <v>0</v>
      </c>
    </row>
    <row r="236" spans="1:20" x14ac:dyDescent="0.3">
      <c r="A236">
        <v>235</v>
      </c>
      <c r="B236" t="s">
        <v>251</v>
      </c>
      <c r="C236" s="2">
        <v>46008</v>
      </c>
      <c r="D236" s="2">
        <v>46013</v>
      </c>
      <c r="E236" t="s">
        <v>1017</v>
      </c>
      <c r="F236" t="s">
        <v>1078</v>
      </c>
      <c r="G236" t="s">
        <v>1286</v>
      </c>
      <c r="H236" t="s">
        <v>1287</v>
      </c>
      <c r="I236" t="s">
        <v>1300</v>
      </c>
      <c r="J236" t="s">
        <v>1305</v>
      </c>
      <c r="K236" t="s">
        <v>1306</v>
      </c>
      <c r="L236" t="s">
        <v>1310</v>
      </c>
      <c r="M236">
        <v>1</v>
      </c>
      <c r="N236">
        <v>0.2</v>
      </c>
      <c r="O236">
        <v>533.80999999999995</v>
      </c>
      <c r="P236">
        <v>130.81</v>
      </c>
      <c r="Q236" t="s">
        <v>1330</v>
      </c>
      <c r="R236" t="b">
        <f t="shared" si="10"/>
        <v>0</v>
      </c>
      <c r="S236" t="b">
        <f t="shared" si="11"/>
        <v>0</v>
      </c>
      <c r="T236" t="b">
        <f t="shared" si="12"/>
        <v>0</v>
      </c>
    </row>
    <row r="237" spans="1:20" x14ac:dyDescent="0.3">
      <c r="A237">
        <v>236</v>
      </c>
      <c r="B237" t="s">
        <v>252</v>
      </c>
      <c r="C237" s="2">
        <v>45960</v>
      </c>
      <c r="D237" s="2">
        <v>45964</v>
      </c>
      <c r="E237" t="s">
        <v>1018</v>
      </c>
      <c r="F237" t="s">
        <v>1166</v>
      </c>
      <c r="G237" t="s">
        <v>1279</v>
      </c>
      <c r="H237" t="s">
        <v>1289</v>
      </c>
      <c r="I237" t="s">
        <v>1297</v>
      </c>
      <c r="J237" t="s">
        <v>1304</v>
      </c>
      <c r="K237" t="s">
        <v>1309</v>
      </c>
      <c r="L237" t="s">
        <v>1320</v>
      </c>
      <c r="M237">
        <v>1</v>
      </c>
      <c r="N237">
        <v>0</v>
      </c>
      <c r="O237">
        <v>1254.97</v>
      </c>
      <c r="P237">
        <v>457.8</v>
      </c>
      <c r="Q237" t="s">
        <v>1333</v>
      </c>
      <c r="R237" t="b">
        <f t="shared" si="10"/>
        <v>0</v>
      </c>
      <c r="S237" t="b">
        <f t="shared" si="11"/>
        <v>0</v>
      </c>
      <c r="T237" t="b">
        <f t="shared" si="12"/>
        <v>0</v>
      </c>
    </row>
    <row r="238" spans="1:20" x14ac:dyDescent="0.3">
      <c r="A238">
        <v>237</v>
      </c>
      <c r="B238" t="s">
        <v>253</v>
      </c>
      <c r="C238" s="2">
        <v>45842</v>
      </c>
      <c r="D238" s="2">
        <v>45845</v>
      </c>
      <c r="E238" t="s">
        <v>1017</v>
      </c>
      <c r="F238" t="s">
        <v>1167</v>
      </c>
      <c r="G238" t="s">
        <v>1282</v>
      </c>
      <c r="H238" t="s">
        <v>1288</v>
      </c>
      <c r="I238" t="s">
        <v>1294</v>
      </c>
      <c r="J238" t="s">
        <v>1305</v>
      </c>
      <c r="K238" t="s">
        <v>1306</v>
      </c>
      <c r="L238" t="s">
        <v>1310</v>
      </c>
      <c r="M238">
        <v>1</v>
      </c>
      <c r="N238">
        <v>0.05</v>
      </c>
      <c r="O238">
        <v>648.35</v>
      </c>
      <c r="P238">
        <v>192.6</v>
      </c>
      <c r="Q238" t="s">
        <v>1331</v>
      </c>
      <c r="R238" t="b">
        <f t="shared" si="10"/>
        <v>0</v>
      </c>
      <c r="S238" t="b">
        <f t="shared" si="11"/>
        <v>0</v>
      </c>
      <c r="T238" t="b">
        <f t="shared" si="12"/>
        <v>0</v>
      </c>
    </row>
    <row r="239" spans="1:20" x14ac:dyDescent="0.3">
      <c r="A239">
        <v>238</v>
      </c>
      <c r="B239" t="s">
        <v>254</v>
      </c>
      <c r="C239" s="2">
        <v>45796</v>
      </c>
      <c r="D239" s="2">
        <v>45798</v>
      </c>
      <c r="E239" t="s">
        <v>1019</v>
      </c>
      <c r="F239" t="s">
        <v>1168</v>
      </c>
      <c r="G239" t="s">
        <v>1273</v>
      </c>
      <c r="H239" t="s">
        <v>1287</v>
      </c>
      <c r="I239" t="s">
        <v>1290</v>
      </c>
      <c r="J239" t="s">
        <v>1302</v>
      </c>
      <c r="K239" t="s">
        <v>1306</v>
      </c>
      <c r="L239" t="s">
        <v>1328</v>
      </c>
      <c r="M239">
        <v>1</v>
      </c>
      <c r="N239">
        <v>0.1</v>
      </c>
      <c r="O239">
        <v>107.8</v>
      </c>
      <c r="P239">
        <v>24.72</v>
      </c>
      <c r="Q239" t="s">
        <v>1333</v>
      </c>
      <c r="R239" t="b">
        <f t="shared" si="10"/>
        <v>0</v>
      </c>
      <c r="S239" t="b">
        <f t="shared" si="11"/>
        <v>0</v>
      </c>
      <c r="T239" t="b">
        <f t="shared" si="12"/>
        <v>0</v>
      </c>
    </row>
    <row r="240" spans="1:20" x14ac:dyDescent="0.3">
      <c r="A240">
        <v>239</v>
      </c>
      <c r="B240" t="s">
        <v>255</v>
      </c>
      <c r="C240" s="2">
        <v>45761</v>
      </c>
      <c r="D240" s="2">
        <v>45764</v>
      </c>
      <c r="E240" t="s">
        <v>1017</v>
      </c>
      <c r="F240" t="s">
        <v>1169</v>
      </c>
      <c r="G240" t="s">
        <v>1275</v>
      </c>
      <c r="H240" t="s">
        <v>1287</v>
      </c>
      <c r="I240" t="s">
        <v>1299</v>
      </c>
      <c r="J240" t="s">
        <v>1304</v>
      </c>
      <c r="K240" t="s">
        <v>1306</v>
      </c>
      <c r="L240" t="s">
        <v>1324</v>
      </c>
      <c r="M240">
        <v>4</v>
      </c>
      <c r="N240">
        <v>0.2</v>
      </c>
      <c r="O240">
        <v>296.74</v>
      </c>
      <c r="P240">
        <v>64.75</v>
      </c>
      <c r="Q240" t="s">
        <v>1331</v>
      </c>
      <c r="R240" t="b">
        <f t="shared" si="10"/>
        <v>0</v>
      </c>
      <c r="S240" t="b">
        <f t="shared" si="11"/>
        <v>0</v>
      </c>
      <c r="T240" t="b">
        <f t="shared" si="12"/>
        <v>0</v>
      </c>
    </row>
    <row r="241" spans="1:20" x14ac:dyDescent="0.3">
      <c r="A241">
        <v>240</v>
      </c>
      <c r="B241" t="s">
        <v>256</v>
      </c>
      <c r="C241" s="2">
        <v>45706</v>
      </c>
      <c r="D241" s="2">
        <v>45710</v>
      </c>
      <c r="E241" t="s">
        <v>1017</v>
      </c>
      <c r="F241" t="s">
        <v>1170</v>
      </c>
      <c r="G241" t="s">
        <v>1267</v>
      </c>
      <c r="H241" t="s">
        <v>1287</v>
      </c>
      <c r="I241" t="s">
        <v>1297</v>
      </c>
      <c r="J241" t="s">
        <v>1304</v>
      </c>
      <c r="K241" t="s">
        <v>1309</v>
      </c>
      <c r="L241" t="s">
        <v>1313</v>
      </c>
      <c r="M241">
        <v>1</v>
      </c>
      <c r="N241">
        <v>0</v>
      </c>
      <c r="O241">
        <v>1524.64</v>
      </c>
      <c r="P241">
        <v>464.75</v>
      </c>
      <c r="Q241" t="s">
        <v>1333</v>
      </c>
      <c r="R241" t="b">
        <f t="shared" si="10"/>
        <v>0</v>
      </c>
      <c r="S241" t="b">
        <f t="shared" si="11"/>
        <v>0</v>
      </c>
      <c r="T241" t="b">
        <f t="shared" si="12"/>
        <v>0</v>
      </c>
    </row>
    <row r="242" spans="1:20" x14ac:dyDescent="0.3">
      <c r="A242">
        <v>241</v>
      </c>
      <c r="B242" t="s">
        <v>257</v>
      </c>
      <c r="C242" s="2">
        <v>45735</v>
      </c>
      <c r="D242" s="2">
        <v>45737</v>
      </c>
      <c r="E242" t="s">
        <v>1017</v>
      </c>
      <c r="F242" t="s">
        <v>1171</v>
      </c>
      <c r="G242" t="s">
        <v>1272</v>
      </c>
      <c r="H242" t="s">
        <v>1288</v>
      </c>
      <c r="I242" t="s">
        <v>1293</v>
      </c>
      <c r="J242" t="s">
        <v>1304</v>
      </c>
      <c r="K242" t="s">
        <v>1306</v>
      </c>
      <c r="L242" t="s">
        <v>1324</v>
      </c>
      <c r="M242">
        <v>1</v>
      </c>
      <c r="N242">
        <v>0.15</v>
      </c>
      <c r="O242">
        <v>77.39</v>
      </c>
      <c r="P242">
        <v>6.41</v>
      </c>
      <c r="Q242" t="s">
        <v>1333</v>
      </c>
      <c r="R242" t="b">
        <f t="shared" si="10"/>
        <v>0</v>
      </c>
      <c r="S242" t="b">
        <f t="shared" si="11"/>
        <v>0</v>
      </c>
      <c r="T242" t="b">
        <f t="shared" si="12"/>
        <v>0</v>
      </c>
    </row>
    <row r="243" spans="1:20" x14ac:dyDescent="0.3">
      <c r="A243">
        <v>242</v>
      </c>
      <c r="B243" t="s">
        <v>258</v>
      </c>
      <c r="C243" s="2">
        <v>45670</v>
      </c>
      <c r="D243" s="2">
        <v>45673</v>
      </c>
      <c r="E243" t="s">
        <v>1018</v>
      </c>
      <c r="F243" t="s">
        <v>1126</v>
      </c>
      <c r="G243" t="s">
        <v>1276</v>
      </c>
      <c r="H243" t="s">
        <v>1288</v>
      </c>
      <c r="I243" t="s">
        <v>1299</v>
      </c>
      <c r="J243" t="s">
        <v>1304</v>
      </c>
      <c r="K243" t="s">
        <v>1306</v>
      </c>
      <c r="L243" t="s">
        <v>1310</v>
      </c>
      <c r="M243">
        <v>1</v>
      </c>
      <c r="N243">
        <v>0.1</v>
      </c>
      <c r="O243">
        <v>611.47</v>
      </c>
      <c r="P243">
        <v>179</v>
      </c>
      <c r="Q243" t="s">
        <v>1332</v>
      </c>
      <c r="R243" t="b">
        <f t="shared" si="10"/>
        <v>0</v>
      </c>
      <c r="S243" t="b">
        <f t="shared" si="11"/>
        <v>0</v>
      </c>
      <c r="T243" t="b">
        <f t="shared" si="12"/>
        <v>0</v>
      </c>
    </row>
    <row r="244" spans="1:20" x14ac:dyDescent="0.3">
      <c r="A244">
        <v>243</v>
      </c>
      <c r="B244" t="s">
        <v>259</v>
      </c>
      <c r="C244" s="2">
        <v>45771</v>
      </c>
      <c r="D244" s="2">
        <v>45774</v>
      </c>
      <c r="E244" t="s">
        <v>1017</v>
      </c>
      <c r="F244" t="s">
        <v>1039</v>
      </c>
      <c r="G244" t="s">
        <v>1275</v>
      </c>
      <c r="H244" t="s">
        <v>1287</v>
      </c>
      <c r="I244" t="s">
        <v>1294</v>
      </c>
      <c r="J244" t="s">
        <v>1305</v>
      </c>
      <c r="K244" t="s">
        <v>1306</v>
      </c>
      <c r="L244" t="s">
        <v>1321</v>
      </c>
      <c r="M244">
        <v>3</v>
      </c>
      <c r="N244">
        <v>0.05</v>
      </c>
      <c r="O244">
        <v>1298.92</v>
      </c>
      <c r="P244">
        <v>395.09</v>
      </c>
      <c r="Q244" t="s">
        <v>1331</v>
      </c>
      <c r="R244" t="b">
        <f t="shared" si="10"/>
        <v>0</v>
      </c>
      <c r="S244" t="b">
        <f t="shared" si="11"/>
        <v>0</v>
      </c>
      <c r="T244" t="b">
        <f t="shared" si="12"/>
        <v>0</v>
      </c>
    </row>
    <row r="245" spans="1:20" x14ac:dyDescent="0.3">
      <c r="A245">
        <v>244</v>
      </c>
      <c r="B245" t="s">
        <v>260</v>
      </c>
      <c r="C245" s="2">
        <v>45991</v>
      </c>
      <c r="D245" s="2">
        <v>45996</v>
      </c>
      <c r="E245" t="s">
        <v>1017</v>
      </c>
      <c r="F245" t="s">
        <v>1137</v>
      </c>
      <c r="G245" t="s">
        <v>1279</v>
      </c>
      <c r="H245" t="s">
        <v>1288</v>
      </c>
      <c r="I245" t="s">
        <v>1299</v>
      </c>
      <c r="J245" t="s">
        <v>1304</v>
      </c>
      <c r="K245" t="s">
        <v>1309</v>
      </c>
      <c r="L245" t="s">
        <v>1313</v>
      </c>
      <c r="M245">
        <v>4</v>
      </c>
      <c r="N245">
        <v>0.1</v>
      </c>
      <c r="O245">
        <v>5163.47</v>
      </c>
      <c r="P245">
        <v>506.07</v>
      </c>
      <c r="Q245" t="s">
        <v>1331</v>
      </c>
      <c r="R245" t="b">
        <f t="shared" si="10"/>
        <v>0</v>
      </c>
      <c r="S245" t="b">
        <f t="shared" si="11"/>
        <v>0</v>
      </c>
      <c r="T245" t="b">
        <f t="shared" si="12"/>
        <v>0</v>
      </c>
    </row>
    <row r="246" spans="1:20" x14ac:dyDescent="0.3">
      <c r="A246">
        <v>245</v>
      </c>
      <c r="B246" t="s">
        <v>261</v>
      </c>
      <c r="C246" s="2">
        <v>45736</v>
      </c>
      <c r="D246" s="2">
        <v>45739</v>
      </c>
      <c r="E246" t="s">
        <v>1019</v>
      </c>
      <c r="F246" t="s">
        <v>1080</v>
      </c>
      <c r="G246" t="s">
        <v>1269</v>
      </c>
      <c r="H246" t="s">
        <v>1289</v>
      </c>
      <c r="I246" t="s">
        <v>1299</v>
      </c>
      <c r="J246" t="s">
        <v>1304</v>
      </c>
      <c r="K246" t="s">
        <v>1309</v>
      </c>
      <c r="L246" t="s">
        <v>1313</v>
      </c>
      <c r="M246">
        <v>2</v>
      </c>
      <c r="N246">
        <v>0.15</v>
      </c>
      <c r="O246">
        <v>2621</v>
      </c>
      <c r="P246">
        <v>401.82</v>
      </c>
      <c r="Q246" t="s">
        <v>1330</v>
      </c>
      <c r="R246" t="b">
        <f t="shared" si="10"/>
        <v>0</v>
      </c>
      <c r="S246" t="b">
        <f t="shared" si="11"/>
        <v>0</v>
      </c>
      <c r="T246" t="b">
        <f t="shared" si="12"/>
        <v>0</v>
      </c>
    </row>
    <row r="247" spans="1:20" x14ac:dyDescent="0.3">
      <c r="A247">
        <v>246</v>
      </c>
      <c r="B247" t="s">
        <v>262</v>
      </c>
      <c r="C247" s="2">
        <v>45982</v>
      </c>
      <c r="D247" s="2">
        <v>45986</v>
      </c>
      <c r="E247" t="s">
        <v>1018</v>
      </c>
      <c r="F247" t="s">
        <v>1172</v>
      </c>
      <c r="G247" t="s">
        <v>1275</v>
      </c>
      <c r="H247" t="s">
        <v>1287</v>
      </c>
      <c r="I247" t="s">
        <v>1295</v>
      </c>
      <c r="J247" t="s">
        <v>1305</v>
      </c>
      <c r="K247" t="s">
        <v>1309</v>
      </c>
      <c r="L247" t="s">
        <v>1320</v>
      </c>
      <c r="M247">
        <v>1</v>
      </c>
      <c r="N247">
        <v>0.25</v>
      </c>
      <c r="O247">
        <v>890.58</v>
      </c>
      <c r="P247">
        <v>-29.74</v>
      </c>
      <c r="Q247" t="s">
        <v>1331</v>
      </c>
      <c r="R247" t="b">
        <f t="shared" si="10"/>
        <v>0</v>
      </c>
      <c r="S247" t="b">
        <f t="shared" si="11"/>
        <v>0</v>
      </c>
      <c r="T247" t="b">
        <f t="shared" si="12"/>
        <v>0</v>
      </c>
    </row>
    <row r="248" spans="1:20" x14ac:dyDescent="0.3">
      <c r="A248">
        <v>247</v>
      </c>
      <c r="B248" t="s">
        <v>263</v>
      </c>
      <c r="C248" s="2">
        <v>45781</v>
      </c>
      <c r="D248" s="2">
        <v>45783</v>
      </c>
      <c r="E248" t="s">
        <v>1017</v>
      </c>
      <c r="F248" t="s">
        <v>1173</v>
      </c>
      <c r="G248" t="s">
        <v>1271</v>
      </c>
      <c r="H248" t="s">
        <v>1289</v>
      </c>
      <c r="I248" t="s">
        <v>1293</v>
      </c>
      <c r="J248" t="s">
        <v>1304</v>
      </c>
      <c r="K248" t="s">
        <v>1309</v>
      </c>
      <c r="L248" t="s">
        <v>1325</v>
      </c>
      <c r="M248">
        <v>2</v>
      </c>
      <c r="N248">
        <v>0.05</v>
      </c>
      <c r="O248">
        <v>2514.94</v>
      </c>
      <c r="P248">
        <v>829.39</v>
      </c>
      <c r="Q248" t="s">
        <v>1331</v>
      </c>
      <c r="R248" t="b">
        <f t="shared" si="10"/>
        <v>0</v>
      </c>
      <c r="S248" t="b">
        <f t="shared" si="11"/>
        <v>0</v>
      </c>
      <c r="T248" t="b">
        <f t="shared" si="12"/>
        <v>0</v>
      </c>
    </row>
    <row r="249" spans="1:20" x14ac:dyDescent="0.3">
      <c r="A249">
        <v>248</v>
      </c>
      <c r="B249" t="s">
        <v>264</v>
      </c>
      <c r="C249" s="2">
        <v>45966</v>
      </c>
      <c r="D249" s="2">
        <v>45968</v>
      </c>
      <c r="E249" t="s">
        <v>1017</v>
      </c>
      <c r="F249" t="s">
        <v>1099</v>
      </c>
      <c r="G249" t="s">
        <v>1277</v>
      </c>
      <c r="H249" t="s">
        <v>1288</v>
      </c>
      <c r="I249" t="s">
        <v>1296</v>
      </c>
      <c r="J249" t="s">
        <v>1304</v>
      </c>
      <c r="K249" t="s">
        <v>1309</v>
      </c>
      <c r="L249" t="s">
        <v>1313</v>
      </c>
      <c r="M249">
        <v>2</v>
      </c>
      <c r="N249">
        <v>0.1</v>
      </c>
      <c r="O249">
        <v>2753.19</v>
      </c>
      <c r="P249">
        <v>670.62</v>
      </c>
      <c r="Q249" t="s">
        <v>1333</v>
      </c>
      <c r="R249" t="b">
        <f t="shared" si="10"/>
        <v>0</v>
      </c>
      <c r="S249" t="b">
        <f t="shared" si="11"/>
        <v>0</v>
      </c>
      <c r="T249" t="b">
        <f t="shared" si="12"/>
        <v>0</v>
      </c>
    </row>
    <row r="250" spans="1:20" x14ac:dyDescent="0.3">
      <c r="A250">
        <v>249</v>
      </c>
      <c r="B250" t="s">
        <v>265</v>
      </c>
      <c r="C250" s="2">
        <v>45740</v>
      </c>
      <c r="D250" s="2">
        <v>45742</v>
      </c>
      <c r="E250" t="s">
        <v>1017</v>
      </c>
      <c r="F250" t="s">
        <v>1048</v>
      </c>
      <c r="G250" t="s">
        <v>1268</v>
      </c>
      <c r="H250" t="s">
        <v>1287</v>
      </c>
      <c r="I250" t="s">
        <v>1291</v>
      </c>
      <c r="J250" t="s">
        <v>1302</v>
      </c>
      <c r="K250" t="s">
        <v>1306</v>
      </c>
      <c r="L250" t="s">
        <v>1321</v>
      </c>
      <c r="M250">
        <v>1</v>
      </c>
      <c r="N250">
        <v>0</v>
      </c>
      <c r="O250">
        <v>447.71</v>
      </c>
      <c r="P250">
        <v>113.61</v>
      </c>
      <c r="Q250" t="s">
        <v>1332</v>
      </c>
      <c r="R250" t="b">
        <f t="shared" si="10"/>
        <v>0</v>
      </c>
      <c r="S250" t="b">
        <f t="shared" si="11"/>
        <v>0</v>
      </c>
      <c r="T250" t="b">
        <f t="shared" si="12"/>
        <v>0</v>
      </c>
    </row>
    <row r="251" spans="1:20" x14ac:dyDescent="0.3">
      <c r="A251">
        <v>250</v>
      </c>
      <c r="B251" t="s">
        <v>266</v>
      </c>
      <c r="C251" s="2">
        <v>45664</v>
      </c>
      <c r="D251" s="2">
        <v>45665</v>
      </c>
      <c r="E251" t="s">
        <v>1017</v>
      </c>
      <c r="F251" t="s">
        <v>1099</v>
      </c>
      <c r="G251" t="s">
        <v>1280</v>
      </c>
      <c r="H251" t="s">
        <v>1288</v>
      </c>
      <c r="I251" t="s">
        <v>1291</v>
      </c>
      <c r="J251" t="s">
        <v>1302</v>
      </c>
      <c r="K251" t="s">
        <v>1308</v>
      </c>
      <c r="L251" t="s">
        <v>1318</v>
      </c>
      <c r="M251">
        <v>2</v>
      </c>
      <c r="N251">
        <v>0.05</v>
      </c>
      <c r="O251">
        <v>10491.97</v>
      </c>
      <c r="P251">
        <v>1606.35</v>
      </c>
      <c r="Q251" t="s">
        <v>1332</v>
      </c>
      <c r="R251" t="b">
        <f t="shared" si="10"/>
        <v>0</v>
      </c>
      <c r="S251" t="b">
        <f t="shared" si="11"/>
        <v>0</v>
      </c>
      <c r="T251" t="b">
        <f t="shared" si="12"/>
        <v>0</v>
      </c>
    </row>
    <row r="252" spans="1:20" x14ac:dyDescent="0.3">
      <c r="A252">
        <v>251</v>
      </c>
      <c r="B252" t="s">
        <v>267</v>
      </c>
      <c r="C252" s="2">
        <v>45901</v>
      </c>
      <c r="D252" s="2">
        <v>45904</v>
      </c>
      <c r="E252" t="s">
        <v>1018</v>
      </c>
      <c r="F252" t="s">
        <v>1174</v>
      </c>
      <c r="G252" t="s">
        <v>1279</v>
      </c>
      <c r="H252" t="s">
        <v>1287</v>
      </c>
      <c r="I252" t="s">
        <v>1295</v>
      </c>
      <c r="J252" t="s">
        <v>1305</v>
      </c>
      <c r="K252" t="s">
        <v>1309</v>
      </c>
      <c r="L252" t="s">
        <v>1317</v>
      </c>
      <c r="M252">
        <v>1</v>
      </c>
      <c r="N252">
        <v>0.1</v>
      </c>
      <c r="O252">
        <v>689.21</v>
      </c>
      <c r="P252">
        <v>64.84</v>
      </c>
      <c r="Q252" t="s">
        <v>1330</v>
      </c>
      <c r="R252" t="b">
        <f t="shared" si="10"/>
        <v>0</v>
      </c>
      <c r="S252" t="b">
        <f t="shared" si="11"/>
        <v>0</v>
      </c>
      <c r="T252" t="b">
        <f t="shared" si="12"/>
        <v>0</v>
      </c>
    </row>
    <row r="253" spans="1:20" x14ac:dyDescent="0.3">
      <c r="A253">
        <v>252</v>
      </c>
      <c r="B253" t="s">
        <v>268</v>
      </c>
      <c r="C253" s="2">
        <v>45825</v>
      </c>
      <c r="D253" s="2">
        <v>45826</v>
      </c>
      <c r="E253" t="s">
        <v>1019</v>
      </c>
      <c r="F253" t="s">
        <v>1175</v>
      </c>
      <c r="G253" t="s">
        <v>1277</v>
      </c>
      <c r="H253" t="s">
        <v>1287</v>
      </c>
      <c r="I253" t="s">
        <v>1294</v>
      </c>
      <c r="J253" t="s">
        <v>1305</v>
      </c>
      <c r="K253" t="s">
        <v>1309</v>
      </c>
      <c r="L253" t="s">
        <v>1329</v>
      </c>
      <c r="M253">
        <v>3</v>
      </c>
      <c r="N253">
        <v>0.15</v>
      </c>
      <c r="O253">
        <v>4996.62</v>
      </c>
      <c r="P253">
        <v>1407.49</v>
      </c>
      <c r="Q253" t="s">
        <v>1331</v>
      </c>
      <c r="R253" t="b">
        <f t="shared" si="10"/>
        <v>0</v>
      </c>
      <c r="S253" t="b">
        <f t="shared" si="11"/>
        <v>0</v>
      </c>
      <c r="T253" t="b">
        <f t="shared" si="12"/>
        <v>0</v>
      </c>
    </row>
    <row r="254" spans="1:20" x14ac:dyDescent="0.3">
      <c r="A254">
        <v>253</v>
      </c>
      <c r="B254" t="s">
        <v>269</v>
      </c>
      <c r="C254" s="2">
        <v>45988</v>
      </c>
      <c r="D254" s="2">
        <v>45990</v>
      </c>
      <c r="E254" t="s">
        <v>1018</v>
      </c>
      <c r="F254" t="s">
        <v>1154</v>
      </c>
      <c r="G254" t="s">
        <v>1272</v>
      </c>
      <c r="H254" t="s">
        <v>1287</v>
      </c>
      <c r="I254" t="s">
        <v>1293</v>
      </c>
      <c r="J254" t="s">
        <v>1304</v>
      </c>
      <c r="K254" t="s">
        <v>1309</v>
      </c>
      <c r="L254" t="s">
        <v>1329</v>
      </c>
      <c r="M254">
        <v>3</v>
      </c>
      <c r="N254">
        <v>0.1</v>
      </c>
      <c r="O254">
        <v>5061.7700000000004</v>
      </c>
      <c r="P254">
        <v>1150.17</v>
      </c>
      <c r="Q254" t="s">
        <v>1331</v>
      </c>
      <c r="R254" t="b">
        <f t="shared" si="10"/>
        <v>0</v>
      </c>
      <c r="S254" t="b">
        <f t="shared" si="11"/>
        <v>0</v>
      </c>
      <c r="T254" t="b">
        <f t="shared" si="12"/>
        <v>0</v>
      </c>
    </row>
    <row r="255" spans="1:20" x14ac:dyDescent="0.3">
      <c r="A255">
        <v>254</v>
      </c>
      <c r="B255" t="s">
        <v>270</v>
      </c>
      <c r="C255" s="2">
        <v>45748</v>
      </c>
      <c r="D255" s="2">
        <v>45751</v>
      </c>
      <c r="E255" t="s">
        <v>1017</v>
      </c>
      <c r="F255" t="s">
        <v>1176</v>
      </c>
      <c r="G255" t="s">
        <v>1274</v>
      </c>
      <c r="H255" t="s">
        <v>1287</v>
      </c>
      <c r="I255" t="s">
        <v>1295</v>
      </c>
      <c r="J255" t="s">
        <v>1305</v>
      </c>
      <c r="K255" t="s">
        <v>1307</v>
      </c>
      <c r="L255" t="s">
        <v>1322</v>
      </c>
      <c r="M255">
        <v>2</v>
      </c>
      <c r="N255">
        <v>0.05</v>
      </c>
      <c r="O255">
        <v>1364.06</v>
      </c>
      <c r="P255">
        <v>377.77</v>
      </c>
      <c r="Q255" t="s">
        <v>1331</v>
      </c>
      <c r="R255" t="b">
        <f t="shared" si="10"/>
        <v>0</v>
      </c>
      <c r="S255" t="b">
        <f t="shared" si="11"/>
        <v>0</v>
      </c>
      <c r="T255" t="b">
        <f t="shared" si="12"/>
        <v>0</v>
      </c>
    </row>
    <row r="256" spans="1:20" x14ac:dyDescent="0.3">
      <c r="A256">
        <v>255</v>
      </c>
      <c r="B256" t="s">
        <v>271</v>
      </c>
      <c r="C256" s="2">
        <v>45715</v>
      </c>
      <c r="D256" s="2">
        <v>45718</v>
      </c>
      <c r="E256" t="s">
        <v>1017</v>
      </c>
      <c r="F256" t="s">
        <v>1177</v>
      </c>
      <c r="G256" t="s">
        <v>1281</v>
      </c>
      <c r="H256" t="s">
        <v>1289</v>
      </c>
      <c r="I256" t="s">
        <v>1293</v>
      </c>
      <c r="J256" t="s">
        <v>1304</v>
      </c>
      <c r="K256" t="s">
        <v>1307</v>
      </c>
      <c r="L256" t="s">
        <v>1316</v>
      </c>
      <c r="M256">
        <v>3</v>
      </c>
      <c r="N256">
        <v>0.1</v>
      </c>
      <c r="O256">
        <v>1365.89</v>
      </c>
      <c r="P256">
        <v>188.16</v>
      </c>
      <c r="Q256" t="s">
        <v>1331</v>
      </c>
      <c r="R256" t="b">
        <f t="shared" si="10"/>
        <v>0</v>
      </c>
      <c r="S256" t="b">
        <f t="shared" si="11"/>
        <v>0</v>
      </c>
      <c r="T256" t="b">
        <f t="shared" si="12"/>
        <v>0</v>
      </c>
    </row>
    <row r="257" spans="1:20" x14ac:dyDescent="0.3">
      <c r="A257">
        <v>256</v>
      </c>
      <c r="B257" t="s">
        <v>272</v>
      </c>
      <c r="C257" s="2">
        <v>45913</v>
      </c>
      <c r="D257" s="2">
        <v>45918</v>
      </c>
      <c r="E257" t="s">
        <v>1017</v>
      </c>
      <c r="F257" t="s">
        <v>1178</v>
      </c>
      <c r="G257" t="s">
        <v>1267</v>
      </c>
      <c r="H257" t="s">
        <v>1287</v>
      </c>
      <c r="I257" t="s">
        <v>1295</v>
      </c>
      <c r="J257" t="s">
        <v>1305</v>
      </c>
      <c r="K257" t="s">
        <v>1307</v>
      </c>
      <c r="L257" t="s">
        <v>1322</v>
      </c>
      <c r="M257">
        <v>1</v>
      </c>
      <c r="N257">
        <v>0.05</v>
      </c>
      <c r="O257">
        <v>662.03</v>
      </c>
      <c r="P257">
        <v>224.69</v>
      </c>
      <c r="Q257" t="s">
        <v>1332</v>
      </c>
      <c r="R257" t="b">
        <f t="shared" si="10"/>
        <v>0</v>
      </c>
      <c r="S257" t="b">
        <f t="shared" si="11"/>
        <v>0</v>
      </c>
      <c r="T257" t="b">
        <f t="shared" si="12"/>
        <v>0</v>
      </c>
    </row>
    <row r="258" spans="1:20" x14ac:dyDescent="0.3">
      <c r="A258">
        <v>257</v>
      </c>
      <c r="B258" t="s">
        <v>273</v>
      </c>
      <c r="C258" s="2">
        <v>45899</v>
      </c>
      <c r="D258" s="2">
        <v>45902</v>
      </c>
      <c r="E258" t="s">
        <v>1017</v>
      </c>
      <c r="F258" t="s">
        <v>1047</v>
      </c>
      <c r="G258" t="s">
        <v>1277</v>
      </c>
      <c r="H258" t="s">
        <v>1287</v>
      </c>
      <c r="I258" t="s">
        <v>1298</v>
      </c>
      <c r="J258" t="s">
        <v>1303</v>
      </c>
      <c r="K258" t="s">
        <v>1309</v>
      </c>
      <c r="L258" t="s">
        <v>1320</v>
      </c>
      <c r="M258">
        <v>3</v>
      </c>
      <c r="N258">
        <v>0.2</v>
      </c>
      <c r="O258">
        <v>2967.99</v>
      </c>
      <c r="P258">
        <v>244.96</v>
      </c>
      <c r="Q258" t="s">
        <v>1331</v>
      </c>
      <c r="R258" t="b">
        <f t="shared" si="10"/>
        <v>0</v>
      </c>
      <c r="S258" t="b">
        <f t="shared" si="11"/>
        <v>0</v>
      </c>
      <c r="T258" t="b">
        <f t="shared" si="12"/>
        <v>0</v>
      </c>
    </row>
    <row r="259" spans="1:20" x14ac:dyDescent="0.3">
      <c r="A259">
        <v>258</v>
      </c>
      <c r="B259" t="s">
        <v>274</v>
      </c>
      <c r="C259" s="2">
        <v>46001</v>
      </c>
      <c r="D259" s="2">
        <v>46002</v>
      </c>
      <c r="E259" t="s">
        <v>1018</v>
      </c>
      <c r="F259" t="s">
        <v>1179</v>
      </c>
      <c r="G259" t="s">
        <v>1283</v>
      </c>
      <c r="H259" t="s">
        <v>1288</v>
      </c>
      <c r="I259" t="s">
        <v>1298</v>
      </c>
      <c r="J259" t="s">
        <v>1303</v>
      </c>
      <c r="K259" t="s">
        <v>1306</v>
      </c>
      <c r="L259" t="s">
        <v>1323</v>
      </c>
      <c r="M259">
        <v>3</v>
      </c>
      <c r="N259">
        <v>0</v>
      </c>
      <c r="O259">
        <v>557.72</v>
      </c>
      <c r="P259">
        <v>199.59</v>
      </c>
      <c r="Q259" t="s">
        <v>1331</v>
      </c>
      <c r="R259" t="b">
        <f t="shared" ref="R259:R322" si="13">D259&lt;C259</f>
        <v>0</v>
      </c>
      <c r="S259" t="b">
        <f t="shared" ref="S259:S322" si="14">M259&lt;=0</f>
        <v>0</v>
      </c>
      <c r="T259" t="b">
        <f t="shared" ref="T259:T322" si="15">OR(N259&lt;0,N259&gt;1)</f>
        <v>0</v>
      </c>
    </row>
    <row r="260" spans="1:20" x14ac:dyDescent="0.3">
      <c r="A260">
        <v>259</v>
      </c>
      <c r="B260" t="s">
        <v>275</v>
      </c>
      <c r="C260" s="2">
        <v>45766</v>
      </c>
      <c r="D260" s="2">
        <v>45769</v>
      </c>
      <c r="E260" t="s">
        <v>1018</v>
      </c>
      <c r="F260" t="s">
        <v>1159</v>
      </c>
      <c r="G260" t="s">
        <v>1275</v>
      </c>
      <c r="H260" t="s">
        <v>1287</v>
      </c>
      <c r="I260" t="s">
        <v>1299</v>
      </c>
      <c r="J260" t="s">
        <v>1304</v>
      </c>
      <c r="K260" t="s">
        <v>1309</v>
      </c>
      <c r="L260" t="s">
        <v>1317</v>
      </c>
      <c r="M260">
        <v>1</v>
      </c>
      <c r="N260">
        <v>0.05</v>
      </c>
      <c r="O260">
        <v>747.58</v>
      </c>
      <c r="P260">
        <v>168.85</v>
      </c>
      <c r="Q260" t="s">
        <v>1333</v>
      </c>
      <c r="R260" t="b">
        <f t="shared" si="13"/>
        <v>0</v>
      </c>
      <c r="S260" t="b">
        <f t="shared" si="14"/>
        <v>0</v>
      </c>
      <c r="T260" t="b">
        <f t="shared" si="15"/>
        <v>0</v>
      </c>
    </row>
    <row r="261" spans="1:20" x14ac:dyDescent="0.3">
      <c r="A261">
        <v>260</v>
      </c>
      <c r="B261" t="s">
        <v>276</v>
      </c>
      <c r="C261" s="2">
        <v>45769</v>
      </c>
      <c r="D261" s="2">
        <v>45774</v>
      </c>
      <c r="E261" t="s">
        <v>1018</v>
      </c>
      <c r="F261" t="s">
        <v>1023</v>
      </c>
      <c r="G261" t="s">
        <v>1285</v>
      </c>
      <c r="H261" t="s">
        <v>1287</v>
      </c>
      <c r="I261" t="s">
        <v>1298</v>
      </c>
      <c r="J261" t="s">
        <v>1303</v>
      </c>
      <c r="K261" t="s">
        <v>1306</v>
      </c>
      <c r="L261" t="s">
        <v>1323</v>
      </c>
      <c r="M261">
        <v>2</v>
      </c>
      <c r="N261">
        <v>0.15</v>
      </c>
      <c r="O261">
        <v>295.76</v>
      </c>
      <c r="P261">
        <v>72.42</v>
      </c>
      <c r="Q261" t="s">
        <v>1331</v>
      </c>
      <c r="R261" t="b">
        <f t="shared" si="13"/>
        <v>0</v>
      </c>
      <c r="S261" t="b">
        <f t="shared" si="14"/>
        <v>0</v>
      </c>
      <c r="T261" t="b">
        <f t="shared" si="15"/>
        <v>0</v>
      </c>
    </row>
    <row r="262" spans="1:20" x14ac:dyDescent="0.3">
      <c r="A262">
        <v>261</v>
      </c>
      <c r="B262" t="s">
        <v>277</v>
      </c>
      <c r="C262" s="2">
        <v>45779</v>
      </c>
      <c r="D262" s="2">
        <v>45781</v>
      </c>
      <c r="E262" t="s">
        <v>1017</v>
      </c>
      <c r="F262" t="s">
        <v>1107</v>
      </c>
      <c r="G262" t="s">
        <v>1281</v>
      </c>
      <c r="H262" t="s">
        <v>1287</v>
      </c>
      <c r="I262" t="s">
        <v>1290</v>
      </c>
      <c r="J262" t="s">
        <v>1302</v>
      </c>
      <c r="K262" t="s">
        <v>1309</v>
      </c>
      <c r="L262" t="s">
        <v>1317</v>
      </c>
      <c r="M262">
        <v>3</v>
      </c>
      <c r="N262">
        <v>0.2</v>
      </c>
      <c r="O262">
        <v>1943.42</v>
      </c>
      <c r="P262">
        <v>178.2</v>
      </c>
      <c r="Q262" t="s">
        <v>1331</v>
      </c>
      <c r="R262" t="b">
        <f t="shared" si="13"/>
        <v>0</v>
      </c>
      <c r="S262" t="b">
        <f t="shared" si="14"/>
        <v>0</v>
      </c>
      <c r="T262" t="b">
        <f t="shared" si="15"/>
        <v>0</v>
      </c>
    </row>
    <row r="263" spans="1:20" x14ac:dyDescent="0.3">
      <c r="A263">
        <v>262</v>
      </c>
      <c r="B263" t="s">
        <v>278</v>
      </c>
      <c r="C263" s="2">
        <v>45729</v>
      </c>
      <c r="D263" s="2">
        <v>45732</v>
      </c>
      <c r="E263" t="s">
        <v>1017</v>
      </c>
      <c r="F263" t="s">
        <v>1054</v>
      </c>
      <c r="G263" t="s">
        <v>1267</v>
      </c>
      <c r="H263" t="s">
        <v>1288</v>
      </c>
      <c r="I263" t="s">
        <v>1301</v>
      </c>
      <c r="J263" t="s">
        <v>1303</v>
      </c>
      <c r="K263" t="s">
        <v>1306</v>
      </c>
      <c r="L263" t="s">
        <v>1321</v>
      </c>
      <c r="M263">
        <v>1</v>
      </c>
      <c r="N263">
        <v>0.25</v>
      </c>
      <c r="O263">
        <v>339.42</v>
      </c>
      <c r="P263">
        <v>23</v>
      </c>
      <c r="Q263" t="s">
        <v>1332</v>
      </c>
      <c r="R263" t="b">
        <f t="shared" si="13"/>
        <v>0</v>
      </c>
      <c r="S263" t="b">
        <f t="shared" si="14"/>
        <v>0</v>
      </c>
      <c r="T263" t="b">
        <f t="shared" si="15"/>
        <v>0</v>
      </c>
    </row>
    <row r="264" spans="1:20" x14ac:dyDescent="0.3">
      <c r="A264">
        <v>263</v>
      </c>
      <c r="B264" t="s">
        <v>279</v>
      </c>
      <c r="C264" s="2">
        <v>45750</v>
      </c>
      <c r="D264" s="2">
        <v>45755</v>
      </c>
      <c r="E264" t="s">
        <v>1019</v>
      </c>
      <c r="F264" t="s">
        <v>1084</v>
      </c>
      <c r="G264" t="s">
        <v>1275</v>
      </c>
      <c r="H264" t="s">
        <v>1287</v>
      </c>
      <c r="I264" t="s">
        <v>1293</v>
      </c>
      <c r="J264" t="s">
        <v>1304</v>
      </c>
      <c r="K264" t="s">
        <v>1309</v>
      </c>
      <c r="L264" t="s">
        <v>1325</v>
      </c>
      <c r="M264">
        <v>2</v>
      </c>
      <c r="N264">
        <v>0.2</v>
      </c>
      <c r="O264">
        <v>2119.27</v>
      </c>
      <c r="P264">
        <v>250.94</v>
      </c>
      <c r="Q264" t="s">
        <v>1331</v>
      </c>
      <c r="R264" t="b">
        <f t="shared" si="13"/>
        <v>0</v>
      </c>
      <c r="S264" t="b">
        <f t="shared" si="14"/>
        <v>0</v>
      </c>
      <c r="T264" t="b">
        <f t="shared" si="15"/>
        <v>0</v>
      </c>
    </row>
    <row r="265" spans="1:20" x14ac:dyDescent="0.3">
      <c r="A265">
        <v>264</v>
      </c>
      <c r="B265" t="s">
        <v>280</v>
      </c>
      <c r="C265" s="2">
        <v>45719</v>
      </c>
      <c r="D265" s="2">
        <v>45720</v>
      </c>
      <c r="E265" t="s">
        <v>1017</v>
      </c>
      <c r="F265" t="s">
        <v>1180</v>
      </c>
      <c r="G265" t="s">
        <v>1281</v>
      </c>
      <c r="H265" t="s">
        <v>1288</v>
      </c>
      <c r="I265" t="s">
        <v>1299</v>
      </c>
      <c r="J265" t="s">
        <v>1304</v>
      </c>
      <c r="K265" t="s">
        <v>1307</v>
      </c>
      <c r="L265" t="s">
        <v>1311</v>
      </c>
      <c r="M265">
        <v>5</v>
      </c>
      <c r="N265">
        <v>0.15</v>
      </c>
      <c r="O265">
        <v>1316.16</v>
      </c>
      <c r="P265">
        <v>187.96</v>
      </c>
      <c r="Q265" t="s">
        <v>1331</v>
      </c>
      <c r="R265" t="b">
        <f t="shared" si="13"/>
        <v>0</v>
      </c>
      <c r="S265" t="b">
        <f t="shared" si="14"/>
        <v>0</v>
      </c>
      <c r="T265" t="b">
        <f t="shared" si="15"/>
        <v>0</v>
      </c>
    </row>
    <row r="266" spans="1:20" x14ac:dyDescent="0.3">
      <c r="A266">
        <v>265</v>
      </c>
      <c r="B266" t="s">
        <v>281</v>
      </c>
      <c r="C266" s="2">
        <v>45743</v>
      </c>
      <c r="D266" s="2">
        <v>45744</v>
      </c>
      <c r="E266" t="s">
        <v>1018</v>
      </c>
      <c r="F266" t="s">
        <v>1181</v>
      </c>
      <c r="G266" t="s">
        <v>1272</v>
      </c>
      <c r="H266" t="s">
        <v>1289</v>
      </c>
      <c r="I266" t="s">
        <v>1294</v>
      </c>
      <c r="J266" t="s">
        <v>1305</v>
      </c>
      <c r="K266" t="s">
        <v>1309</v>
      </c>
      <c r="L266" t="s">
        <v>1313</v>
      </c>
      <c r="M266">
        <v>2</v>
      </c>
      <c r="N266">
        <v>0.2</v>
      </c>
      <c r="O266">
        <v>2394.83</v>
      </c>
      <c r="P266">
        <v>336.03</v>
      </c>
      <c r="Q266" t="s">
        <v>1333</v>
      </c>
      <c r="R266" t="b">
        <f t="shared" si="13"/>
        <v>0</v>
      </c>
      <c r="S266" t="b">
        <f t="shared" si="14"/>
        <v>0</v>
      </c>
      <c r="T266" t="b">
        <f t="shared" si="15"/>
        <v>0</v>
      </c>
    </row>
    <row r="267" spans="1:20" x14ac:dyDescent="0.3">
      <c r="A267">
        <v>266</v>
      </c>
      <c r="B267" t="s">
        <v>282</v>
      </c>
      <c r="C267" s="2">
        <v>45803</v>
      </c>
      <c r="D267" s="2">
        <v>45806</v>
      </c>
      <c r="E267" t="s">
        <v>1017</v>
      </c>
      <c r="F267" t="s">
        <v>1182</v>
      </c>
      <c r="G267" t="s">
        <v>1285</v>
      </c>
      <c r="H267" t="s">
        <v>1287</v>
      </c>
      <c r="I267" t="s">
        <v>1298</v>
      </c>
      <c r="J267" t="s">
        <v>1303</v>
      </c>
      <c r="K267" t="s">
        <v>1306</v>
      </c>
      <c r="L267" t="s">
        <v>1321</v>
      </c>
      <c r="M267">
        <v>2</v>
      </c>
      <c r="N267">
        <v>0.1</v>
      </c>
      <c r="O267">
        <v>792.25</v>
      </c>
      <c r="P267">
        <v>196.82</v>
      </c>
      <c r="Q267" t="s">
        <v>1332</v>
      </c>
      <c r="R267" t="b">
        <f t="shared" si="13"/>
        <v>0</v>
      </c>
      <c r="S267" t="b">
        <f t="shared" si="14"/>
        <v>0</v>
      </c>
      <c r="T267" t="b">
        <f t="shared" si="15"/>
        <v>0</v>
      </c>
    </row>
    <row r="268" spans="1:20" x14ac:dyDescent="0.3">
      <c r="A268">
        <v>267</v>
      </c>
      <c r="B268" t="s">
        <v>283</v>
      </c>
      <c r="C268" s="2">
        <v>45990</v>
      </c>
      <c r="D268" s="2">
        <v>45995</v>
      </c>
      <c r="E268" t="s">
        <v>1019</v>
      </c>
      <c r="F268" t="s">
        <v>1107</v>
      </c>
      <c r="G268" t="s">
        <v>1267</v>
      </c>
      <c r="H268" t="s">
        <v>1287</v>
      </c>
      <c r="I268" t="s">
        <v>1294</v>
      </c>
      <c r="J268" t="s">
        <v>1305</v>
      </c>
      <c r="K268" t="s">
        <v>1307</v>
      </c>
      <c r="L268" t="s">
        <v>1314</v>
      </c>
      <c r="M268">
        <v>5</v>
      </c>
      <c r="N268">
        <v>0.1</v>
      </c>
      <c r="O268">
        <v>4243.41</v>
      </c>
      <c r="P268">
        <v>1248.3499999999999</v>
      </c>
      <c r="Q268" t="s">
        <v>1331</v>
      </c>
      <c r="R268" t="b">
        <f t="shared" si="13"/>
        <v>0</v>
      </c>
      <c r="S268" t="b">
        <f t="shared" si="14"/>
        <v>0</v>
      </c>
      <c r="T268" t="b">
        <f t="shared" si="15"/>
        <v>0</v>
      </c>
    </row>
    <row r="269" spans="1:20" x14ac:dyDescent="0.3">
      <c r="A269">
        <v>268</v>
      </c>
      <c r="B269" t="s">
        <v>284</v>
      </c>
      <c r="C269" s="2">
        <v>45988</v>
      </c>
      <c r="D269" s="2">
        <v>45990</v>
      </c>
      <c r="E269" t="s">
        <v>1017</v>
      </c>
      <c r="F269" t="s">
        <v>1183</v>
      </c>
      <c r="G269" t="s">
        <v>1275</v>
      </c>
      <c r="H269" t="s">
        <v>1287</v>
      </c>
      <c r="I269" t="s">
        <v>1292</v>
      </c>
      <c r="J269" t="s">
        <v>1303</v>
      </c>
      <c r="K269" t="s">
        <v>1306</v>
      </c>
      <c r="L269" t="s">
        <v>1321</v>
      </c>
      <c r="M269">
        <v>2</v>
      </c>
      <c r="N269">
        <v>0.1</v>
      </c>
      <c r="O269">
        <v>797.85</v>
      </c>
      <c r="P269">
        <v>72.58</v>
      </c>
      <c r="Q269" t="s">
        <v>1332</v>
      </c>
      <c r="R269" t="b">
        <f t="shared" si="13"/>
        <v>0</v>
      </c>
      <c r="S269" t="b">
        <f t="shared" si="14"/>
        <v>0</v>
      </c>
      <c r="T269" t="b">
        <f t="shared" si="15"/>
        <v>0</v>
      </c>
    </row>
    <row r="270" spans="1:20" x14ac:dyDescent="0.3">
      <c r="A270">
        <v>269</v>
      </c>
      <c r="B270" t="s">
        <v>285</v>
      </c>
      <c r="C270" s="2">
        <v>46014</v>
      </c>
      <c r="D270" s="2">
        <v>46019</v>
      </c>
      <c r="E270" t="s">
        <v>1018</v>
      </c>
      <c r="F270" t="s">
        <v>1050</v>
      </c>
      <c r="G270" t="s">
        <v>1273</v>
      </c>
      <c r="H270" t="s">
        <v>1287</v>
      </c>
      <c r="I270" t="s">
        <v>1297</v>
      </c>
      <c r="J270" t="s">
        <v>1304</v>
      </c>
      <c r="K270" t="s">
        <v>1309</v>
      </c>
      <c r="L270" t="s">
        <v>1317</v>
      </c>
      <c r="M270">
        <v>3</v>
      </c>
      <c r="N270">
        <v>0.1</v>
      </c>
      <c r="O270">
        <v>2124.98</v>
      </c>
      <c r="P270">
        <v>314.06</v>
      </c>
      <c r="Q270" t="s">
        <v>1332</v>
      </c>
      <c r="R270" t="b">
        <f t="shared" si="13"/>
        <v>0</v>
      </c>
      <c r="S270" t="b">
        <f t="shared" si="14"/>
        <v>0</v>
      </c>
      <c r="T270" t="b">
        <f t="shared" si="15"/>
        <v>0</v>
      </c>
    </row>
    <row r="271" spans="1:20" x14ac:dyDescent="0.3">
      <c r="A271">
        <v>270</v>
      </c>
      <c r="B271" t="s">
        <v>286</v>
      </c>
      <c r="C271" s="2">
        <v>45872</v>
      </c>
      <c r="D271" s="2">
        <v>45875</v>
      </c>
      <c r="E271" t="s">
        <v>1018</v>
      </c>
      <c r="F271" t="s">
        <v>1160</v>
      </c>
      <c r="G271" t="s">
        <v>1270</v>
      </c>
      <c r="H271" t="s">
        <v>1287</v>
      </c>
      <c r="I271" t="s">
        <v>1294</v>
      </c>
      <c r="J271" t="s">
        <v>1305</v>
      </c>
      <c r="K271" t="s">
        <v>1306</v>
      </c>
      <c r="L271" t="s">
        <v>1324</v>
      </c>
      <c r="M271">
        <v>1</v>
      </c>
      <c r="N271">
        <v>0.05</v>
      </c>
      <c r="O271">
        <v>84.93</v>
      </c>
      <c r="P271">
        <v>15.19</v>
      </c>
      <c r="Q271" t="s">
        <v>1333</v>
      </c>
      <c r="R271" t="b">
        <f t="shared" si="13"/>
        <v>0</v>
      </c>
      <c r="S271" t="b">
        <f t="shared" si="14"/>
        <v>0</v>
      </c>
      <c r="T271" t="b">
        <f t="shared" si="15"/>
        <v>0</v>
      </c>
    </row>
    <row r="272" spans="1:20" x14ac:dyDescent="0.3">
      <c r="A272">
        <v>271</v>
      </c>
      <c r="B272" t="s">
        <v>287</v>
      </c>
      <c r="C272" s="2">
        <v>45751</v>
      </c>
      <c r="D272" s="2">
        <v>45755</v>
      </c>
      <c r="E272" t="s">
        <v>1017</v>
      </c>
      <c r="F272" t="s">
        <v>1135</v>
      </c>
      <c r="G272" t="s">
        <v>1278</v>
      </c>
      <c r="H272" t="s">
        <v>1287</v>
      </c>
      <c r="I272" t="s">
        <v>1294</v>
      </c>
      <c r="J272" t="s">
        <v>1305</v>
      </c>
      <c r="K272" t="s">
        <v>1308</v>
      </c>
      <c r="L272" t="s">
        <v>1319</v>
      </c>
      <c r="M272">
        <v>1</v>
      </c>
      <c r="N272">
        <v>0</v>
      </c>
      <c r="O272">
        <v>4702.18</v>
      </c>
      <c r="P272">
        <v>1164.8599999999999</v>
      </c>
      <c r="Q272" t="s">
        <v>1333</v>
      </c>
      <c r="R272" t="b">
        <f t="shared" si="13"/>
        <v>0</v>
      </c>
      <c r="S272" t="b">
        <f t="shared" si="14"/>
        <v>0</v>
      </c>
      <c r="T272" t="b">
        <f t="shared" si="15"/>
        <v>0</v>
      </c>
    </row>
    <row r="273" spans="1:20" x14ac:dyDescent="0.3">
      <c r="A273">
        <v>272</v>
      </c>
      <c r="B273" t="s">
        <v>288</v>
      </c>
      <c r="C273" s="2">
        <v>45879</v>
      </c>
      <c r="D273" s="2">
        <v>45884</v>
      </c>
      <c r="E273" t="s">
        <v>1017</v>
      </c>
      <c r="F273" t="s">
        <v>1184</v>
      </c>
      <c r="G273" t="s">
        <v>1284</v>
      </c>
      <c r="H273" t="s">
        <v>1287</v>
      </c>
      <c r="I273" t="s">
        <v>1301</v>
      </c>
      <c r="J273" t="s">
        <v>1303</v>
      </c>
      <c r="K273" t="s">
        <v>1306</v>
      </c>
      <c r="L273" t="s">
        <v>1323</v>
      </c>
      <c r="M273">
        <v>2</v>
      </c>
      <c r="N273">
        <v>0.1</v>
      </c>
      <c r="O273">
        <v>318.31</v>
      </c>
      <c r="P273">
        <v>75.709999999999994</v>
      </c>
      <c r="Q273" t="s">
        <v>1333</v>
      </c>
      <c r="R273" t="b">
        <f t="shared" si="13"/>
        <v>0</v>
      </c>
      <c r="S273" t="b">
        <f t="shared" si="14"/>
        <v>0</v>
      </c>
      <c r="T273" t="b">
        <f t="shared" si="15"/>
        <v>0</v>
      </c>
    </row>
    <row r="274" spans="1:20" x14ac:dyDescent="0.3">
      <c r="A274">
        <v>273</v>
      </c>
      <c r="B274" t="s">
        <v>289</v>
      </c>
      <c r="C274" s="2">
        <v>45997</v>
      </c>
      <c r="D274" s="2">
        <v>45999</v>
      </c>
      <c r="E274" t="s">
        <v>1017</v>
      </c>
      <c r="F274" t="s">
        <v>1075</v>
      </c>
      <c r="G274" t="s">
        <v>1273</v>
      </c>
      <c r="H274" t="s">
        <v>1287</v>
      </c>
      <c r="I274" t="s">
        <v>1297</v>
      </c>
      <c r="J274" t="s">
        <v>1304</v>
      </c>
      <c r="K274" t="s">
        <v>1309</v>
      </c>
      <c r="L274" t="s">
        <v>1320</v>
      </c>
      <c r="M274">
        <v>2</v>
      </c>
      <c r="N274">
        <v>0.25</v>
      </c>
      <c r="O274">
        <v>1834.28</v>
      </c>
      <c r="P274">
        <v>170.86</v>
      </c>
      <c r="Q274" t="s">
        <v>1331</v>
      </c>
      <c r="R274" t="b">
        <f t="shared" si="13"/>
        <v>0</v>
      </c>
      <c r="S274" t="b">
        <f t="shared" si="14"/>
        <v>0</v>
      </c>
      <c r="T274" t="b">
        <f t="shared" si="15"/>
        <v>0</v>
      </c>
    </row>
    <row r="275" spans="1:20" x14ac:dyDescent="0.3">
      <c r="A275">
        <v>274</v>
      </c>
      <c r="B275" t="s">
        <v>290</v>
      </c>
      <c r="C275" s="2">
        <v>45833</v>
      </c>
      <c r="D275" s="2">
        <v>45834</v>
      </c>
      <c r="E275" t="s">
        <v>1017</v>
      </c>
      <c r="F275" t="s">
        <v>1072</v>
      </c>
      <c r="G275" t="s">
        <v>1274</v>
      </c>
      <c r="H275" t="s">
        <v>1289</v>
      </c>
      <c r="I275" t="s">
        <v>1298</v>
      </c>
      <c r="J275" t="s">
        <v>1303</v>
      </c>
      <c r="K275" t="s">
        <v>1307</v>
      </c>
      <c r="L275" t="s">
        <v>1322</v>
      </c>
      <c r="M275">
        <v>2</v>
      </c>
      <c r="N275">
        <v>0.2</v>
      </c>
      <c r="O275">
        <v>1162.9000000000001</v>
      </c>
      <c r="P275">
        <v>47.82</v>
      </c>
      <c r="Q275" t="s">
        <v>1334</v>
      </c>
      <c r="R275" t="b">
        <f t="shared" si="13"/>
        <v>0</v>
      </c>
      <c r="S275" t="b">
        <f t="shared" si="14"/>
        <v>0</v>
      </c>
      <c r="T275" t="b">
        <f t="shared" si="15"/>
        <v>0</v>
      </c>
    </row>
    <row r="276" spans="1:20" x14ac:dyDescent="0.3">
      <c r="A276">
        <v>275</v>
      </c>
      <c r="B276" t="s">
        <v>291</v>
      </c>
      <c r="C276" s="2">
        <v>45833</v>
      </c>
      <c r="D276" s="2">
        <v>45836</v>
      </c>
      <c r="E276" t="s">
        <v>1018</v>
      </c>
      <c r="F276" t="s">
        <v>1185</v>
      </c>
      <c r="G276" t="s">
        <v>1270</v>
      </c>
      <c r="H276" t="s">
        <v>1287</v>
      </c>
      <c r="I276" t="s">
        <v>1299</v>
      </c>
      <c r="J276" t="s">
        <v>1304</v>
      </c>
      <c r="K276" t="s">
        <v>1307</v>
      </c>
      <c r="L276" t="s">
        <v>1322</v>
      </c>
      <c r="M276">
        <v>2</v>
      </c>
      <c r="N276">
        <v>0</v>
      </c>
      <c r="O276">
        <v>1467.75</v>
      </c>
      <c r="P276">
        <v>509.66</v>
      </c>
      <c r="Q276" t="s">
        <v>1333</v>
      </c>
      <c r="R276" t="b">
        <f t="shared" si="13"/>
        <v>0</v>
      </c>
      <c r="S276" t="b">
        <f t="shared" si="14"/>
        <v>0</v>
      </c>
      <c r="T276" t="b">
        <f t="shared" si="15"/>
        <v>0</v>
      </c>
    </row>
    <row r="277" spans="1:20" x14ac:dyDescent="0.3">
      <c r="A277">
        <v>276</v>
      </c>
      <c r="B277" t="s">
        <v>292</v>
      </c>
      <c r="C277" s="2">
        <v>45961</v>
      </c>
      <c r="D277" s="2">
        <v>45966</v>
      </c>
      <c r="E277" t="s">
        <v>1018</v>
      </c>
      <c r="F277" t="s">
        <v>1177</v>
      </c>
      <c r="G277" t="s">
        <v>1275</v>
      </c>
      <c r="H277" t="s">
        <v>1288</v>
      </c>
      <c r="I277" t="s">
        <v>1299</v>
      </c>
      <c r="J277" t="s">
        <v>1304</v>
      </c>
      <c r="K277" t="s">
        <v>1308</v>
      </c>
      <c r="L277" t="s">
        <v>1327</v>
      </c>
      <c r="M277">
        <v>5</v>
      </c>
      <c r="N277">
        <v>0.2</v>
      </c>
      <c r="O277">
        <v>7003.16</v>
      </c>
      <c r="P277">
        <v>1400.39</v>
      </c>
      <c r="Q277" t="s">
        <v>1331</v>
      </c>
      <c r="R277" t="b">
        <f t="shared" si="13"/>
        <v>0</v>
      </c>
      <c r="S277" t="b">
        <f t="shared" si="14"/>
        <v>0</v>
      </c>
      <c r="T277" t="b">
        <f t="shared" si="15"/>
        <v>0</v>
      </c>
    </row>
    <row r="278" spans="1:20" x14ac:dyDescent="0.3">
      <c r="A278">
        <v>277</v>
      </c>
      <c r="B278" t="s">
        <v>293</v>
      </c>
      <c r="C278" s="2">
        <v>45998</v>
      </c>
      <c r="D278" s="2">
        <v>46003</v>
      </c>
      <c r="E278" t="s">
        <v>1019</v>
      </c>
      <c r="F278" t="s">
        <v>1154</v>
      </c>
      <c r="G278" t="s">
        <v>1272</v>
      </c>
      <c r="H278" t="s">
        <v>1287</v>
      </c>
      <c r="I278" t="s">
        <v>1295</v>
      </c>
      <c r="J278" t="s">
        <v>1305</v>
      </c>
      <c r="K278" t="s">
        <v>1307</v>
      </c>
      <c r="L278" t="s">
        <v>1322</v>
      </c>
      <c r="M278">
        <v>2</v>
      </c>
      <c r="N278">
        <v>0.1</v>
      </c>
      <c r="O278">
        <v>1269.1400000000001</v>
      </c>
      <c r="P278">
        <v>239.95</v>
      </c>
      <c r="Q278" t="s">
        <v>1332</v>
      </c>
      <c r="R278" t="b">
        <f t="shared" si="13"/>
        <v>0</v>
      </c>
      <c r="S278" t="b">
        <f t="shared" si="14"/>
        <v>0</v>
      </c>
      <c r="T278" t="b">
        <f t="shared" si="15"/>
        <v>0</v>
      </c>
    </row>
    <row r="279" spans="1:20" x14ac:dyDescent="0.3">
      <c r="A279">
        <v>278</v>
      </c>
      <c r="B279" t="s">
        <v>294</v>
      </c>
      <c r="C279" s="2">
        <v>45840</v>
      </c>
      <c r="D279" s="2">
        <v>45844</v>
      </c>
      <c r="E279" t="s">
        <v>1019</v>
      </c>
      <c r="F279" t="s">
        <v>1094</v>
      </c>
      <c r="G279" t="s">
        <v>1269</v>
      </c>
      <c r="H279" t="s">
        <v>1288</v>
      </c>
      <c r="I279" t="s">
        <v>1296</v>
      </c>
      <c r="J279" t="s">
        <v>1304</v>
      </c>
      <c r="K279" t="s">
        <v>1306</v>
      </c>
      <c r="L279" t="s">
        <v>1324</v>
      </c>
      <c r="M279">
        <v>4</v>
      </c>
      <c r="N279">
        <v>0.05</v>
      </c>
      <c r="O279">
        <v>342.95</v>
      </c>
      <c r="P279">
        <v>104.51</v>
      </c>
      <c r="Q279" t="s">
        <v>1334</v>
      </c>
      <c r="R279" t="b">
        <f t="shared" si="13"/>
        <v>0</v>
      </c>
      <c r="S279" t="b">
        <f t="shared" si="14"/>
        <v>0</v>
      </c>
      <c r="T279" t="b">
        <f t="shared" si="15"/>
        <v>0</v>
      </c>
    </row>
    <row r="280" spans="1:20" x14ac:dyDescent="0.3">
      <c r="A280">
        <v>279</v>
      </c>
      <c r="B280" t="s">
        <v>295</v>
      </c>
      <c r="C280" s="2">
        <v>45812</v>
      </c>
      <c r="D280" s="2">
        <v>45814</v>
      </c>
      <c r="E280" t="s">
        <v>1018</v>
      </c>
      <c r="F280" t="s">
        <v>1159</v>
      </c>
      <c r="G280" t="s">
        <v>1279</v>
      </c>
      <c r="H280" t="s">
        <v>1288</v>
      </c>
      <c r="I280" t="s">
        <v>1290</v>
      </c>
      <c r="J280" t="s">
        <v>1302</v>
      </c>
      <c r="K280" t="s">
        <v>1308</v>
      </c>
      <c r="L280" t="s">
        <v>1318</v>
      </c>
      <c r="M280">
        <v>4</v>
      </c>
      <c r="N280">
        <v>0.2</v>
      </c>
      <c r="O280">
        <v>16910.64</v>
      </c>
      <c r="P280">
        <v>-796.35</v>
      </c>
      <c r="Q280" t="s">
        <v>1330</v>
      </c>
      <c r="R280" t="b">
        <f t="shared" si="13"/>
        <v>0</v>
      </c>
      <c r="S280" t="b">
        <f t="shared" si="14"/>
        <v>0</v>
      </c>
      <c r="T280" t="b">
        <f t="shared" si="15"/>
        <v>0</v>
      </c>
    </row>
    <row r="281" spans="1:20" x14ac:dyDescent="0.3">
      <c r="A281">
        <v>280</v>
      </c>
      <c r="B281" t="s">
        <v>296</v>
      </c>
      <c r="C281" s="2">
        <v>45800</v>
      </c>
      <c r="D281" s="2">
        <v>45804</v>
      </c>
      <c r="E281" t="s">
        <v>1017</v>
      </c>
      <c r="F281" t="s">
        <v>1125</v>
      </c>
      <c r="G281" t="s">
        <v>1284</v>
      </c>
      <c r="H281" t="s">
        <v>1287</v>
      </c>
      <c r="I281" t="s">
        <v>1299</v>
      </c>
      <c r="J281" t="s">
        <v>1304</v>
      </c>
      <c r="K281" t="s">
        <v>1309</v>
      </c>
      <c r="L281" t="s">
        <v>1329</v>
      </c>
      <c r="M281">
        <v>2</v>
      </c>
      <c r="N281">
        <v>0.1</v>
      </c>
      <c r="O281">
        <v>3261.76</v>
      </c>
      <c r="P281">
        <v>466.64</v>
      </c>
      <c r="Q281" t="s">
        <v>1332</v>
      </c>
      <c r="R281" t="b">
        <f t="shared" si="13"/>
        <v>0</v>
      </c>
      <c r="S281" t="b">
        <f t="shared" si="14"/>
        <v>0</v>
      </c>
      <c r="T281" t="b">
        <f t="shared" si="15"/>
        <v>0</v>
      </c>
    </row>
    <row r="282" spans="1:20" x14ac:dyDescent="0.3">
      <c r="A282">
        <v>281</v>
      </c>
      <c r="B282" t="s">
        <v>297</v>
      </c>
      <c r="C282" s="2">
        <v>45677</v>
      </c>
      <c r="D282" s="2">
        <v>45680</v>
      </c>
      <c r="E282" t="s">
        <v>1018</v>
      </c>
      <c r="F282" t="s">
        <v>1186</v>
      </c>
      <c r="G282" t="s">
        <v>1273</v>
      </c>
      <c r="H282" t="s">
        <v>1289</v>
      </c>
      <c r="I282" t="s">
        <v>1290</v>
      </c>
      <c r="J282" t="s">
        <v>1302</v>
      </c>
      <c r="K282" t="s">
        <v>1309</v>
      </c>
      <c r="L282" t="s">
        <v>1329</v>
      </c>
      <c r="M282">
        <v>2</v>
      </c>
      <c r="N282">
        <v>0.1</v>
      </c>
      <c r="O282">
        <v>3465.72</v>
      </c>
      <c r="P282">
        <v>386.65</v>
      </c>
      <c r="Q282" t="s">
        <v>1332</v>
      </c>
      <c r="R282" t="b">
        <f t="shared" si="13"/>
        <v>0</v>
      </c>
      <c r="S282" t="b">
        <f t="shared" si="14"/>
        <v>0</v>
      </c>
      <c r="T282" t="b">
        <f t="shared" si="15"/>
        <v>0</v>
      </c>
    </row>
    <row r="283" spans="1:20" x14ac:dyDescent="0.3">
      <c r="A283">
        <v>282</v>
      </c>
      <c r="B283" t="s">
        <v>298</v>
      </c>
      <c r="C283" s="2">
        <v>45805</v>
      </c>
      <c r="D283" s="2">
        <v>45810</v>
      </c>
      <c r="E283" t="s">
        <v>1018</v>
      </c>
      <c r="F283" t="s">
        <v>1098</v>
      </c>
      <c r="G283" t="s">
        <v>1268</v>
      </c>
      <c r="H283" t="s">
        <v>1288</v>
      </c>
      <c r="I283" t="s">
        <v>1300</v>
      </c>
      <c r="J283" t="s">
        <v>1305</v>
      </c>
      <c r="K283" t="s">
        <v>1309</v>
      </c>
      <c r="L283" t="s">
        <v>1329</v>
      </c>
      <c r="M283">
        <v>1</v>
      </c>
      <c r="N283">
        <v>0.1</v>
      </c>
      <c r="O283">
        <v>1696</v>
      </c>
      <c r="P283">
        <v>486.5</v>
      </c>
      <c r="Q283" t="s">
        <v>1333</v>
      </c>
      <c r="R283" t="b">
        <f t="shared" si="13"/>
        <v>0</v>
      </c>
      <c r="S283" t="b">
        <f t="shared" si="14"/>
        <v>0</v>
      </c>
      <c r="T283" t="b">
        <f t="shared" si="15"/>
        <v>0</v>
      </c>
    </row>
    <row r="284" spans="1:20" x14ac:dyDescent="0.3">
      <c r="A284">
        <v>283</v>
      </c>
      <c r="B284" t="s">
        <v>299</v>
      </c>
      <c r="C284" s="2">
        <v>45745</v>
      </c>
      <c r="D284" s="2">
        <v>45746</v>
      </c>
      <c r="E284" t="s">
        <v>1018</v>
      </c>
      <c r="F284" t="s">
        <v>1166</v>
      </c>
      <c r="G284" t="s">
        <v>1282</v>
      </c>
      <c r="H284" t="s">
        <v>1289</v>
      </c>
      <c r="I284" t="s">
        <v>1300</v>
      </c>
      <c r="J284" t="s">
        <v>1305</v>
      </c>
      <c r="K284" t="s">
        <v>1306</v>
      </c>
      <c r="L284" t="s">
        <v>1321</v>
      </c>
      <c r="M284">
        <v>1</v>
      </c>
      <c r="N284">
        <v>0.15</v>
      </c>
      <c r="O284">
        <v>401.52</v>
      </c>
      <c r="P284">
        <v>119.82</v>
      </c>
      <c r="Q284" t="s">
        <v>1332</v>
      </c>
      <c r="R284" t="b">
        <f t="shared" si="13"/>
        <v>0</v>
      </c>
      <c r="S284" t="b">
        <f t="shared" si="14"/>
        <v>0</v>
      </c>
      <c r="T284" t="b">
        <f t="shared" si="15"/>
        <v>0</v>
      </c>
    </row>
    <row r="285" spans="1:20" x14ac:dyDescent="0.3">
      <c r="A285">
        <v>284</v>
      </c>
      <c r="B285" t="s">
        <v>300</v>
      </c>
      <c r="C285" s="2">
        <v>45930</v>
      </c>
      <c r="D285" s="2">
        <v>45932</v>
      </c>
      <c r="E285" t="s">
        <v>1017</v>
      </c>
      <c r="F285" t="s">
        <v>1063</v>
      </c>
      <c r="G285" t="s">
        <v>1274</v>
      </c>
      <c r="H285" t="s">
        <v>1287</v>
      </c>
      <c r="I285" t="s">
        <v>1292</v>
      </c>
      <c r="J285" t="s">
        <v>1303</v>
      </c>
      <c r="K285" t="s">
        <v>1309</v>
      </c>
      <c r="L285" t="s">
        <v>1313</v>
      </c>
      <c r="M285">
        <v>2</v>
      </c>
      <c r="N285">
        <v>0.05</v>
      </c>
      <c r="O285">
        <v>2972.84</v>
      </c>
      <c r="P285">
        <v>1063.05</v>
      </c>
      <c r="Q285" t="s">
        <v>1331</v>
      </c>
      <c r="R285" t="b">
        <f t="shared" si="13"/>
        <v>0</v>
      </c>
      <c r="S285" t="b">
        <f t="shared" si="14"/>
        <v>0</v>
      </c>
      <c r="T285" t="b">
        <f t="shared" si="15"/>
        <v>0</v>
      </c>
    </row>
    <row r="286" spans="1:20" x14ac:dyDescent="0.3">
      <c r="A286">
        <v>285</v>
      </c>
      <c r="B286" t="s">
        <v>301</v>
      </c>
      <c r="C286" s="2">
        <v>45950</v>
      </c>
      <c r="D286" s="2">
        <v>45951</v>
      </c>
      <c r="E286" t="s">
        <v>1017</v>
      </c>
      <c r="F286" t="s">
        <v>1020</v>
      </c>
      <c r="G286" t="s">
        <v>1281</v>
      </c>
      <c r="H286" t="s">
        <v>1287</v>
      </c>
      <c r="I286" t="s">
        <v>1297</v>
      </c>
      <c r="J286" t="s">
        <v>1304</v>
      </c>
      <c r="K286" t="s">
        <v>1306</v>
      </c>
      <c r="L286" t="s">
        <v>1328</v>
      </c>
      <c r="M286">
        <v>2</v>
      </c>
      <c r="N286">
        <v>0.1</v>
      </c>
      <c r="O286">
        <v>226.1</v>
      </c>
      <c r="P286">
        <v>56.19</v>
      </c>
      <c r="Q286" t="s">
        <v>1331</v>
      </c>
      <c r="R286" t="b">
        <f t="shared" si="13"/>
        <v>0</v>
      </c>
      <c r="S286" t="b">
        <f t="shared" si="14"/>
        <v>0</v>
      </c>
      <c r="T286" t="b">
        <f t="shared" si="15"/>
        <v>0</v>
      </c>
    </row>
    <row r="287" spans="1:20" x14ac:dyDescent="0.3">
      <c r="A287">
        <v>286</v>
      </c>
      <c r="B287" t="s">
        <v>302</v>
      </c>
      <c r="C287" s="2">
        <v>45782</v>
      </c>
      <c r="D287" s="2">
        <v>45787</v>
      </c>
      <c r="E287" t="s">
        <v>1018</v>
      </c>
      <c r="F287" t="s">
        <v>1187</v>
      </c>
      <c r="G287" t="s">
        <v>1269</v>
      </c>
      <c r="H287" t="s">
        <v>1287</v>
      </c>
      <c r="I287" t="s">
        <v>1295</v>
      </c>
      <c r="J287" t="s">
        <v>1305</v>
      </c>
      <c r="K287" t="s">
        <v>1309</v>
      </c>
      <c r="L287" t="s">
        <v>1313</v>
      </c>
      <c r="M287">
        <v>1</v>
      </c>
      <c r="N287">
        <v>0.05</v>
      </c>
      <c r="O287">
        <v>1361.76</v>
      </c>
      <c r="P287">
        <v>369.27</v>
      </c>
      <c r="Q287" t="s">
        <v>1334</v>
      </c>
      <c r="R287" t="b">
        <f t="shared" si="13"/>
        <v>0</v>
      </c>
      <c r="S287" t="b">
        <f t="shared" si="14"/>
        <v>0</v>
      </c>
      <c r="T287" t="b">
        <f t="shared" si="15"/>
        <v>0</v>
      </c>
    </row>
    <row r="288" spans="1:20" x14ac:dyDescent="0.3">
      <c r="A288">
        <v>287</v>
      </c>
      <c r="B288" t="s">
        <v>303</v>
      </c>
      <c r="C288" s="2">
        <v>45847</v>
      </c>
      <c r="D288" s="2">
        <v>45852</v>
      </c>
      <c r="E288" t="s">
        <v>1017</v>
      </c>
      <c r="F288" t="s">
        <v>1035</v>
      </c>
      <c r="G288" t="s">
        <v>1267</v>
      </c>
      <c r="H288" t="s">
        <v>1287</v>
      </c>
      <c r="I288" t="s">
        <v>1292</v>
      </c>
      <c r="J288" t="s">
        <v>1303</v>
      </c>
      <c r="K288" t="s">
        <v>1309</v>
      </c>
      <c r="L288" t="s">
        <v>1325</v>
      </c>
      <c r="M288">
        <v>3</v>
      </c>
      <c r="N288">
        <v>0.1</v>
      </c>
      <c r="O288">
        <v>3499.76</v>
      </c>
      <c r="P288">
        <v>475.25</v>
      </c>
      <c r="Q288" t="s">
        <v>1331</v>
      </c>
      <c r="R288" t="b">
        <f t="shared" si="13"/>
        <v>0</v>
      </c>
      <c r="S288" t="b">
        <f t="shared" si="14"/>
        <v>0</v>
      </c>
      <c r="T288" t="b">
        <f t="shared" si="15"/>
        <v>0</v>
      </c>
    </row>
    <row r="289" spans="1:20" x14ac:dyDescent="0.3">
      <c r="A289">
        <v>288</v>
      </c>
      <c r="B289" t="s">
        <v>304</v>
      </c>
      <c r="C289" s="2">
        <v>45763</v>
      </c>
      <c r="D289" s="2">
        <v>45768</v>
      </c>
      <c r="E289" t="s">
        <v>1018</v>
      </c>
      <c r="F289" t="s">
        <v>1139</v>
      </c>
      <c r="G289" t="s">
        <v>1269</v>
      </c>
      <c r="H289" t="s">
        <v>1288</v>
      </c>
      <c r="I289" t="s">
        <v>1292</v>
      </c>
      <c r="J289" t="s">
        <v>1303</v>
      </c>
      <c r="K289" t="s">
        <v>1307</v>
      </c>
      <c r="L289" t="s">
        <v>1316</v>
      </c>
      <c r="M289">
        <v>5</v>
      </c>
      <c r="N289">
        <v>0.05</v>
      </c>
      <c r="O289">
        <v>2350.96</v>
      </c>
      <c r="P289">
        <v>575.29999999999995</v>
      </c>
      <c r="Q289" t="s">
        <v>1332</v>
      </c>
      <c r="R289" t="b">
        <f t="shared" si="13"/>
        <v>0</v>
      </c>
      <c r="S289" t="b">
        <f t="shared" si="14"/>
        <v>0</v>
      </c>
      <c r="T289" t="b">
        <f t="shared" si="15"/>
        <v>0</v>
      </c>
    </row>
    <row r="290" spans="1:20" x14ac:dyDescent="0.3">
      <c r="A290">
        <v>289</v>
      </c>
      <c r="B290" t="s">
        <v>305</v>
      </c>
      <c r="C290" s="2">
        <v>45875</v>
      </c>
      <c r="D290" s="2">
        <v>45878</v>
      </c>
      <c r="E290" t="s">
        <v>1018</v>
      </c>
      <c r="F290" t="s">
        <v>1143</v>
      </c>
      <c r="G290" t="s">
        <v>1285</v>
      </c>
      <c r="H290" t="s">
        <v>1288</v>
      </c>
      <c r="I290" t="s">
        <v>1299</v>
      </c>
      <c r="J290" t="s">
        <v>1304</v>
      </c>
      <c r="K290" t="s">
        <v>1307</v>
      </c>
      <c r="L290" t="s">
        <v>1315</v>
      </c>
      <c r="M290">
        <v>3</v>
      </c>
      <c r="N290">
        <v>0.2</v>
      </c>
      <c r="O290">
        <v>4327.43</v>
      </c>
      <c r="P290">
        <v>473.04</v>
      </c>
      <c r="Q290" t="s">
        <v>1332</v>
      </c>
      <c r="R290" t="b">
        <f t="shared" si="13"/>
        <v>0</v>
      </c>
      <c r="S290" t="b">
        <f t="shared" si="14"/>
        <v>0</v>
      </c>
      <c r="T290" t="b">
        <f t="shared" si="15"/>
        <v>0</v>
      </c>
    </row>
    <row r="291" spans="1:20" x14ac:dyDescent="0.3">
      <c r="A291">
        <v>290</v>
      </c>
      <c r="B291" t="s">
        <v>306</v>
      </c>
      <c r="C291" s="2">
        <v>45881</v>
      </c>
      <c r="D291" s="2">
        <v>45886</v>
      </c>
      <c r="E291" t="s">
        <v>1017</v>
      </c>
      <c r="F291" t="s">
        <v>1188</v>
      </c>
      <c r="G291" t="s">
        <v>1284</v>
      </c>
      <c r="H291" t="s">
        <v>1288</v>
      </c>
      <c r="I291" t="s">
        <v>1292</v>
      </c>
      <c r="J291" t="s">
        <v>1303</v>
      </c>
      <c r="K291" t="s">
        <v>1309</v>
      </c>
      <c r="L291" t="s">
        <v>1325</v>
      </c>
      <c r="M291">
        <v>3</v>
      </c>
      <c r="N291">
        <v>0.1</v>
      </c>
      <c r="O291">
        <v>3644.04</v>
      </c>
      <c r="P291">
        <v>590.46</v>
      </c>
      <c r="Q291" t="s">
        <v>1331</v>
      </c>
      <c r="R291" t="b">
        <f t="shared" si="13"/>
        <v>0</v>
      </c>
      <c r="S291" t="b">
        <f t="shared" si="14"/>
        <v>0</v>
      </c>
      <c r="T291" t="b">
        <f t="shared" si="15"/>
        <v>0</v>
      </c>
    </row>
    <row r="292" spans="1:20" x14ac:dyDescent="0.3">
      <c r="A292">
        <v>291</v>
      </c>
      <c r="B292" t="s">
        <v>307</v>
      </c>
      <c r="C292" s="2">
        <v>45877</v>
      </c>
      <c r="D292" s="2">
        <v>45882</v>
      </c>
      <c r="E292" t="s">
        <v>1017</v>
      </c>
      <c r="F292" t="s">
        <v>1189</v>
      </c>
      <c r="G292" t="s">
        <v>1268</v>
      </c>
      <c r="H292" t="s">
        <v>1287</v>
      </c>
      <c r="I292" t="s">
        <v>1290</v>
      </c>
      <c r="J292" t="s">
        <v>1302</v>
      </c>
      <c r="K292" t="s">
        <v>1308</v>
      </c>
      <c r="L292" t="s">
        <v>1318</v>
      </c>
      <c r="M292">
        <v>1</v>
      </c>
      <c r="N292">
        <v>0.1</v>
      </c>
      <c r="O292">
        <v>4839.55</v>
      </c>
      <c r="P292">
        <v>1189.6300000000001</v>
      </c>
      <c r="Q292" t="s">
        <v>1330</v>
      </c>
      <c r="R292" t="b">
        <f t="shared" si="13"/>
        <v>0</v>
      </c>
      <c r="S292" t="b">
        <f t="shared" si="14"/>
        <v>0</v>
      </c>
      <c r="T292" t="b">
        <f t="shared" si="15"/>
        <v>0</v>
      </c>
    </row>
    <row r="293" spans="1:20" x14ac:dyDescent="0.3">
      <c r="A293">
        <v>292</v>
      </c>
      <c r="B293" t="s">
        <v>308</v>
      </c>
      <c r="C293" s="2">
        <v>45913</v>
      </c>
      <c r="D293" s="2">
        <v>45916</v>
      </c>
      <c r="E293" t="s">
        <v>1017</v>
      </c>
      <c r="F293" t="s">
        <v>1047</v>
      </c>
      <c r="G293" t="s">
        <v>1276</v>
      </c>
      <c r="H293" t="s">
        <v>1288</v>
      </c>
      <c r="I293" t="s">
        <v>1301</v>
      </c>
      <c r="J293" t="s">
        <v>1303</v>
      </c>
      <c r="K293" t="s">
        <v>1307</v>
      </c>
      <c r="L293" t="s">
        <v>1316</v>
      </c>
      <c r="M293">
        <v>2</v>
      </c>
      <c r="N293">
        <v>0.15</v>
      </c>
      <c r="O293">
        <v>834.51</v>
      </c>
      <c r="P293">
        <v>70.150000000000006</v>
      </c>
      <c r="Q293" t="s">
        <v>1331</v>
      </c>
      <c r="R293" t="b">
        <f t="shared" si="13"/>
        <v>0</v>
      </c>
      <c r="S293" t="b">
        <f t="shared" si="14"/>
        <v>0</v>
      </c>
      <c r="T293" t="b">
        <f t="shared" si="15"/>
        <v>0</v>
      </c>
    </row>
    <row r="294" spans="1:20" x14ac:dyDescent="0.3">
      <c r="A294">
        <v>293</v>
      </c>
      <c r="B294" t="s">
        <v>309</v>
      </c>
      <c r="C294" s="2">
        <v>45670</v>
      </c>
      <c r="D294" s="2">
        <v>45675</v>
      </c>
      <c r="E294" t="s">
        <v>1018</v>
      </c>
      <c r="F294" t="s">
        <v>1096</v>
      </c>
      <c r="G294" t="s">
        <v>1275</v>
      </c>
      <c r="H294" t="s">
        <v>1287</v>
      </c>
      <c r="I294" t="s">
        <v>1297</v>
      </c>
      <c r="J294" t="s">
        <v>1304</v>
      </c>
      <c r="K294" t="s">
        <v>1309</v>
      </c>
      <c r="L294" t="s">
        <v>1325</v>
      </c>
      <c r="M294">
        <v>1</v>
      </c>
      <c r="N294">
        <v>0.05</v>
      </c>
      <c r="O294">
        <v>1279.79</v>
      </c>
      <c r="P294">
        <v>268.49</v>
      </c>
      <c r="Q294" t="s">
        <v>1333</v>
      </c>
      <c r="R294" t="b">
        <f t="shared" si="13"/>
        <v>0</v>
      </c>
      <c r="S294" t="b">
        <f t="shared" si="14"/>
        <v>0</v>
      </c>
      <c r="T294" t="b">
        <f t="shared" si="15"/>
        <v>0</v>
      </c>
    </row>
    <row r="295" spans="1:20" x14ac:dyDescent="0.3">
      <c r="A295">
        <v>294</v>
      </c>
      <c r="B295" t="s">
        <v>310</v>
      </c>
      <c r="C295" s="2">
        <v>45766</v>
      </c>
      <c r="D295" s="2">
        <v>45769</v>
      </c>
      <c r="E295" t="s">
        <v>1017</v>
      </c>
      <c r="F295" t="s">
        <v>1190</v>
      </c>
      <c r="G295" t="s">
        <v>1268</v>
      </c>
      <c r="H295" t="s">
        <v>1288</v>
      </c>
      <c r="I295" t="s">
        <v>1300</v>
      </c>
      <c r="J295" t="s">
        <v>1305</v>
      </c>
      <c r="K295" t="s">
        <v>1306</v>
      </c>
      <c r="L295" t="s">
        <v>1323</v>
      </c>
      <c r="M295">
        <v>2</v>
      </c>
      <c r="N295">
        <v>0.2</v>
      </c>
      <c r="O295">
        <v>280.45999999999998</v>
      </c>
      <c r="P295">
        <v>-8.15</v>
      </c>
      <c r="Q295" t="s">
        <v>1332</v>
      </c>
      <c r="R295" t="b">
        <f t="shared" si="13"/>
        <v>0</v>
      </c>
      <c r="S295" t="b">
        <f t="shared" si="14"/>
        <v>0</v>
      </c>
      <c r="T295" t="b">
        <f t="shared" si="15"/>
        <v>0</v>
      </c>
    </row>
    <row r="296" spans="1:20" x14ac:dyDescent="0.3">
      <c r="A296">
        <v>295</v>
      </c>
      <c r="B296" t="s">
        <v>311</v>
      </c>
      <c r="C296" s="2">
        <v>45926</v>
      </c>
      <c r="D296" s="2">
        <v>45929</v>
      </c>
      <c r="E296" t="s">
        <v>1017</v>
      </c>
      <c r="F296" t="s">
        <v>1070</v>
      </c>
      <c r="G296" t="s">
        <v>1272</v>
      </c>
      <c r="H296" t="s">
        <v>1288</v>
      </c>
      <c r="I296" t="s">
        <v>1293</v>
      </c>
      <c r="J296" t="s">
        <v>1304</v>
      </c>
      <c r="K296" t="s">
        <v>1306</v>
      </c>
      <c r="L296" t="s">
        <v>1310</v>
      </c>
      <c r="M296">
        <v>2</v>
      </c>
      <c r="N296">
        <v>0.2</v>
      </c>
      <c r="O296">
        <v>991.17</v>
      </c>
      <c r="P296">
        <v>132.01</v>
      </c>
      <c r="Q296" t="s">
        <v>1330</v>
      </c>
      <c r="R296" t="b">
        <f t="shared" si="13"/>
        <v>0</v>
      </c>
      <c r="S296" t="b">
        <f t="shared" si="14"/>
        <v>0</v>
      </c>
      <c r="T296" t="b">
        <f t="shared" si="15"/>
        <v>0</v>
      </c>
    </row>
    <row r="297" spans="1:20" x14ac:dyDescent="0.3">
      <c r="A297">
        <v>296</v>
      </c>
      <c r="B297" t="s">
        <v>312</v>
      </c>
      <c r="C297" s="2">
        <v>45970</v>
      </c>
      <c r="D297" s="2">
        <v>45974</v>
      </c>
      <c r="E297" t="s">
        <v>1018</v>
      </c>
      <c r="F297" t="s">
        <v>1191</v>
      </c>
      <c r="G297" t="s">
        <v>1278</v>
      </c>
      <c r="H297" t="s">
        <v>1287</v>
      </c>
      <c r="I297" t="s">
        <v>1292</v>
      </c>
      <c r="J297" t="s">
        <v>1303</v>
      </c>
      <c r="K297" t="s">
        <v>1306</v>
      </c>
      <c r="L297" t="s">
        <v>1310</v>
      </c>
      <c r="M297">
        <v>2</v>
      </c>
      <c r="N297">
        <v>0.05</v>
      </c>
      <c r="O297">
        <v>1287.9100000000001</v>
      </c>
      <c r="P297">
        <v>222.85</v>
      </c>
      <c r="Q297" t="s">
        <v>1331</v>
      </c>
      <c r="R297" t="b">
        <f t="shared" si="13"/>
        <v>0</v>
      </c>
      <c r="S297" t="b">
        <f t="shared" si="14"/>
        <v>0</v>
      </c>
      <c r="T297" t="b">
        <f t="shared" si="15"/>
        <v>0</v>
      </c>
    </row>
    <row r="298" spans="1:20" x14ac:dyDescent="0.3">
      <c r="A298">
        <v>297</v>
      </c>
      <c r="B298" t="s">
        <v>313</v>
      </c>
      <c r="C298" s="2">
        <v>45847</v>
      </c>
      <c r="D298" s="2">
        <v>45851</v>
      </c>
      <c r="E298" t="s">
        <v>1017</v>
      </c>
      <c r="F298" t="s">
        <v>1025</v>
      </c>
      <c r="G298" t="s">
        <v>1274</v>
      </c>
      <c r="H298" t="s">
        <v>1287</v>
      </c>
      <c r="I298" t="s">
        <v>1294</v>
      </c>
      <c r="J298" t="s">
        <v>1305</v>
      </c>
      <c r="K298" t="s">
        <v>1306</v>
      </c>
      <c r="L298" t="s">
        <v>1310</v>
      </c>
      <c r="M298">
        <v>2</v>
      </c>
      <c r="N298">
        <v>0.05</v>
      </c>
      <c r="O298">
        <v>1220.1500000000001</v>
      </c>
      <c r="P298">
        <v>205.77</v>
      </c>
      <c r="Q298" t="s">
        <v>1332</v>
      </c>
      <c r="R298" t="b">
        <f t="shared" si="13"/>
        <v>0</v>
      </c>
      <c r="S298" t="b">
        <f t="shared" si="14"/>
        <v>0</v>
      </c>
      <c r="T298" t="b">
        <f t="shared" si="15"/>
        <v>0</v>
      </c>
    </row>
    <row r="299" spans="1:20" x14ac:dyDescent="0.3">
      <c r="A299">
        <v>298</v>
      </c>
      <c r="B299" t="s">
        <v>314</v>
      </c>
      <c r="C299" s="2">
        <v>45999</v>
      </c>
      <c r="D299" s="2">
        <v>46001</v>
      </c>
      <c r="E299" t="s">
        <v>1017</v>
      </c>
      <c r="F299" t="s">
        <v>1192</v>
      </c>
      <c r="G299" t="s">
        <v>1279</v>
      </c>
      <c r="H299" t="s">
        <v>1287</v>
      </c>
      <c r="I299" t="s">
        <v>1298</v>
      </c>
      <c r="J299" t="s">
        <v>1303</v>
      </c>
      <c r="K299" t="s">
        <v>1309</v>
      </c>
      <c r="L299" t="s">
        <v>1320</v>
      </c>
      <c r="M299">
        <v>2</v>
      </c>
      <c r="N299">
        <v>0.2</v>
      </c>
      <c r="O299">
        <v>1883.49</v>
      </c>
      <c r="P299">
        <v>37.31</v>
      </c>
      <c r="Q299" t="s">
        <v>1333</v>
      </c>
      <c r="R299" t="b">
        <f t="shared" si="13"/>
        <v>0</v>
      </c>
      <c r="S299" t="b">
        <f t="shared" si="14"/>
        <v>0</v>
      </c>
      <c r="T299" t="b">
        <f t="shared" si="15"/>
        <v>0</v>
      </c>
    </row>
    <row r="300" spans="1:20" x14ac:dyDescent="0.3">
      <c r="A300">
        <v>299</v>
      </c>
      <c r="B300" t="s">
        <v>315</v>
      </c>
      <c r="C300" s="2">
        <v>46016</v>
      </c>
      <c r="D300" s="2">
        <v>46020</v>
      </c>
      <c r="E300" t="s">
        <v>1017</v>
      </c>
      <c r="F300" t="s">
        <v>1051</v>
      </c>
      <c r="G300" t="s">
        <v>1278</v>
      </c>
      <c r="H300" t="s">
        <v>1288</v>
      </c>
      <c r="I300" t="s">
        <v>1296</v>
      </c>
      <c r="J300" t="s">
        <v>1304</v>
      </c>
      <c r="K300" t="s">
        <v>1309</v>
      </c>
      <c r="L300" t="s">
        <v>1320</v>
      </c>
      <c r="M300">
        <v>1</v>
      </c>
      <c r="N300">
        <v>0</v>
      </c>
      <c r="O300">
        <v>1210.67</v>
      </c>
      <c r="P300">
        <v>310.61</v>
      </c>
      <c r="Q300" t="s">
        <v>1333</v>
      </c>
      <c r="R300" t="b">
        <f t="shared" si="13"/>
        <v>0</v>
      </c>
      <c r="S300" t="b">
        <f t="shared" si="14"/>
        <v>0</v>
      </c>
      <c r="T300" t="b">
        <f t="shared" si="15"/>
        <v>0</v>
      </c>
    </row>
    <row r="301" spans="1:20" x14ac:dyDescent="0.3">
      <c r="A301">
        <v>300</v>
      </c>
      <c r="B301" t="s">
        <v>316</v>
      </c>
      <c r="C301" s="2">
        <v>45965</v>
      </c>
      <c r="D301" s="2">
        <v>45967</v>
      </c>
      <c r="E301" t="s">
        <v>1018</v>
      </c>
      <c r="F301" t="s">
        <v>1193</v>
      </c>
      <c r="G301" t="s">
        <v>1272</v>
      </c>
      <c r="H301" t="s">
        <v>1287</v>
      </c>
      <c r="I301" t="s">
        <v>1299</v>
      </c>
      <c r="J301" t="s">
        <v>1304</v>
      </c>
      <c r="K301" t="s">
        <v>1306</v>
      </c>
      <c r="L301" t="s">
        <v>1328</v>
      </c>
      <c r="M301">
        <v>1</v>
      </c>
      <c r="N301">
        <v>0.25</v>
      </c>
      <c r="O301">
        <v>91.94</v>
      </c>
      <c r="P301">
        <v>0.59</v>
      </c>
      <c r="Q301" t="s">
        <v>1331</v>
      </c>
      <c r="R301" t="b">
        <f t="shared" si="13"/>
        <v>0</v>
      </c>
      <c r="S301" t="b">
        <f t="shared" si="14"/>
        <v>0</v>
      </c>
      <c r="T301" t="b">
        <f t="shared" si="15"/>
        <v>0</v>
      </c>
    </row>
    <row r="302" spans="1:20" x14ac:dyDescent="0.3">
      <c r="A302">
        <v>301</v>
      </c>
      <c r="B302" t="s">
        <v>317</v>
      </c>
      <c r="C302" s="2">
        <v>45953</v>
      </c>
      <c r="D302" s="2">
        <v>45954</v>
      </c>
      <c r="E302" t="s">
        <v>1017</v>
      </c>
      <c r="F302" t="s">
        <v>1174</v>
      </c>
      <c r="G302" t="s">
        <v>1286</v>
      </c>
      <c r="H302" t="s">
        <v>1287</v>
      </c>
      <c r="I302" t="s">
        <v>1291</v>
      </c>
      <c r="J302" t="s">
        <v>1302</v>
      </c>
      <c r="K302" t="s">
        <v>1309</v>
      </c>
      <c r="L302" t="s">
        <v>1329</v>
      </c>
      <c r="M302">
        <v>1</v>
      </c>
      <c r="N302">
        <v>0.05</v>
      </c>
      <c r="O302">
        <v>1882.61</v>
      </c>
      <c r="P302">
        <v>634.69000000000005</v>
      </c>
      <c r="Q302" t="s">
        <v>1331</v>
      </c>
      <c r="R302" t="b">
        <f t="shared" si="13"/>
        <v>0</v>
      </c>
      <c r="S302" t="b">
        <f t="shared" si="14"/>
        <v>0</v>
      </c>
      <c r="T302" t="b">
        <f t="shared" si="15"/>
        <v>0</v>
      </c>
    </row>
    <row r="303" spans="1:20" x14ac:dyDescent="0.3">
      <c r="A303">
        <v>302</v>
      </c>
      <c r="B303" t="s">
        <v>318</v>
      </c>
      <c r="C303" s="2">
        <v>45947</v>
      </c>
      <c r="D303" s="2">
        <v>45950</v>
      </c>
      <c r="E303" t="s">
        <v>1018</v>
      </c>
      <c r="F303" t="s">
        <v>1162</v>
      </c>
      <c r="G303" t="s">
        <v>1276</v>
      </c>
      <c r="H303" t="s">
        <v>1288</v>
      </c>
      <c r="I303" t="s">
        <v>1300</v>
      </c>
      <c r="J303" t="s">
        <v>1305</v>
      </c>
      <c r="K303" t="s">
        <v>1309</v>
      </c>
      <c r="L303" t="s">
        <v>1313</v>
      </c>
      <c r="M303">
        <v>1</v>
      </c>
      <c r="N303">
        <v>0.1</v>
      </c>
      <c r="O303">
        <v>1314.92</v>
      </c>
      <c r="P303">
        <v>244.35</v>
      </c>
      <c r="Q303" t="s">
        <v>1333</v>
      </c>
      <c r="R303" t="b">
        <f t="shared" si="13"/>
        <v>0</v>
      </c>
      <c r="S303" t="b">
        <f t="shared" si="14"/>
        <v>0</v>
      </c>
      <c r="T303" t="b">
        <f t="shared" si="15"/>
        <v>0</v>
      </c>
    </row>
    <row r="304" spans="1:20" x14ac:dyDescent="0.3">
      <c r="A304">
        <v>303</v>
      </c>
      <c r="B304" t="s">
        <v>319</v>
      </c>
      <c r="C304" s="2">
        <v>45928</v>
      </c>
      <c r="D304" s="2">
        <v>45931</v>
      </c>
      <c r="E304" t="s">
        <v>1017</v>
      </c>
      <c r="F304" t="s">
        <v>1149</v>
      </c>
      <c r="G304" t="s">
        <v>1269</v>
      </c>
      <c r="H304" t="s">
        <v>1289</v>
      </c>
      <c r="I304" t="s">
        <v>1296</v>
      </c>
      <c r="J304" t="s">
        <v>1304</v>
      </c>
      <c r="K304" t="s">
        <v>1307</v>
      </c>
      <c r="L304" t="s">
        <v>1315</v>
      </c>
      <c r="M304">
        <v>3</v>
      </c>
      <c r="N304">
        <v>0</v>
      </c>
      <c r="O304">
        <v>5241.8100000000004</v>
      </c>
      <c r="P304">
        <v>1179.46</v>
      </c>
      <c r="Q304" t="s">
        <v>1330</v>
      </c>
      <c r="R304" t="b">
        <f t="shared" si="13"/>
        <v>0</v>
      </c>
      <c r="S304" t="b">
        <f t="shared" si="14"/>
        <v>0</v>
      </c>
      <c r="T304" t="b">
        <f t="shared" si="15"/>
        <v>0</v>
      </c>
    </row>
    <row r="305" spans="1:20" x14ac:dyDescent="0.3">
      <c r="A305">
        <v>304</v>
      </c>
      <c r="B305" t="s">
        <v>320</v>
      </c>
      <c r="C305" s="2">
        <v>45806</v>
      </c>
      <c r="D305" s="2">
        <v>45807</v>
      </c>
      <c r="E305" t="s">
        <v>1017</v>
      </c>
      <c r="F305" t="s">
        <v>1039</v>
      </c>
      <c r="G305" t="s">
        <v>1276</v>
      </c>
      <c r="H305" t="s">
        <v>1287</v>
      </c>
      <c r="I305" t="s">
        <v>1301</v>
      </c>
      <c r="J305" t="s">
        <v>1303</v>
      </c>
      <c r="K305" t="s">
        <v>1306</v>
      </c>
      <c r="L305" t="s">
        <v>1323</v>
      </c>
      <c r="M305">
        <v>1</v>
      </c>
      <c r="N305">
        <v>0</v>
      </c>
      <c r="O305">
        <v>186.54</v>
      </c>
      <c r="P305">
        <v>45.33</v>
      </c>
      <c r="Q305" t="s">
        <v>1333</v>
      </c>
      <c r="R305" t="b">
        <f t="shared" si="13"/>
        <v>0</v>
      </c>
      <c r="S305" t="b">
        <f t="shared" si="14"/>
        <v>0</v>
      </c>
      <c r="T305" t="b">
        <f t="shared" si="15"/>
        <v>0</v>
      </c>
    </row>
    <row r="306" spans="1:20" x14ac:dyDescent="0.3">
      <c r="A306">
        <v>305</v>
      </c>
      <c r="B306" t="s">
        <v>321</v>
      </c>
      <c r="C306" s="2">
        <v>45727</v>
      </c>
      <c r="D306" s="2">
        <v>45728</v>
      </c>
      <c r="E306" t="s">
        <v>1017</v>
      </c>
      <c r="F306" t="s">
        <v>1194</v>
      </c>
      <c r="G306" t="s">
        <v>1269</v>
      </c>
      <c r="H306" t="s">
        <v>1287</v>
      </c>
      <c r="I306" t="s">
        <v>1294</v>
      </c>
      <c r="J306" t="s">
        <v>1305</v>
      </c>
      <c r="K306" t="s">
        <v>1309</v>
      </c>
      <c r="L306" t="s">
        <v>1313</v>
      </c>
      <c r="M306">
        <v>1</v>
      </c>
      <c r="N306">
        <v>0</v>
      </c>
      <c r="O306">
        <v>1430.83</v>
      </c>
      <c r="P306">
        <v>436.12</v>
      </c>
      <c r="Q306" t="s">
        <v>1334</v>
      </c>
      <c r="R306" t="b">
        <f t="shared" si="13"/>
        <v>0</v>
      </c>
      <c r="S306" t="b">
        <f t="shared" si="14"/>
        <v>0</v>
      </c>
      <c r="T306" t="b">
        <f t="shared" si="15"/>
        <v>0</v>
      </c>
    </row>
    <row r="307" spans="1:20" x14ac:dyDescent="0.3">
      <c r="A307">
        <v>306</v>
      </c>
      <c r="B307" t="s">
        <v>322</v>
      </c>
      <c r="C307" s="2">
        <v>45857</v>
      </c>
      <c r="D307" s="2">
        <v>45860</v>
      </c>
      <c r="E307" t="s">
        <v>1017</v>
      </c>
      <c r="F307" t="s">
        <v>1195</v>
      </c>
      <c r="G307" t="s">
        <v>1273</v>
      </c>
      <c r="H307" t="s">
        <v>1287</v>
      </c>
      <c r="I307" t="s">
        <v>1300</v>
      </c>
      <c r="J307" t="s">
        <v>1305</v>
      </c>
      <c r="K307" t="s">
        <v>1306</v>
      </c>
      <c r="L307" t="s">
        <v>1321</v>
      </c>
      <c r="M307">
        <v>2</v>
      </c>
      <c r="N307">
        <v>0.35</v>
      </c>
      <c r="O307">
        <v>880.73</v>
      </c>
      <c r="P307">
        <v>303.93</v>
      </c>
      <c r="Q307" t="s">
        <v>1330</v>
      </c>
      <c r="R307" t="b">
        <f t="shared" si="13"/>
        <v>0</v>
      </c>
      <c r="S307" t="b">
        <f t="shared" si="14"/>
        <v>0</v>
      </c>
      <c r="T307" t="b">
        <f t="shared" si="15"/>
        <v>0</v>
      </c>
    </row>
    <row r="308" spans="1:20" x14ac:dyDescent="0.3">
      <c r="A308">
        <v>307</v>
      </c>
      <c r="B308" t="s">
        <v>323</v>
      </c>
      <c r="C308" s="2">
        <v>45845</v>
      </c>
      <c r="D308" s="2">
        <v>45848</v>
      </c>
      <c r="E308" t="s">
        <v>1017</v>
      </c>
      <c r="F308" t="s">
        <v>1049</v>
      </c>
      <c r="G308" t="s">
        <v>1280</v>
      </c>
      <c r="H308" t="s">
        <v>1288</v>
      </c>
      <c r="I308" t="s">
        <v>1290</v>
      </c>
      <c r="J308" t="s">
        <v>1302</v>
      </c>
      <c r="K308" t="s">
        <v>1309</v>
      </c>
      <c r="L308" t="s">
        <v>1317</v>
      </c>
      <c r="M308">
        <v>2</v>
      </c>
      <c r="N308">
        <v>0.15</v>
      </c>
      <c r="O308">
        <v>1379.86</v>
      </c>
      <c r="P308">
        <v>218.98</v>
      </c>
      <c r="Q308" t="s">
        <v>1331</v>
      </c>
      <c r="R308" t="b">
        <f t="shared" si="13"/>
        <v>0</v>
      </c>
      <c r="S308" t="b">
        <f t="shared" si="14"/>
        <v>0</v>
      </c>
      <c r="T308" t="b">
        <f t="shared" si="15"/>
        <v>0</v>
      </c>
    </row>
    <row r="309" spans="1:20" x14ac:dyDescent="0.3">
      <c r="A309">
        <v>308</v>
      </c>
      <c r="B309" t="s">
        <v>324</v>
      </c>
      <c r="C309" s="2">
        <v>45843</v>
      </c>
      <c r="D309" s="2">
        <v>45848</v>
      </c>
      <c r="E309" t="s">
        <v>1017</v>
      </c>
      <c r="F309" t="s">
        <v>1126</v>
      </c>
      <c r="G309" t="s">
        <v>1285</v>
      </c>
      <c r="H309" t="s">
        <v>1287</v>
      </c>
      <c r="I309" t="s">
        <v>1295</v>
      </c>
      <c r="J309" t="s">
        <v>1305</v>
      </c>
      <c r="K309" t="s">
        <v>1307</v>
      </c>
      <c r="L309" t="s">
        <v>1314</v>
      </c>
      <c r="M309">
        <v>3</v>
      </c>
      <c r="N309">
        <v>0</v>
      </c>
      <c r="O309">
        <v>2626.9</v>
      </c>
      <c r="P309">
        <v>876.92</v>
      </c>
      <c r="Q309" t="s">
        <v>1331</v>
      </c>
      <c r="R309" t="b">
        <f t="shared" si="13"/>
        <v>0</v>
      </c>
      <c r="S309" t="b">
        <f t="shared" si="14"/>
        <v>0</v>
      </c>
      <c r="T309" t="b">
        <f t="shared" si="15"/>
        <v>0</v>
      </c>
    </row>
    <row r="310" spans="1:20" x14ac:dyDescent="0.3">
      <c r="A310">
        <v>309</v>
      </c>
      <c r="B310" t="s">
        <v>325</v>
      </c>
      <c r="C310" s="2">
        <v>45992</v>
      </c>
      <c r="D310" s="2">
        <v>45993</v>
      </c>
      <c r="E310" t="s">
        <v>1018</v>
      </c>
      <c r="F310" t="s">
        <v>1196</v>
      </c>
      <c r="G310" t="s">
        <v>1271</v>
      </c>
      <c r="H310" t="s">
        <v>1287</v>
      </c>
      <c r="I310" t="s">
        <v>1299</v>
      </c>
      <c r="J310" t="s">
        <v>1304</v>
      </c>
      <c r="K310" t="s">
        <v>1307</v>
      </c>
      <c r="L310" t="s">
        <v>1316</v>
      </c>
      <c r="M310">
        <v>1</v>
      </c>
      <c r="N310">
        <v>0.15</v>
      </c>
      <c r="O310">
        <v>406.18</v>
      </c>
      <c r="P310">
        <v>7.39</v>
      </c>
      <c r="Q310" t="s">
        <v>1333</v>
      </c>
      <c r="R310" t="b">
        <f t="shared" si="13"/>
        <v>0</v>
      </c>
      <c r="S310" t="b">
        <f t="shared" si="14"/>
        <v>0</v>
      </c>
      <c r="T310" t="b">
        <f t="shared" si="15"/>
        <v>0</v>
      </c>
    </row>
    <row r="311" spans="1:20" x14ac:dyDescent="0.3">
      <c r="A311">
        <v>310</v>
      </c>
      <c r="B311" t="s">
        <v>326</v>
      </c>
      <c r="C311" s="2">
        <v>45729</v>
      </c>
      <c r="D311" s="2">
        <v>45734</v>
      </c>
      <c r="E311" t="s">
        <v>1018</v>
      </c>
      <c r="F311" t="s">
        <v>1155</v>
      </c>
      <c r="G311" t="s">
        <v>1267</v>
      </c>
      <c r="H311" t="s">
        <v>1287</v>
      </c>
      <c r="I311" t="s">
        <v>1301</v>
      </c>
      <c r="J311" t="s">
        <v>1303</v>
      </c>
      <c r="K311" t="s">
        <v>1309</v>
      </c>
      <c r="L311" t="s">
        <v>1317</v>
      </c>
      <c r="M311">
        <v>2</v>
      </c>
      <c r="N311">
        <v>0</v>
      </c>
      <c r="O311">
        <v>1610.22</v>
      </c>
      <c r="P311">
        <v>375.96</v>
      </c>
      <c r="Q311" t="s">
        <v>1332</v>
      </c>
      <c r="R311" t="b">
        <f t="shared" si="13"/>
        <v>0</v>
      </c>
      <c r="S311" t="b">
        <f t="shared" si="14"/>
        <v>0</v>
      </c>
      <c r="T311" t="b">
        <f t="shared" si="15"/>
        <v>0</v>
      </c>
    </row>
    <row r="312" spans="1:20" x14ac:dyDescent="0.3">
      <c r="A312">
        <v>311</v>
      </c>
      <c r="B312" t="s">
        <v>327</v>
      </c>
      <c r="C312" s="2">
        <v>45677</v>
      </c>
      <c r="D312" s="2">
        <v>45680</v>
      </c>
      <c r="E312" t="s">
        <v>1017</v>
      </c>
      <c r="F312" t="s">
        <v>1022</v>
      </c>
      <c r="G312" t="s">
        <v>1284</v>
      </c>
      <c r="H312" t="s">
        <v>1287</v>
      </c>
      <c r="I312" t="s">
        <v>1293</v>
      </c>
      <c r="J312" t="s">
        <v>1304</v>
      </c>
      <c r="K312" t="s">
        <v>1309</v>
      </c>
      <c r="L312" t="s">
        <v>1317</v>
      </c>
      <c r="M312">
        <v>1</v>
      </c>
      <c r="N312">
        <v>0.1</v>
      </c>
      <c r="O312">
        <v>730.35</v>
      </c>
      <c r="P312">
        <v>79.78</v>
      </c>
      <c r="Q312" t="s">
        <v>1333</v>
      </c>
      <c r="R312" t="b">
        <f t="shared" si="13"/>
        <v>0</v>
      </c>
      <c r="S312" t="b">
        <f t="shared" si="14"/>
        <v>0</v>
      </c>
      <c r="T312" t="b">
        <f t="shared" si="15"/>
        <v>0</v>
      </c>
    </row>
    <row r="313" spans="1:20" x14ac:dyDescent="0.3">
      <c r="A313">
        <v>312</v>
      </c>
      <c r="B313" t="s">
        <v>328</v>
      </c>
      <c r="C313" s="2">
        <v>45757</v>
      </c>
      <c r="D313" s="2">
        <v>45760</v>
      </c>
      <c r="E313" t="s">
        <v>1018</v>
      </c>
      <c r="F313" t="s">
        <v>1197</v>
      </c>
      <c r="G313" t="s">
        <v>1275</v>
      </c>
      <c r="H313" t="s">
        <v>1289</v>
      </c>
      <c r="I313" t="s">
        <v>1290</v>
      </c>
      <c r="J313" t="s">
        <v>1302</v>
      </c>
      <c r="K313" t="s">
        <v>1309</v>
      </c>
      <c r="L313" t="s">
        <v>1329</v>
      </c>
      <c r="M313">
        <v>1</v>
      </c>
      <c r="N313">
        <v>0.15</v>
      </c>
      <c r="O313">
        <v>1598.53</v>
      </c>
      <c r="P313">
        <v>104.53</v>
      </c>
      <c r="Q313" t="s">
        <v>1330</v>
      </c>
      <c r="R313" t="b">
        <f t="shared" si="13"/>
        <v>0</v>
      </c>
      <c r="S313" t="b">
        <f t="shared" si="14"/>
        <v>0</v>
      </c>
      <c r="T313" t="b">
        <f t="shared" si="15"/>
        <v>0</v>
      </c>
    </row>
    <row r="314" spans="1:20" x14ac:dyDescent="0.3">
      <c r="A314">
        <v>313</v>
      </c>
      <c r="B314" t="s">
        <v>329</v>
      </c>
      <c r="C314" s="2">
        <v>45896</v>
      </c>
      <c r="D314" s="2">
        <v>45900</v>
      </c>
      <c r="E314" t="s">
        <v>1019</v>
      </c>
      <c r="F314" t="s">
        <v>1174</v>
      </c>
      <c r="G314" t="s">
        <v>1280</v>
      </c>
      <c r="H314" t="s">
        <v>1287</v>
      </c>
      <c r="I314" t="s">
        <v>1301</v>
      </c>
      <c r="J314" t="s">
        <v>1303</v>
      </c>
      <c r="K314" t="s">
        <v>1306</v>
      </c>
      <c r="L314" t="s">
        <v>1324</v>
      </c>
      <c r="M314">
        <v>3</v>
      </c>
      <c r="N314">
        <v>0.15</v>
      </c>
      <c r="O314">
        <v>230.79</v>
      </c>
      <c r="P314">
        <v>61.82</v>
      </c>
      <c r="Q314" t="s">
        <v>1333</v>
      </c>
      <c r="R314" t="b">
        <f t="shared" si="13"/>
        <v>0</v>
      </c>
      <c r="S314" t="b">
        <f t="shared" si="14"/>
        <v>0</v>
      </c>
      <c r="T314" t="b">
        <f t="shared" si="15"/>
        <v>0</v>
      </c>
    </row>
    <row r="315" spans="1:20" x14ac:dyDescent="0.3">
      <c r="A315">
        <v>314</v>
      </c>
      <c r="B315" t="s">
        <v>330</v>
      </c>
      <c r="C315" s="2">
        <v>45816</v>
      </c>
      <c r="D315" s="2">
        <v>45817</v>
      </c>
      <c r="E315" t="s">
        <v>1017</v>
      </c>
      <c r="F315" t="s">
        <v>1086</v>
      </c>
      <c r="G315" t="s">
        <v>1272</v>
      </c>
      <c r="H315" t="s">
        <v>1287</v>
      </c>
      <c r="I315" t="s">
        <v>1301</v>
      </c>
      <c r="J315" t="s">
        <v>1303</v>
      </c>
      <c r="K315" t="s">
        <v>1308</v>
      </c>
      <c r="L315" t="s">
        <v>1319</v>
      </c>
      <c r="M315">
        <v>1</v>
      </c>
      <c r="N315">
        <v>0.25</v>
      </c>
      <c r="O315">
        <v>3384.77</v>
      </c>
      <c r="P315">
        <v>-236.02</v>
      </c>
      <c r="Q315" t="s">
        <v>1331</v>
      </c>
      <c r="R315" t="b">
        <f t="shared" si="13"/>
        <v>0</v>
      </c>
      <c r="S315" t="b">
        <f t="shared" si="14"/>
        <v>0</v>
      </c>
      <c r="T315" t="b">
        <f t="shared" si="15"/>
        <v>0</v>
      </c>
    </row>
    <row r="316" spans="1:20" x14ac:dyDescent="0.3">
      <c r="A316">
        <v>315</v>
      </c>
      <c r="B316" t="s">
        <v>331</v>
      </c>
      <c r="C316" s="2">
        <v>45878</v>
      </c>
      <c r="D316" s="2">
        <v>45882</v>
      </c>
      <c r="E316" t="s">
        <v>1018</v>
      </c>
      <c r="F316" t="s">
        <v>1043</v>
      </c>
      <c r="G316" t="s">
        <v>1286</v>
      </c>
      <c r="H316" t="s">
        <v>1289</v>
      </c>
      <c r="I316" t="s">
        <v>1301</v>
      </c>
      <c r="J316" t="s">
        <v>1303</v>
      </c>
      <c r="K316" t="s">
        <v>1309</v>
      </c>
      <c r="L316" t="s">
        <v>1325</v>
      </c>
      <c r="M316">
        <v>2</v>
      </c>
      <c r="N316">
        <v>0.15</v>
      </c>
      <c r="O316">
        <v>2195.91</v>
      </c>
      <c r="P316">
        <v>120.84</v>
      </c>
      <c r="Q316" t="s">
        <v>1331</v>
      </c>
      <c r="R316" t="b">
        <f t="shared" si="13"/>
        <v>0</v>
      </c>
      <c r="S316" t="b">
        <f t="shared" si="14"/>
        <v>0</v>
      </c>
      <c r="T316" t="b">
        <f t="shared" si="15"/>
        <v>0</v>
      </c>
    </row>
    <row r="317" spans="1:20" x14ac:dyDescent="0.3">
      <c r="A317">
        <v>316</v>
      </c>
      <c r="B317" t="s">
        <v>332</v>
      </c>
      <c r="C317" s="2">
        <v>45928</v>
      </c>
      <c r="D317" s="2">
        <v>45930</v>
      </c>
      <c r="E317" t="s">
        <v>1017</v>
      </c>
      <c r="F317" t="s">
        <v>1137</v>
      </c>
      <c r="G317" t="s">
        <v>1267</v>
      </c>
      <c r="H317" t="s">
        <v>1289</v>
      </c>
      <c r="I317" t="s">
        <v>1292</v>
      </c>
      <c r="J317" t="s">
        <v>1303</v>
      </c>
      <c r="K317" t="s">
        <v>1309</v>
      </c>
      <c r="L317" t="s">
        <v>1320</v>
      </c>
      <c r="M317">
        <v>2</v>
      </c>
      <c r="N317">
        <v>0.1</v>
      </c>
      <c r="O317">
        <v>2161.2399999999998</v>
      </c>
      <c r="P317">
        <v>526.54</v>
      </c>
      <c r="Q317" t="s">
        <v>1332</v>
      </c>
      <c r="R317" t="b">
        <f t="shared" si="13"/>
        <v>0</v>
      </c>
      <c r="S317" t="b">
        <f t="shared" si="14"/>
        <v>0</v>
      </c>
      <c r="T317" t="b">
        <f t="shared" si="15"/>
        <v>0</v>
      </c>
    </row>
    <row r="318" spans="1:20" x14ac:dyDescent="0.3">
      <c r="A318">
        <v>317</v>
      </c>
      <c r="B318" t="s">
        <v>333</v>
      </c>
      <c r="C318" s="2">
        <v>45871</v>
      </c>
      <c r="D318" s="2">
        <v>45874</v>
      </c>
      <c r="E318" t="s">
        <v>1018</v>
      </c>
      <c r="F318" t="s">
        <v>1079</v>
      </c>
      <c r="G318" t="s">
        <v>1280</v>
      </c>
      <c r="H318" t="s">
        <v>1289</v>
      </c>
      <c r="I318" t="s">
        <v>1299</v>
      </c>
      <c r="J318" t="s">
        <v>1304</v>
      </c>
      <c r="K318" t="s">
        <v>1308</v>
      </c>
      <c r="L318" t="s">
        <v>1312</v>
      </c>
      <c r="M318">
        <v>3</v>
      </c>
      <c r="N318">
        <v>0.05</v>
      </c>
      <c r="O318">
        <v>3867.55</v>
      </c>
      <c r="P318">
        <v>1139.48</v>
      </c>
      <c r="Q318" t="s">
        <v>1331</v>
      </c>
      <c r="R318" t="b">
        <f t="shared" si="13"/>
        <v>0</v>
      </c>
      <c r="S318" t="b">
        <f t="shared" si="14"/>
        <v>0</v>
      </c>
      <c r="T318" t="b">
        <f t="shared" si="15"/>
        <v>0</v>
      </c>
    </row>
    <row r="319" spans="1:20" x14ac:dyDescent="0.3">
      <c r="A319">
        <v>318</v>
      </c>
      <c r="B319" t="s">
        <v>334</v>
      </c>
      <c r="C319" s="2">
        <v>45936</v>
      </c>
      <c r="D319" s="2">
        <v>45938</v>
      </c>
      <c r="E319" t="s">
        <v>1017</v>
      </c>
      <c r="F319" t="s">
        <v>1121</v>
      </c>
      <c r="G319" t="s">
        <v>1278</v>
      </c>
      <c r="H319" t="s">
        <v>1287</v>
      </c>
      <c r="I319" t="s">
        <v>1293</v>
      </c>
      <c r="J319" t="s">
        <v>1304</v>
      </c>
      <c r="K319" t="s">
        <v>1308</v>
      </c>
      <c r="L319" t="s">
        <v>1318</v>
      </c>
      <c r="M319">
        <v>1</v>
      </c>
      <c r="N319">
        <v>0.2</v>
      </c>
      <c r="O319">
        <v>4453.2</v>
      </c>
      <c r="P319">
        <v>798.92</v>
      </c>
      <c r="Q319" t="s">
        <v>1333</v>
      </c>
      <c r="R319" t="b">
        <f t="shared" si="13"/>
        <v>0</v>
      </c>
      <c r="S319" t="b">
        <f t="shared" si="14"/>
        <v>0</v>
      </c>
      <c r="T319" t="b">
        <f t="shared" si="15"/>
        <v>0</v>
      </c>
    </row>
    <row r="320" spans="1:20" x14ac:dyDescent="0.3">
      <c r="A320">
        <v>319</v>
      </c>
      <c r="B320" t="s">
        <v>335</v>
      </c>
      <c r="C320" s="2">
        <v>45784</v>
      </c>
      <c r="D320" s="2">
        <v>45785</v>
      </c>
      <c r="E320" t="s">
        <v>1017</v>
      </c>
      <c r="F320" t="s">
        <v>1198</v>
      </c>
      <c r="G320" t="s">
        <v>1267</v>
      </c>
      <c r="H320" t="s">
        <v>1287</v>
      </c>
      <c r="I320" t="s">
        <v>1294</v>
      </c>
      <c r="J320" t="s">
        <v>1305</v>
      </c>
      <c r="K320" t="s">
        <v>1307</v>
      </c>
      <c r="L320" t="s">
        <v>1311</v>
      </c>
      <c r="M320">
        <v>3</v>
      </c>
      <c r="N320">
        <v>0.05</v>
      </c>
      <c r="O320">
        <v>814.01</v>
      </c>
      <c r="P320">
        <v>229.23</v>
      </c>
      <c r="Q320" t="s">
        <v>1334</v>
      </c>
      <c r="R320" t="b">
        <f t="shared" si="13"/>
        <v>0</v>
      </c>
      <c r="S320" t="b">
        <f t="shared" si="14"/>
        <v>0</v>
      </c>
      <c r="T320" t="b">
        <f t="shared" si="15"/>
        <v>0</v>
      </c>
    </row>
    <row r="321" spans="1:20" x14ac:dyDescent="0.3">
      <c r="A321">
        <v>320</v>
      </c>
      <c r="B321" t="s">
        <v>336</v>
      </c>
      <c r="C321" s="2">
        <v>45711</v>
      </c>
      <c r="D321" s="2">
        <v>45714</v>
      </c>
      <c r="E321" t="s">
        <v>1017</v>
      </c>
      <c r="F321" t="s">
        <v>1160</v>
      </c>
      <c r="G321" t="s">
        <v>1268</v>
      </c>
      <c r="H321" t="s">
        <v>1287</v>
      </c>
      <c r="I321" t="s">
        <v>1293</v>
      </c>
      <c r="J321" t="s">
        <v>1304</v>
      </c>
      <c r="K321" t="s">
        <v>1307</v>
      </c>
      <c r="L321" t="s">
        <v>1316</v>
      </c>
      <c r="M321">
        <v>4</v>
      </c>
      <c r="N321">
        <v>0.1</v>
      </c>
      <c r="O321">
        <v>1713.66</v>
      </c>
      <c r="P321">
        <v>247.02</v>
      </c>
      <c r="Q321" t="s">
        <v>1332</v>
      </c>
      <c r="R321" t="b">
        <f t="shared" si="13"/>
        <v>0</v>
      </c>
      <c r="S321" t="b">
        <f t="shared" si="14"/>
        <v>0</v>
      </c>
      <c r="T321" t="b">
        <f t="shared" si="15"/>
        <v>0</v>
      </c>
    </row>
    <row r="322" spans="1:20" x14ac:dyDescent="0.3">
      <c r="A322">
        <v>321</v>
      </c>
      <c r="B322" t="s">
        <v>337</v>
      </c>
      <c r="C322" s="2">
        <v>45903</v>
      </c>
      <c r="D322" s="2">
        <v>45905</v>
      </c>
      <c r="E322" t="s">
        <v>1017</v>
      </c>
      <c r="F322" t="s">
        <v>1110</v>
      </c>
      <c r="G322" t="s">
        <v>1274</v>
      </c>
      <c r="H322" t="s">
        <v>1287</v>
      </c>
      <c r="I322" t="s">
        <v>1291</v>
      </c>
      <c r="J322" t="s">
        <v>1302</v>
      </c>
      <c r="K322" t="s">
        <v>1306</v>
      </c>
      <c r="L322" t="s">
        <v>1328</v>
      </c>
      <c r="M322">
        <v>2</v>
      </c>
      <c r="N322">
        <v>0.1</v>
      </c>
      <c r="O322">
        <v>206.54</v>
      </c>
      <c r="P322">
        <v>32.04</v>
      </c>
      <c r="Q322" t="s">
        <v>1333</v>
      </c>
      <c r="R322" t="b">
        <f t="shared" si="13"/>
        <v>0</v>
      </c>
      <c r="S322" t="b">
        <f t="shared" si="14"/>
        <v>0</v>
      </c>
      <c r="T322" t="b">
        <f t="shared" si="15"/>
        <v>0</v>
      </c>
    </row>
    <row r="323" spans="1:20" x14ac:dyDescent="0.3">
      <c r="A323">
        <v>322</v>
      </c>
      <c r="B323" t="s">
        <v>338</v>
      </c>
      <c r="C323" s="2">
        <v>45720</v>
      </c>
      <c r="D323" s="2">
        <v>45725</v>
      </c>
      <c r="E323" t="s">
        <v>1017</v>
      </c>
      <c r="F323" t="s">
        <v>1049</v>
      </c>
      <c r="G323" t="s">
        <v>1268</v>
      </c>
      <c r="H323" t="s">
        <v>1287</v>
      </c>
      <c r="I323" t="s">
        <v>1291</v>
      </c>
      <c r="J323" t="s">
        <v>1302</v>
      </c>
      <c r="K323" t="s">
        <v>1309</v>
      </c>
      <c r="L323" t="s">
        <v>1313</v>
      </c>
      <c r="M323">
        <v>2</v>
      </c>
      <c r="N323">
        <v>0</v>
      </c>
      <c r="O323">
        <v>2943.3</v>
      </c>
      <c r="P323">
        <v>929.01</v>
      </c>
      <c r="Q323" t="s">
        <v>1331</v>
      </c>
      <c r="R323" t="b">
        <f t="shared" ref="R323:R386" si="16">D323&lt;C323</f>
        <v>0</v>
      </c>
      <c r="S323" t="b">
        <f t="shared" ref="S323:S386" si="17">M323&lt;=0</f>
        <v>0</v>
      </c>
      <c r="T323" t="b">
        <f t="shared" ref="T323:T386" si="18">OR(N323&lt;0,N323&gt;1)</f>
        <v>0</v>
      </c>
    </row>
    <row r="324" spans="1:20" x14ac:dyDescent="0.3">
      <c r="A324">
        <v>323</v>
      </c>
      <c r="B324" t="s">
        <v>339</v>
      </c>
      <c r="C324" s="2">
        <v>45837</v>
      </c>
      <c r="D324" s="2">
        <v>45841</v>
      </c>
      <c r="E324" t="s">
        <v>1017</v>
      </c>
      <c r="F324" t="s">
        <v>1093</v>
      </c>
      <c r="G324" t="s">
        <v>1284</v>
      </c>
      <c r="H324" t="s">
        <v>1288</v>
      </c>
      <c r="I324" t="s">
        <v>1292</v>
      </c>
      <c r="J324" t="s">
        <v>1303</v>
      </c>
      <c r="K324" t="s">
        <v>1308</v>
      </c>
      <c r="L324" t="s">
        <v>1327</v>
      </c>
      <c r="M324">
        <v>1</v>
      </c>
      <c r="N324">
        <v>0.15</v>
      </c>
      <c r="O324">
        <v>1568.77</v>
      </c>
      <c r="P324">
        <v>191.62</v>
      </c>
      <c r="Q324" t="s">
        <v>1331</v>
      </c>
      <c r="R324" t="b">
        <f t="shared" si="16"/>
        <v>0</v>
      </c>
      <c r="S324" t="b">
        <f t="shared" si="17"/>
        <v>0</v>
      </c>
      <c r="T324" t="b">
        <f t="shared" si="18"/>
        <v>0</v>
      </c>
    </row>
    <row r="325" spans="1:20" x14ac:dyDescent="0.3">
      <c r="A325">
        <v>324</v>
      </c>
      <c r="B325" t="s">
        <v>340</v>
      </c>
      <c r="C325" s="2">
        <v>45938</v>
      </c>
      <c r="D325" s="2">
        <v>45942</v>
      </c>
      <c r="E325" t="s">
        <v>1017</v>
      </c>
      <c r="F325" t="s">
        <v>1199</v>
      </c>
      <c r="G325" t="s">
        <v>1283</v>
      </c>
      <c r="H325" t="s">
        <v>1288</v>
      </c>
      <c r="I325" t="s">
        <v>1290</v>
      </c>
      <c r="J325" t="s">
        <v>1302</v>
      </c>
      <c r="K325" t="s">
        <v>1309</v>
      </c>
      <c r="L325" t="s">
        <v>1320</v>
      </c>
      <c r="M325">
        <v>4</v>
      </c>
      <c r="N325">
        <v>0.1</v>
      </c>
      <c r="O325">
        <v>4276.57</v>
      </c>
      <c r="P325">
        <v>1182.6099999999999</v>
      </c>
      <c r="Q325" t="s">
        <v>1331</v>
      </c>
      <c r="R325" t="b">
        <f t="shared" si="16"/>
        <v>0</v>
      </c>
      <c r="S325" t="b">
        <f t="shared" si="17"/>
        <v>0</v>
      </c>
      <c r="T325" t="b">
        <f t="shared" si="18"/>
        <v>0</v>
      </c>
    </row>
    <row r="326" spans="1:20" x14ac:dyDescent="0.3">
      <c r="A326">
        <v>325</v>
      </c>
      <c r="B326" t="s">
        <v>341</v>
      </c>
      <c r="C326" s="2">
        <v>45986</v>
      </c>
      <c r="D326" s="2">
        <v>45989</v>
      </c>
      <c r="E326" t="s">
        <v>1018</v>
      </c>
      <c r="F326" t="s">
        <v>1157</v>
      </c>
      <c r="G326" t="s">
        <v>1276</v>
      </c>
      <c r="H326" t="s">
        <v>1288</v>
      </c>
      <c r="I326" t="s">
        <v>1301</v>
      </c>
      <c r="J326" t="s">
        <v>1303</v>
      </c>
      <c r="K326" t="s">
        <v>1307</v>
      </c>
      <c r="L326" t="s">
        <v>1322</v>
      </c>
      <c r="M326">
        <v>1</v>
      </c>
      <c r="N326">
        <v>0.2</v>
      </c>
      <c r="O326">
        <v>554.24</v>
      </c>
      <c r="P326">
        <v>87.23</v>
      </c>
      <c r="Q326" t="s">
        <v>1334</v>
      </c>
      <c r="R326" t="b">
        <f t="shared" si="16"/>
        <v>0</v>
      </c>
      <c r="S326" t="b">
        <f t="shared" si="17"/>
        <v>0</v>
      </c>
      <c r="T326" t="b">
        <f t="shared" si="18"/>
        <v>0</v>
      </c>
    </row>
    <row r="327" spans="1:20" x14ac:dyDescent="0.3">
      <c r="A327">
        <v>326</v>
      </c>
      <c r="B327" t="s">
        <v>342</v>
      </c>
      <c r="C327" s="2">
        <v>45981</v>
      </c>
      <c r="D327" s="2">
        <v>45986</v>
      </c>
      <c r="E327" t="s">
        <v>1017</v>
      </c>
      <c r="F327" t="s">
        <v>1200</v>
      </c>
      <c r="G327" t="s">
        <v>1274</v>
      </c>
      <c r="H327" t="s">
        <v>1287</v>
      </c>
      <c r="I327" t="s">
        <v>1292</v>
      </c>
      <c r="J327" t="s">
        <v>1303</v>
      </c>
      <c r="K327" t="s">
        <v>1306</v>
      </c>
      <c r="L327" t="s">
        <v>1324</v>
      </c>
      <c r="M327">
        <v>3</v>
      </c>
      <c r="N327">
        <v>0.05</v>
      </c>
      <c r="O327">
        <v>269.06</v>
      </c>
      <c r="P327">
        <v>100.04</v>
      </c>
      <c r="Q327" t="s">
        <v>1331</v>
      </c>
      <c r="R327" t="b">
        <f t="shared" si="16"/>
        <v>0</v>
      </c>
      <c r="S327" t="b">
        <f t="shared" si="17"/>
        <v>0</v>
      </c>
      <c r="T327" t="b">
        <f t="shared" si="18"/>
        <v>0</v>
      </c>
    </row>
    <row r="328" spans="1:20" x14ac:dyDescent="0.3">
      <c r="A328">
        <v>327</v>
      </c>
      <c r="B328" t="s">
        <v>343</v>
      </c>
      <c r="C328" s="2">
        <v>45752</v>
      </c>
      <c r="D328" s="2">
        <v>45757</v>
      </c>
      <c r="E328" t="s">
        <v>1017</v>
      </c>
      <c r="F328" t="s">
        <v>1053</v>
      </c>
      <c r="G328" t="s">
        <v>1275</v>
      </c>
      <c r="H328" t="s">
        <v>1287</v>
      </c>
      <c r="I328" t="s">
        <v>1294</v>
      </c>
      <c r="J328" t="s">
        <v>1305</v>
      </c>
      <c r="K328" t="s">
        <v>1306</v>
      </c>
      <c r="L328" t="s">
        <v>1321</v>
      </c>
      <c r="M328">
        <v>2</v>
      </c>
      <c r="N328">
        <v>0.1</v>
      </c>
      <c r="O328">
        <v>831.71</v>
      </c>
      <c r="P328">
        <v>195.52</v>
      </c>
      <c r="Q328" t="s">
        <v>1332</v>
      </c>
      <c r="R328" t="b">
        <f t="shared" si="16"/>
        <v>0</v>
      </c>
      <c r="S328" t="b">
        <f t="shared" si="17"/>
        <v>0</v>
      </c>
      <c r="T328" t="b">
        <f t="shared" si="18"/>
        <v>0</v>
      </c>
    </row>
    <row r="329" spans="1:20" x14ac:dyDescent="0.3">
      <c r="A329">
        <v>328</v>
      </c>
      <c r="B329" t="s">
        <v>344</v>
      </c>
      <c r="C329" s="2">
        <v>45661</v>
      </c>
      <c r="D329" s="2">
        <v>45663</v>
      </c>
      <c r="E329" t="s">
        <v>1017</v>
      </c>
      <c r="F329" t="s">
        <v>1032</v>
      </c>
      <c r="G329" t="s">
        <v>1277</v>
      </c>
      <c r="H329" t="s">
        <v>1288</v>
      </c>
      <c r="I329" t="s">
        <v>1300</v>
      </c>
      <c r="J329" t="s">
        <v>1305</v>
      </c>
      <c r="K329" t="s">
        <v>1309</v>
      </c>
      <c r="L329" t="s">
        <v>1329</v>
      </c>
      <c r="M329">
        <v>3</v>
      </c>
      <c r="N329">
        <v>0.1</v>
      </c>
      <c r="O329">
        <v>5139.3999999999996</v>
      </c>
      <c r="P329">
        <v>1318.33</v>
      </c>
      <c r="Q329" t="s">
        <v>1332</v>
      </c>
      <c r="R329" t="b">
        <f t="shared" si="16"/>
        <v>0</v>
      </c>
      <c r="S329" t="b">
        <f t="shared" si="17"/>
        <v>0</v>
      </c>
      <c r="T329" t="b">
        <f t="shared" si="18"/>
        <v>0</v>
      </c>
    </row>
    <row r="330" spans="1:20" x14ac:dyDescent="0.3">
      <c r="A330">
        <v>329</v>
      </c>
      <c r="B330" t="s">
        <v>345</v>
      </c>
      <c r="C330" s="2">
        <v>45953</v>
      </c>
      <c r="D330" s="2">
        <v>45955</v>
      </c>
      <c r="E330" t="s">
        <v>1017</v>
      </c>
      <c r="F330" t="s">
        <v>1107</v>
      </c>
      <c r="G330" t="s">
        <v>1275</v>
      </c>
      <c r="H330" t="s">
        <v>1289</v>
      </c>
      <c r="I330" t="s">
        <v>1300</v>
      </c>
      <c r="J330" t="s">
        <v>1305</v>
      </c>
      <c r="K330" t="s">
        <v>1307</v>
      </c>
      <c r="L330" t="s">
        <v>1311</v>
      </c>
      <c r="M330">
        <v>2</v>
      </c>
      <c r="N330">
        <v>0</v>
      </c>
      <c r="O330">
        <v>608.4</v>
      </c>
      <c r="P330">
        <v>136.35</v>
      </c>
      <c r="Q330" t="s">
        <v>1332</v>
      </c>
      <c r="R330" t="b">
        <f t="shared" si="16"/>
        <v>0</v>
      </c>
      <c r="S330" t="b">
        <f t="shared" si="17"/>
        <v>0</v>
      </c>
      <c r="T330" t="b">
        <f t="shared" si="18"/>
        <v>0</v>
      </c>
    </row>
    <row r="331" spans="1:20" x14ac:dyDescent="0.3">
      <c r="A331">
        <v>330</v>
      </c>
      <c r="B331" t="s">
        <v>346</v>
      </c>
      <c r="C331" s="2">
        <v>45923</v>
      </c>
      <c r="D331" s="2">
        <v>45927</v>
      </c>
      <c r="E331" t="s">
        <v>1018</v>
      </c>
      <c r="F331" t="s">
        <v>1105</v>
      </c>
      <c r="G331" t="s">
        <v>1270</v>
      </c>
      <c r="H331" t="s">
        <v>1287</v>
      </c>
      <c r="I331" t="s">
        <v>1301</v>
      </c>
      <c r="J331" t="s">
        <v>1303</v>
      </c>
      <c r="K331" t="s">
        <v>1309</v>
      </c>
      <c r="L331" t="s">
        <v>1313</v>
      </c>
      <c r="M331">
        <v>1</v>
      </c>
      <c r="N331">
        <v>0</v>
      </c>
      <c r="O331">
        <v>1565.41</v>
      </c>
      <c r="P331">
        <v>538.95000000000005</v>
      </c>
      <c r="Q331" t="s">
        <v>1332</v>
      </c>
      <c r="R331" t="b">
        <f t="shared" si="16"/>
        <v>0</v>
      </c>
      <c r="S331" t="b">
        <f t="shared" si="17"/>
        <v>0</v>
      </c>
      <c r="T331" t="b">
        <f t="shared" si="18"/>
        <v>0</v>
      </c>
    </row>
    <row r="332" spans="1:20" x14ac:dyDescent="0.3">
      <c r="A332">
        <v>331</v>
      </c>
      <c r="B332" t="s">
        <v>347</v>
      </c>
      <c r="C332" s="2">
        <v>45993</v>
      </c>
      <c r="D332" s="2">
        <v>45995</v>
      </c>
      <c r="E332" t="s">
        <v>1017</v>
      </c>
      <c r="F332" t="s">
        <v>1099</v>
      </c>
      <c r="G332" t="s">
        <v>1285</v>
      </c>
      <c r="H332" t="s">
        <v>1287</v>
      </c>
      <c r="I332" t="s">
        <v>1297</v>
      </c>
      <c r="J332" t="s">
        <v>1304</v>
      </c>
      <c r="K332" t="s">
        <v>1309</v>
      </c>
      <c r="L332" t="s">
        <v>1317</v>
      </c>
      <c r="M332">
        <v>3</v>
      </c>
      <c r="N332">
        <v>0</v>
      </c>
      <c r="O332">
        <v>2321.12</v>
      </c>
      <c r="P332">
        <v>550.15</v>
      </c>
      <c r="Q332" t="s">
        <v>1332</v>
      </c>
      <c r="R332" t="b">
        <f t="shared" si="16"/>
        <v>0</v>
      </c>
      <c r="S332" t="b">
        <f t="shared" si="17"/>
        <v>0</v>
      </c>
      <c r="T332" t="b">
        <f t="shared" si="18"/>
        <v>0</v>
      </c>
    </row>
    <row r="333" spans="1:20" x14ac:dyDescent="0.3">
      <c r="A333">
        <v>332</v>
      </c>
      <c r="B333" t="s">
        <v>348</v>
      </c>
      <c r="C333" s="2">
        <v>45781</v>
      </c>
      <c r="D333" s="2">
        <v>45785</v>
      </c>
      <c r="E333" t="s">
        <v>1018</v>
      </c>
      <c r="F333" t="s">
        <v>1201</v>
      </c>
      <c r="G333" t="s">
        <v>1278</v>
      </c>
      <c r="H333" t="s">
        <v>1287</v>
      </c>
      <c r="I333" t="s">
        <v>1292</v>
      </c>
      <c r="J333" t="s">
        <v>1303</v>
      </c>
      <c r="K333" t="s">
        <v>1307</v>
      </c>
      <c r="L333" t="s">
        <v>1314</v>
      </c>
      <c r="M333">
        <v>2</v>
      </c>
      <c r="N333">
        <v>0.1</v>
      </c>
      <c r="O333">
        <v>1565.55</v>
      </c>
      <c r="P333">
        <v>344.37</v>
      </c>
      <c r="Q333" t="s">
        <v>1330</v>
      </c>
      <c r="R333" t="b">
        <f t="shared" si="16"/>
        <v>0</v>
      </c>
      <c r="S333" t="b">
        <f t="shared" si="17"/>
        <v>0</v>
      </c>
      <c r="T333" t="b">
        <f t="shared" si="18"/>
        <v>0</v>
      </c>
    </row>
    <row r="334" spans="1:20" x14ac:dyDescent="0.3">
      <c r="A334">
        <v>333</v>
      </c>
      <c r="B334" t="s">
        <v>349</v>
      </c>
      <c r="C334" s="2">
        <v>45991</v>
      </c>
      <c r="D334" s="2">
        <v>45996</v>
      </c>
      <c r="E334" t="s">
        <v>1019</v>
      </c>
      <c r="F334" t="s">
        <v>1143</v>
      </c>
      <c r="G334" t="s">
        <v>1286</v>
      </c>
      <c r="H334" t="s">
        <v>1288</v>
      </c>
      <c r="I334" t="s">
        <v>1292</v>
      </c>
      <c r="J334" t="s">
        <v>1303</v>
      </c>
      <c r="K334" t="s">
        <v>1308</v>
      </c>
      <c r="L334" t="s">
        <v>1327</v>
      </c>
      <c r="M334">
        <v>2</v>
      </c>
      <c r="N334">
        <v>0</v>
      </c>
      <c r="O334">
        <v>3634.31</v>
      </c>
      <c r="P334">
        <v>1158.2</v>
      </c>
      <c r="Q334" t="s">
        <v>1331</v>
      </c>
      <c r="R334" t="b">
        <f t="shared" si="16"/>
        <v>0</v>
      </c>
      <c r="S334" t="b">
        <f t="shared" si="17"/>
        <v>0</v>
      </c>
      <c r="T334" t="b">
        <f t="shared" si="18"/>
        <v>0</v>
      </c>
    </row>
    <row r="335" spans="1:20" x14ac:dyDescent="0.3">
      <c r="A335">
        <v>334</v>
      </c>
      <c r="B335" t="s">
        <v>350</v>
      </c>
      <c r="C335" s="2">
        <v>45821</v>
      </c>
      <c r="D335" s="2">
        <v>45825</v>
      </c>
      <c r="E335" t="s">
        <v>1017</v>
      </c>
      <c r="F335" t="s">
        <v>1202</v>
      </c>
      <c r="G335" t="s">
        <v>1268</v>
      </c>
      <c r="H335" t="s">
        <v>1287</v>
      </c>
      <c r="I335" t="s">
        <v>1297</v>
      </c>
      <c r="J335" t="s">
        <v>1304</v>
      </c>
      <c r="K335" t="s">
        <v>1306</v>
      </c>
      <c r="L335" t="s">
        <v>1310</v>
      </c>
      <c r="M335">
        <v>2</v>
      </c>
      <c r="N335">
        <v>0.05</v>
      </c>
      <c r="O335">
        <v>1290.07</v>
      </c>
      <c r="P335">
        <v>407.16</v>
      </c>
      <c r="Q335" t="s">
        <v>1332</v>
      </c>
      <c r="R335" t="b">
        <f t="shared" si="16"/>
        <v>0</v>
      </c>
      <c r="S335" t="b">
        <f t="shared" si="17"/>
        <v>0</v>
      </c>
      <c r="T335" t="b">
        <f t="shared" si="18"/>
        <v>0</v>
      </c>
    </row>
    <row r="336" spans="1:20" x14ac:dyDescent="0.3">
      <c r="A336">
        <v>335</v>
      </c>
      <c r="B336" t="s">
        <v>351</v>
      </c>
      <c r="C336" s="2">
        <v>45856</v>
      </c>
      <c r="D336" s="2">
        <v>45860</v>
      </c>
      <c r="E336" t="s">
        <v>1017</v>
      </c>
      <c r="F336" t="s">
        <v>1152</v>
      </c>
      <c r="G336" t="s">
        <v>1280</v>
      </c>
      <c r="H336" t="s">
        <v>1289</v>
      </c>
      <c r="I336" t="s">
        <v>1299</v>
      </c>
      <c r="J336" t="s">
        <v>1304</v>
      </c>
      <c r="K336" t="s">
        <v>1308</v>
      </c>
      <c r="L336" t="s">
        <v>1312</v>
      </c>
      <c r="M336">
        <v>3</v>
      </c>
      <c r="N336">
        <v>0.1</v>
      </c>
      <c r="O336">
        <v>3656.1</v>
      </c>
      <c r="P336">
        <v>880.91</v>
      </c>
      <c r="Q336" t="s">
        <v>1332</v>
      </c>
      <c r="R336" t="b">
        <f t="shared" si="16"/>
        <v>0</v>
      </c>
      <c r="S336" t="b">
        <f t="shared" si="17"/>
        <v>0</v>
      </c>
      <c r="T336" t="b">
        <f t="shared" si="18"/>
        <v>0</v>
      </c>
    </row>
    <row r="337" spans="1:20" x14ac:dyDescent="0.3">
      <c r="A337">
        <v>336</v>
      </c>
      <c r="B337" t="s">
        <v>352</v>
      </c>
      <c r="C337" s="2">
        <v>45740</v>
      </c>
      <c r="D337" s="2">
        <v>45745</v>
      </c>
      <c r="E337" t="s">
        <v>1017</v>
      </c>
      <c r="F337" t="s">
        <v>1203</v>
      </c>
      <c r="G337" t="s">
        <v>1278</v>
      </c>
      <c r="H337" t="s">
        <v>1288</v>
      </c>
      <c r="I337" t="s">
        <v>1299</v>
      </c>
      <c r="J337" t="s">
        <v>1304</v>
      </c>
      <c r="K337" t="s">
        <v>1309</v>
      </c>
      <c r="L337" t="s">
        <v>1329</v>
      </c>
      <c r="M337">
        <v>1</v>
      </c>
      <c r="N337">
        <v>0.05</v>
      </c>
      <c r="O337">
        <v>1886.61</v>
      </c>
      <c r="P337">
        <v>494.36</v>
      </c>
      <c r="Q337" t="s">
        <v>1331</v>
      </c>
      <c r="R337" t="b">
        <f t="shared" si="16"/>
        <v>0</v>
      </c>
      <c r="S337" t="b">
        <f t="shared" si="17"/>
        <v>0</v>
      </c>
      <c r="T337" t="b">
        <f t="shared" si="18"/>
        <v>0</v>
      </c>
    </row>
    <row r="338" spans="1:20" x14ac:dyDescent="0.3">
      <c r="A338">
        <v>337</v>
      </c>
      <c r="B338" t="s">
        <v>353</v>
      </c>
      <c r="C338" s="2">
        <v>45711</v>
      </c>
      <c r="D338" s="2">
        <v>45714</v>
      </c>
      <c r="E338" t="s">
        <v>1019</v>
      </c>
      <c r="F338" t="s">
        <v>1091</v>
      </c>
      <c r="G338" t="s">
        <v>1267</v>
      </c>
      <c r="H338" t="s">
        <v>1289</v>
      </c>
      <c r="I338" t="s">
        <v>1297</v>
      </c>
      <c r="J338" t="s">
        <v>1304</v>
      </c>
      <c r="K338" t="s">
        <v>1309</v>
      </c>
      <c r="L338" t="s">
        <v>1317</v>
      </c>
      <c r="M338">
        <v>1</v>
      </c>
      <c r="N338">
        <v>0</v>
      </c>
      <c r="O338">
        <v>801.55</v>
      </c>
      <c r="P338">
        <v>166.57</v>
      </c>
      <c r="Q338" t="s">
        <v>1331</v>
      </c>
      <c r="R338" t="b">
        <f t="shared" si="16"/>
        <v>0</v>
      </c>
      <c r="S338" t="b">
        <f t="shared" si="17"/>
        <v>0</v>
      </c>
      <c r="T338" t="b">
        <f t="shared" si="18"/>
        <v>0</v>
      </c>
    </row>
    <row r="339" spans="1:20" x14ac:dyDescent="0.3">
      <c r="A339">
        <v>338</v>
      </c>
      <c r="B339" t="s">
        <v>354</v>
      </c>
      <c r="C339" s="2">
        <v>45686</v>
      </c>
      <c r="D339" s="2">
        <v>45689</v>
      </c>
      <c r="E339" t="s">
        <v>1018</v>
      </c>
      <c r="F339" t="s">
        <v>1086</v>
      </c>
      <c r="G339" t="s">
        <v>1285</v>
      </c>
      <c r="H339" t="s">
        <v>1288</v>
      </c>
      <c r="I339" t="s">
        <v>1293</v>
      </c>
      <c r="J339" t="s">
        <v>1304</v>
      </c>
      <c r="K339" t="s">
        <v>1306</v>
      </c>
      <c r="L339" t="s">
        <v>1323</v>
      </c>
      <c r="M339">
        <v>3</v>
      </c>
      <c r="N339">
        <v>0.15</v>
      </c>
      <c r="O339">
        <v>452.79</v>
      </c>
      <c r="P339">
        <v>38.229999999999997</v>
      </c>
      <c r="Q339" t="s">
        <v>1331</v>
      </c>
      <c r="R339" t="b">
        <f t="shared" si="16"/>
        <v>0</v>
      </c>
      <c r="S339" t="b">
        <f t="shared" si="17"/>
        <v>0</v>
      </c>
      <c r="T339" t="b">
        <f t="shared" si="18"/>
        <v>0</v>
      </c>
    </row>
    <row r="340" spans="1:20" x14ac:dyDescent="0.3">
      <c r="A340">
        <v>339</v>
      </c>
      <c r="B340" t="s">
        <v>355</v>
      </c>
      <c r="C340" s="2">
        <v>45828</v>
      </c>
      <c r="D340" s="2">
        <v>45833</v>
      </c>
      <c r="E340" t="s">
        <v>1017</v>
      </c>
      <c r="F340" t="s">
        <v>1168</v>
      </c>
      <c r="G340" t="s">
        <v>1280</v>
      </c>
      <c r="H340" t="s">
        <v>1289</v>
      </c>
      <c r="I340" t="s">
        <v>1301</v>
      </c>
      <c r="J340" t="s">
        <v>1303</v>
      </c>
      <c r="K340" t="s">
        <v>1307</v>
      </c>
      <c r="L340" t="s">
        <v>1322</v>
      </c>
      <c r="M340">
        <v>5</v>
      </c>
      <c r="N340">
        <v>0</v>
      </c>
      <c r="O340">
        <v>3555.71</v>
      </c>
      <c r="P340">
        <v>852.33</v>
      </c>
      <c r="Q340" t="s">
        <v>1331</v>
      </c>
      <c r="R340" t="b">
        <f t="shared" si="16"/>
        <v>0</v>
      </c>
      <c r="S340" t="b">
        <f t="shared" si="17"/>
        <v>0</v>
      </c>
      <c r="T340" t="b">
        <f t="shared" si="18"/>
        <v>0</v>
      </c>
    </row>
    <row r="341" spans="1:20" x14ac:dyDescent="0.3">
      <c r="A341">
        <v>340</v>
      </c>
      <c r="B341" t="s">
        <v>356</v>
      </c>
      <c r="C341" s="2">
        <v>45956</v>
      </c>
      <c r="D341" s="2">
        <v>45961</v>
      </c>
      <c r="E341" t="s">
        <v>1017</v>
      </c>
      <c r="F341" t="s">
        <v>1084</v>
      </c>
      <c r="G341" t="s">
        <v>1272</v>
      </c>
      <c r="H341" t="s">
        <v>1288</v>
      </c>
      <c r="I341" t="s">
        <v>1295</v>
      </c>
      <c r="J341" t="s">
        <v>1305</v>
      </c>
      <c r="K341" t="s">
        <v>1309</v>
      </c>
      <c r="L341" t="s">
        <v>1325</v>
      </c>
      <c r="M341">
        <v>1</v>
      </c>
      <c r="N341">
        <v>0.1</v>
      </c>
      <c r="O341">
        <v>1173.94</v>
      </c>
      <c r="P341">
        <v>346.21</v>
      </c>
      <c r="Q341" t="s">
        <v>1333</v>
      </c>
      <c r="R341" t="b">
        <f t="shared" si="16"/>
        <v>0</v>
      </c>
      <c r="S341" t="b">
        <f t="shared" si="17"/>
        <v>0</v>
      </c>
      <c r="T341" t="b">
        <f t="shared" si="18"/>
        <v>0</v>
      </c>
    </row>
    <row r="342" spans="1:20" x14ac:dyDescent="0.3">
      <c r="A342">
        <v>341</v>
      </c>
      <c r="B342" t="s">
        <v>357</v>
      </c>
      <c r="C342" s="2">
        <v>45932</v>
      </c>
      <c r="D342" s="2">
        <v>45936</v>
      </c>
      <c r="E342" t="s">
        <v>1018</v>
      </c>
      <c r="F342" t="s">
        <v>1204</v>
      </c>
      <c r="G342" t="s">
        <v>1282</v>
      </c>
      <c r="H342" t="s">
        <v>1288</v>
      </c>
      <c r="I342" t="s">
        <v>1295</v>
      </c>
      <c r="J342" t="s">
        <v>1305</v>
      </c>
      <c r="K342" t="s">
        <v>1309</v>
      </c>
      <c r="L342" t="s">
        <v>1325</v>
      </c>
      <c r="M342">
        <v>3</v>
      </c>
      <c r="N342">
        <v>0</v>
      </c>
      <c r="O342">
        <v>3822.09</v>
      </c>
      <c r="P342">
        <v>927.68</v>
      </c>
      <c r="Q342" t="s">
        <v>1332</v>
      </c>
      <c r="R342" t="b">
        <f t="shared" si="16"/>
        <v>0</v>
      </c>
      <c r="S342" t="b">
        <f t="shared" si="17"/>
        <v>0</v>
      </c>
      <c r="T342" t="b">
        <f t="shared" si="18"/>
        <v>0</v>
      </c>
    </row>
    <row r="343" spans="1:20" x14ac:dyDescent="0.3">
      <c r="A343">
        <v>342</v>
      </c>
      <c r="B343" t="s">
        <v>358</v>
      </c>
      <c r="C343" s="2">
        <v>45811</v>
      </c>
      <c r="D343" s="2">
        <v>45815</v>
      </c>
      <c r="E343" t="s">
        <v>1017</v>
      </c>
      <c r="F343" t="s">
        <v>1205</v>
      </c>
      <c r="G343" t="s">
        <v>1268</v>
      </c>
      <c r="H343" t="s">
        <v>1287</v>
      </c>
      <c r="I343" t="s">
        <v>1292</v>
      </c>
      <c r="J343" t="s">
        <v>1303</v>
      </c>
      <c r="K343" t="s">
        <v>1306</v>
      </c>
      <c r="L343" t="s">
        <v>1321</v>
      </c>
      <c r="M343">
        <v>2</v>
      </c>
      <c r="N343">
        <v>0</v>
      </c>
      <c r="O343">
        <v>887.28</v>
      </c>
      <c r="P343">
        <v>165.24</v>
      </c>
      <c r="Q343" t="s">
        <v>1332</v>
      </c>
      <c r="R343" t="b">
        <f t="shared" si="16"/>
        <v>0</v>
      </c>
      <c r="S343" t="b">
        <f t="shared" si="17"/>
        <v>0</v>
      </c>
      <c r="T343" t="b">
        <f t="shared" si="18"/>
        <v>0</v>
      </c>
    </row>
    <row r="344" spans="1:20" x14ac:dyDescent="0.3">
      <c r="A344">
        <v>343</v>
      </c>
      <c r="B344" t="s">
        <v>359</v>
      </c>
      <c r="C344" s="2">
        <v>45962</v>
      </c>
      <c r="D344" s="2">
        <v>45964</v>
      </c>
      <c r="E344" t="s">
        <v>1017</v>
      </c>
      <c r="F344" t="s">
        <v>1206</v>
      </c>
      <c r="G344" t="s">
        <v>1269</v>
      </c>
      <c r="H344" t="s">
        <v>1288</v>
      </c>
      <c r="I344" t="s">
        <v>1297</v>
      </c>
      <c r="J344" t="s">
        <v>1304</v>
      </c>
      <c r="K344" t="s">
        <v>1308</v>
      </c>
      <c r="L344" t="s">
        <v>1318</v>
      </c>
      <c r="M344">
        <v>3</v>
      </c>
      <c r="N344">
        <v>0.05</v>
      </c>
      <c r="O344">
        <v>15534.67</v>
      </c>
      <c r="P344">
        <v>2222.48</v>
      </c>
      <c r="Q344" t="s">
        <v>1330</v>
      </c>
      <c r="R344" t="b">
        <f t="shared" si="16"/>
        <v>0</v>
      </c>
      <c r="S344" t="b">
        <f t="shared" si="17"/>
        <v>0</v>
      </c>
      <c r="T344" t="b">
        <f t="shared" si="18"/>
        <v>0</v>
      </c>
    </row>
    <row r="345" spans="1:20" x14ac:dyDescent="0.3">
      <c r="A345">
        <v>344</v>
      </c>
      <c r="B345" t="s">
        <v>360</v>
      </c>
      <c r="C345" s="2">
        <v>45692</v>
      </c>
      <c r="D345" s="2">
        <v>45696</v>
      </c>
      <c r="E345" t="s">
        <v>1017</v>
      </c>
      <c r="F345" t="s">
        <v>1207</v>
      </c>
      <c r="G345" t="s">
        <v>1280</v>
      </c>
      <c r="H345" t="s">
        <v>1287</v>
      </c>
      <c r="I345" t="s">
        <v>1296</v>
      </c>
      <c r="J345" t="s">
        <v>1304</v>
      </c>
      <c r="K345" t="s">
        <v>1306</v>
      </c>
      <c r="L345" t="s">
        <v>1310</v>
      </c>
      <c r="M345">
        <v>1</v>
      </c>
      <c r="N345">
        <v>0</v>
      </c>
      <c r="O345">
        <v>682.35</v>
      </c>
      <c r="P345">
        <v>220.62</v>
      </c>
      <c r="Q345" t="s">
        <v>1330</v>
      </c>
      <c r="R345" t="b">
        <f t="shared" si="16"/>
        <v>0</v>
      </c>
      <c r="S345" t="b">
        <f t="shared" si="17"/>
        <v>0</v>
      </c>
      <c r="T345" t="b">
        <f t="shared" si="18"/>
        <v>0</v>
      </c>
    </row>
    <row r="346" spans="1:20" x14ac:dyDescent="0.3">
      <c r="A346">
        <v>345</v>
      </c>
      <c r="B346" t="s">
        <v>361</v>
      </c>
      <c r="C346" s="2">
        <v>45901</v>
      </c>
      <c r="D346" s="2">
        <v>45903</v>
      </c>
      <c r="E346" t="s">
        <v>1019</v>
      </c>
      <c r="F346" t="s">
        <v>1167</v>
      </c>
      <c r="G346" t="s">
        <v>1275</v>
      </c>
      <c r="H346" t="s">
        <v>1289</v>
      </c>
      <c r="I346" t="s">
        <v>1290</v>
      </c>
      <c r="J346" t="s">
        <v>1302</v>
      </c>
      <c r="K346" t="s">
        <v>1306</v>
      </c>
      <c r="L346" t="s">
        <v>1328</v>
      </c>
      <c r="M346">
        <v>3</v>
      </c>
      <c r="N346">
        <v>0.1</v>
      </c>
      <c r="O346">
        <v>309.79000000000002</v>
      </c>
      <c r="P346">
        <v>28</v>
      </c>
      <c r="Q346" t="s">
        <v>1331</v>
      </c>
      <c r="R346" t="b">
        <f t="shared" si="16"/>
        <v>0</v>
      </c>
      <c r="S346" t="b">
        <f t="shared" si="17"/>
        <v>0</v>
      </c>
      <c r="T346" t="b">
        <f t="shared" si="18"/>
        <v>0</v>
      </c>
    </row>
    <row r="347" spans="1:20" x14ac:dyDescent="0.3">
      <c r="A347">
        <v>346</v>
      </c>
      <c r="B347" t="s">
        <v>362</v>
      </c>
      <c r="C347" s="2">
        <v>45658</v>
      </c>
      <c r="D347" s="2">
        <v>45662</v>
      </c>
      <c r="E347" t="s">
        <v>1018</v>
      </c>
      <c r="F347" t="s">
        <v>1164</v>
      </c>
      <c r="G347" t="s">
        <v>1283</v>
      </c>
      <c r="H347" t="s">
        <v>1288</v>
      </c>
      <c r="I347" t="s">
        <v>1293</v>
      </c>
      <c r="J347" t="s">
        <v>1304</v>
      </c>
      <c r="K347" t="s">
        <v>1306</v>
      </c>
      <c r="L347" t="s">
        <v>1310</v>
      </c>
      <c r="M347">
        <v>2</v>
      </c>
      <c r="N347">
        <v>0.05</v>
      </c>
      <c r="O347">
        <v>1221.6300000000001</v>
      </c>
      <c r="P347">
        <v>373.34</v>
      </c>
      <c r="Q347" t="s">
        <v>1333</v>
      </c>
      <c r="R347" t="b">
        <f t="shared" si="16"/>
        <v>0</v>
      </c>
      <c r="S347" t="b">
        <f t="shared" si="17"/>
        <v>0</v>
      </c>
      <c r="T347" t="b">
        <f t="shared" si="18"/>
        <v>0</v>
      </c>
    </row>
    <row r="348" spans="1:20" x14ac:dyDescent="0.3">
      <c r="A348">
        <v>347</v>
      </c>
      <c r="B348" t="s">
        <v>363</v>
      </c>
      <c r="C348" s="2">
        <v>45901</v>
      </c>
      <c r="D348" s="2">
        <v>45904</v>
      </c>
      <c r="E348" t="s">
        <v>1017</v>
      </c>
      <c r="F348" t="s">
        <v>1148</v>
      </c>
      <c r="G348" t="s">
        <v>1268</v>
      </c>
      <c r="H348" t="s">
        <v>1288</v>
      </c>
      <c r="I348" t="s">
        <v>1300</v>
      </c>
      <c r="J348" t="s">
        <v>1305</v>
      </c>
      <c r="K348" t="s">
        <v>1307</v>
      </c>
      <c r="L348" t="s">
        <v>1322</v>
      </c>
      <c r="M348">
        <v>1</v>
      </c>
      <c r="N348">
        <v>0.2</v>
      </c>
      <c r="O348">
        <v>569.17999999999995</v>
      </c>
      <c r="P348">
        <v>52.93</v>
      </c>
      <c r="Q348" t="s">
        <v>1334</v>
      </c>
      <c r="R348" t="b">
        <f t="shared" si="16"/>
        <v>0</v>
      </c>
      <c r="S348" t="b">
        <f t="shared" si="17"/>
        <v>0</v>
      </c>
      <c r="T348" t="b">
        <f t="shared" si="18"/>
        <v>0</v>
      </c>
    </row>
    <row r="349" spans="1:20" x14ac:dyDescent="0.3">
      <c r="A349">
        <v>348</v>
      </c>
      <c r="B349" t="s">
        <v>364</v>
      </c>
      <c r="C349" s="2">
        <v>45696</v>
      </c>
      <c r="D349" s="2">
        <v>45697</v>
      </c>
      <c r="E349" t="s">
        <v>1017</v>
      </c>
      <c r="F349" t="s">
        <v>1086</v>
      </c>
      <c r="G349" t="s">
        <v>1285</v>
      </c>
      <c r="H349" t="s">
        <v>1289</v>
      </c>
      <c r="I349" t="s">
        <v>1299</v>
      </c>
      <c r="J349" t="s">
        <v>1304</v>
      </c>
      <c r="K349" t="s">
        <v>1306</v>
      </c>
      <c r="L349" t="s">
        <v>1310</v>
      </c>
      <c r="M349">
        <v>2</v>
      </c>
      <c r="N349">
        <v>0.05</v>
      </c>
      <c r="O349">
        <v>1275.56</v>
      </c>
      <c r="P349">
        <v>448.71</v>
      </c>
      <c r="Q349" t="s">
        <v>1332</v>
      </c>
      <c r="R349" t="b">
        <f t="shared" si="16"/>
        <v>0</v>
      </c>
      <c r="S349" t="b">
        <f t="shared" si="17"/>
        <v>0</v>
      </c>
      <c r="T349" t="b">
        <f t="shared" si="18"/>
        <v>0</v>
      </c>
    </row>
    <row r="350" spans="1:20" x14ac:dyDescent="0.3">
      <c r="A350">
        <v>349</v>
      </c>
      <c r="B350" t="s">
        <v>365</v>
      </c>
      <c r="C350" s="2">
        <v>45747</v>
      </c>
      <c r="D350" s="2">
        <v>45752</v>
      </c>
      <c r="E350" t="s">
        <v>1018</v>
      </c>
      <c r="F350" t="s">
        <v>1054</v>
      </c>
      <c r="G350" t="s">
        <v>1273</v>
      </c>
      <c r="H350" t="s">
        <v>1287</v>
      </c>
      <c r="I350" t="s">
        <v>1299</v>
      </c>
      <c r="J350" t="s">
        <v>1304</v>
      </c>
      <c r="K350" t="s">
        <v>1309</v>
      </c>
      <c r="L350" t="s">
        <v>1320</v>
      </c>
      <c r="M350">
        <v>1</v>
      </c>
      <c r="N350">
        <v>0.25</v>
      </c>
      <c r="O350">
        <v>889.73</v>
      </c>
      <c r="P350">
        <v>1.67</v>
      </c>
      <c r="Q350" t="s">
        <v>1330</v>
      </c>
      <c r="R350" t="b">
        <f t="shared" si="16"/>
        <v>0</v>
      </c>
      <c r="S350" t="b">
        <f t="shared" si="17"/>
        <v>0</v>
      </c>
      <c r="T350" t="b">
        <f t="shared" si="18"/>
        <v>0</v>
      </c>
    </row>
    <row r="351" spans="1:20" x14ac:dyDescent="0.3">
      <c r="A351">
        <v>350</v>
      </c>
      <c r="B351" t="s">
        <v>366</v>
      </c>
      <c r="C351" s="2">
        <v>46007</v>
      </c>
      <c r="D351" s="2">
        <v>46010</v>
      </c>
      <c r="E351" t="s">
        <v>1017</v>
      </c>
      <c r="F351" t="s">
        <v>1180</v>
      </c>
      <c r="G351" t="s">
        <v>1277</v>
      </c>
      <c r="H351" t="s">
        <v>1288</v>
      </c>
      <c r="I351" t="s">
        <v>1299</v>
      </c>
      <c r="J351" t="s">
        <v>1304</v>
      </c>
      <c r="K351" t="s">
        <v>1309</v>
      </c>
      <c r="L351" t="s">
        <v>1325</v>
      </c>
      <c r="M351">
        <v>1</v>
      </c>
      <c r="N351">
        <v>0.15</v>
      </c>
      <c r="O351">
        <v>1086.69</v>
      </c>
      <c r="P351">
        <v>54.28</v>
      </c>
      <c r="Q351" t="s">
        <v>1331</v>
      </c>
      <c r="R351" t="b">
        <f t="shared" si="16"/>
        <v>0</v>
      </c>
      <c r="S351" t="b">
        <f t="shared" si="17"/>
        <v>0</v>
      </c>
      <c r="T351" t="b">
        <f t="shared" si="18"/>
        <v>0</v>
      </c>
    </row>
    <row r="352" spans="1:20" x14ac:dyDescent="0.3">
      <c r="A352">
        <v>351</v>
      </c>
      <c r="B352" t="s">
        <v>367</v>
      </c>
      <c r="C352" s="2">
        <v>45828</v>
      </c>
      <c r="D352" s="2">
        <v>45830</v>
      </c>
      <c r="E352" t="s">
        <v>1017</v>
      </c>
      <c r="F352" t="s">
        <v>1031</v>
      </c>
      <c r="G352" t="s">
        <v>1281</v>
      </c>
      <c r="H352" t="s">
        <v>1289</v>
      </c>
      <c r="I352" t="s">
        <v>1291</v>
      </c>
      <c r="J352" t="s">
        <v>1302</v>
      </c>
      <c r="K352" t="s">
        <v>1308</v>
      </c>
      <c r="L352" t="s">
        <v>1327</v>
      </c>
      <c r="M352">
        <v>1</v>
      </c>
      <c r="N352">
        <v>0.1</v>
      </c>
      <c r="O352">
        <v>1600.19</v>
      </c>
      <c r="P352">
        <v>406.97</v>
      </c>
      <c r="Q352" t="s">
        <v>1333</v>
      </c>
      <c r="R352" t="b">
        <f t="shared" si="16"/>
        <v>0</v>
      </c>
      <c r="S352" t="b">
        <f t="shared" si="17"/>
        <v>0</v>
      </c>
      <c r="T352" t="b">
        <f t="shared" si="18"/>
        <v>0</v>
      </c>
    </row>
    <row r="353" spans="1:20" x14ac:dyDescent="0.3">
      <c r="A353">
        <v>352</v>
      </c>
      <c r="B353" t="s">
        <v>368</v>
      </c>
      <c r="C353" s="2">
        <v>45791</v>
      </c>
      <c r="D353" s="2">
        <v>45793</v>
      </c>
      <c r="E353" t="s">
        <v>1017</v>
      </c>
      <c r="F353" t="s">
        <v>1208</v>
      </c>
      <c r="G353" t="s">
        <v>1284</v>
      </c>
      <c r="H353" t="s">
        <v>1287</v>
      </c>
      <c r="I353" t="s">
        <v>1300</v>
      </c>
      <c r="J353" t="s">
        <v>1305</v>
      </c>
      <c r="K353" t="s">
        <v>1306</v>
      </c>
      <c r="L353" t="s">
        <v>1310</v>
      </c>
      <c r="M353">
        <v>2</v>
      </c>
      <c r="N353">
        <v>0.2</v>
      </c>
      <c r="O353">
        <v>1069.58</v>
      </c>
      <c r="P353">
        <v>107.95</v>
      </c>
      <c r="Q353" t="s">
        <v>1333</v>
      </c>
      <c r="R353" t="b">
        <f t="shared" si="16"/>
        <v>0</v>
      </c>
      <c r="S353" t="b">
        <f t="shared" si="17"/>
        <v>0</v>
      </c>
      <c r="T353" t="b">
        <f t="shared" si="18"/>
        <v>0</v>
      </c>
    </row>
    <row r="354" spans="1:20" x14ac:dyDescent="0.3">
      <c r="A354">
        <v>353</v>
      </c>
      <c r="B354" t="s">
        <v>369</v>
      </c>
      <c r="C354" s="2">
        <v>45872</v>
      </c>
      <c r="D354" s="2">
        <v>45877</v>
      </c>
      <c r="E354" t="s">
        <v>1017</v>
      </c>
      <c r="F354" t="s">
        <v>1084</v>
      </c>
      <c r="G354" t="s">
        <v>1271</v>
      </c>
      <c r="H354" t="s">
        <v>1288</v>
      </c>
      <c r="I354" t="s">
        <v>1294</v>
      </c>
      <c r="J354" t="s">
        <v>1305</v>
      </c>
      <c r="K354" t="s">
        <v>1309</v>
      </c>
      <c r="L354" t="s">
        <v>1317</v>
      </c>
      <c r="M354">
        <v>1</v>
      </c>
      <c r="N354">
        <v>0.2</v>
      </c>
      <c r="O354">
        <v>656.06</v>
      </c>
      <c r="P354">
        <v>77.040000000000006</v>
      </c>
      <c r="Q354" t="s">
        <v>1331</v>
      </c>
      <c r="R354" t="b">
        <f t="shared" si="16"/>
        <v>0</v>
      </c>
      <c r="S354" t="b">
        <f t="shared" si="17"/>
        <v>0</v>
      </c>
      <c r="T354" t="b">
        <f t="shared" si="18"/>
        <v>0</v>
      </c>
    </row>
    <row r="355" spans="1:20" x14ac:dyDescent="0.3">
      <c r="A355">
        <v>354</v>
      </c>
      <c r="B355" t="s">
        <v>370</v>
      </c>
      <c r="C355" s="2">
        <v>45768</v>
      </c>
      <c r="D355" s="2">
        <v>45773</v>
      </c>
      <c r="E355" t="s">
        <v>1017</v>
      </c>
      <c r="F355" t="s">
        <v>1184</v>
      </c>
      <c r="G355" t="s">
        <v>1276</v>
      </c>
      <c r="H355" t="s">
        <v>1287</v>
      </c>
      <c r="I355" t="s">
        <v>1291</v>
      </c>
      <c r="J355" t="s">
        <v>1302</v>
      </c>
      <c r="K355" t="s">
        <v>1309</v>
      </c>
      <c r="L355" t="s">
        <v>1325</v>
      </c>
      <c r="M355">
        <v>1</v>
      </c>
      <c r="N355">
        <v>0.1</v>
      </c>
      <c r="O355">
        <v>1221.99</v>
      </c>
      <c r="P355">
        <v>187.06</v>
      </c>
      <c r="Q355" t="s">
        <v>1331</v>
      </c>
      <c r="R355" t="b">
        <f t="shared" si="16"/>
        <v>0</v>
      </c>
      <c r="S355" t="b">
        <f t="shared" si="17"/>
        <v>0</v>
      </c>
      <c r="T355" t="b">
        <f t="shared" si="18"/>
        <v>0</v>
      </c>
    </row>
    <row r="356" spans="1:20" x14ac:dyDescent="0.3">
      <c r="A356">
        <v>355</v>
      </c>
      <c r="B356" t="s">
        <v>371</v>
      </c>
      <c r="C356" s="2">
        <v>45990</v>
      </c>
      <c r="D356" s="2">
        <v>45995</v>
      </c>
      <c r="E356" t="s">
        <v>1017</v>
      </c>
      <c r="F356" t="s">
        <v>1172</v>
      </c>
      <c r="G356" t="s">
        <v>1275</v>
      </c>
      <c r="H356" t="s">
        <v>1288</v>
      </c>
      <c r="I356" t="s">
        <v>1296</v>
      </c>
      <c r="J356" t="s">
        <v>1304</v>
      </c>
      <c r="K356" t="s">
        <v>1309</v>
      </c>
      <c r="L356" t="s">
        <v>1320</v>
      </c>
      <c r="M356">
        <v>4</v>
      </c>
      <c r="N356">
        <v>0.1</v>
      </c>
      <c r="O356">
        <v>4121.6000000000004</v>
      </c>
      <c r="P356">
        <v>1054.07</v>
      </c>
      <c r="Q356" t="s">
        <v>1331</v>
      </c>
      <c r="R356" t="b">
        <f t="shared" si="16"/>
        <v>0</v>
      </c>
      <c r="S356" t="b">
        <f t="shared" si="17"/>
        <v>0</v>
      </c>
      <c r="T356" t="b">
        <f t="shared" si="18"/>
        <v>0</v>
      </c>
    </row>
    <row r="357" spans="1:20" x14ac:dyDescent="0.3">
      <c r="A357">
        <v>356</v>
      </c>
      <c r="B357" t="s">
        <v>372</v>
      </c>
      <c r="C357" s="2">
        <v>45845</v>
      </c>
      <c r="D357" s="2">
        <v>45847</v>
      </c>
      <c r="E357" t="s">
        <v>1017</v>
      </c>
      <c r="F357" t="s">
        <v>1206</v>
      </c>
      <c r="G357" t="s">
        <v>1281</v>
      </c>
      <c r="H357" t="s">
        <v>1288</v>
      </c>
      <c r="I357" t="s">
        <v>1294</v>
      </c>
      <c r="J357" t="s">
        <v>1305</v>
      </c>
      <c r="K357" t="s">
        <v>1307</v>
      </c>
      <c r="L357" t="s">
        <v>1316</v>
      </c>
      <c r="M357">
        <v>4</v>
      </c>
      <c r="N357">
        <v>0.25</v>
      </c>
      <c r="O357">
        <v>1535.44</v>
      </c>
      <c r="P357">
        <v>26.24</v>
      </c>
      <c r="Q357" t="s">
        <v>1332</v>
      </c>
      <c r="R357" t="b">
        <f t="shared" si="16"/>
        <v>0</v>
      </c>
      <c r="S357" t="b">
        <f t="shared" si="17"/>
        <v>0</v>
      </c>
      <c r="T357" t="b">
        <f t="shared" si="18"/>
        <v>0</v>
      </c>
    </row>
    <row r="358" spans="1:20" x14ac:dyDescent="0.3">
      <c r="A358">
        <v>357</v>
      </c>
      <c r="B358" t="s">
        <v>373</v>
      </c>
      <c r="C358" s="2">
        <v>45976</v>
      </c>
      <c r="D358" s="2">
        <v>45977</v>
      </c>
      <c r="E358" t="s">
        <v>1018</v>
      </c>
      <c r="F358" t="s">
        <v>1027</v>
      </c>
      <c r="G358" t="s">
        <v>1282</v>
      </c>
      <c r="H358" t="s">
        <v>1288</v>
      </c>
      <c r="I358" t="s">
        <v>1290</v>
      </c>
      <c r="J358" t="s">
        <v>1302</v>
      </c>
      <c r="K358" t="s">
        <v>1309</v>
      </c>
      <c r="L358" t="s">
        <v>1320</v>
      </c>
      <c r="M358">
        <v>2</v>
      </c>
      <c r="N358">
        <v>0</v>
      </c>
      <c r="O358">
        <v>2291.39</v>
      </c>
      <c r="P358">
        <v>645.80999999999995</v>
      </c>
      <c r="Q358" t="s">
        <v>1333</v>
      </c>
      <c r="R358" t="b">
        <f t="shared" si="16"/>
        <v>0</v>
      </c>
      <c r="S358" t="b">
        <f t="shared" si="17"/>
        <v>0</v>
      </c>
      <c r="T358" t="b">
        <f t="shared" si="18"/>
        <v>0</v>
      </c>
    </row>
    <row r="359" spans="1:20" x14ac:dyDescent="0.3">
      <c r="A359">
        <v>358</v>
      </c>
      <c r="B359" t="s">
        <v>374</v>
      </c>
      <c r="C359" s="2">
        <v>45663</v>
      </c>
      <c r="D359" s="2">
        <v>45668</v>
      </c>
      <c r="E359" t="s">
        <v>1017</v>
      </c>
      <c r="F359" t="s">
        <v>1168</v>
      </c>
      <c r="G359" t="s">
        <v>1269</v>
      </c>
      <c r="H359" t="s">
        <v>1288</v>
      </c>
      <c r="I359" t="s">
        <v>1293</v>
      </c>
      <c r="J359" t="s">
        <v>1304</v>
      </c>
      <c r="K359" t="s">
        <v>1309</v>
      </c>
      <c r="L359" t="s">
        <v>1317</v>
      </c>
      <c r="M359">
        <v>1</v>
      </c>
      <c r="N359">
        <v>0.25</v>
      </c>
      <c r="O359">
        <v>583.49</v>
      </c>
      <c r="P359">
        <v>72.61</v>
      </c>
      <c r="Q359" t="s">
        <v>1333</v>
      </c>
      <c r="R359" t="b">
        <f t="shared" si="16"/>
        <v>0</v>
      </c>
      <c r="S359" t="b">
        <f t="shared" si="17"/>
        <v>0</v>
      </c>
      <c r="T359" t="b">
        <f t="shared" si="18"/>
        <v>0</v>
      </c>
    </row>
    <row r="360" spans="1:20" x14ac:dyDescent="0.3">
      <c r="A360">
        <v>359</v>
      </c>
      <c r="B360" t="s">
        <v>375</v>
      </c>
      <c r="C360" s="2">
        <v>45804</v>
      </c>
      <c r="D360" s="2">
        <v>45807</v>
      </c>
      <c r="E360" t="s">
        <v>1019</v>
      </c>
      <c r="F360" t="s">
        <v>1064</v>
      </c>
      <c r="G360" t="s">
        <v>1285</v>
      </c>
      <c r="H360" t="s">
        <v>1287</v>
      </c>
      <c r="I360" t="s">
        <v>1293</v>
      </c>
      <c r="J360" t="s">
        <v>1304</v>
      </c>
      <c r="K360" t="s">
        <v>1306</v>
      </c>
      <c r="L360" t="s">
        <v>1324</v>
      </c>
      <c r="M360">
        <v>2</v>
      </c>
      <c r="N360">
        <v>0.1</v>
      </c>
      <c r="O360">
        <v>159.16</v>
      </c>
      <c r="P360">
        <v>22.82</v>
      </c>
      <c r="Q360" t="s">
        <v>1332</v>
      </c>
      <c r="R360" t="b">
        <f t="shared" si="16"/>
        <v>0</v>
      </c>
      <c r="S360" t="b">
        <f t="shared" si="17"/>
        <v>0</v>
      </c>
      <c r="T360" t="b">
        <f t="shared" si="18"/>
        <v>0</v>
      </c>
    </row>
    <row r="361" spans="1:20" x14ac:dyDescent="0.3">
      <c r="A361">
        <v>360</v>
      </c>
      <c r="B361" t="s">
        <v>376</v>
      </c>
      <c r="C361" s="2">
        <v>45844</v>
      </c>
      <c r="D361" s="2">
        <v>45845</v>
      </c>
      <c r="E361" t="s">
        <v>1018</v>
      </c>
      <c r="F361" t="s">
        <v>1209</v>
      </c>
      <c r="G361" t="s">
        <v>1273</v>
      </c>
      <c r="H361" t="s">
        <v>1288</v>
      </c>
      <c r="I361" t="s">
        <v>1293</v>
      </c>
      <c r="J361" t="s">
        <v>1304</v>
      </c>
      <c r="K361" t="s">
        <v>1308</v>
      </c>
      <c r="L361" t="s">
        <v>1319</v>
      </c>
      <c r="M361">
        <v>3</v>
      </c>
      <c r="N361">
        <v>0.05</v>
      </c>
      <c r="O361">
        <v>13543.11</v>
      </c>
      <c r="P361">
        <v>2769.96</v>
      </c>
      <c r="Q361" t="s">
        <v>1331</v>
      </c>
      <c r="R361" t="b">
        <f t="shared" si="16"/>
        <v>0</v>
      </c>
      <c r="S361" t="b">
        <f t="shared" si="17"/>
        <v>0</v>
      </c>
      <c r="T361" t="b">
        <f t="shared" si="18"/>
        <v>0</v>
      </c>
    </row>
    <row r="362" spans="1:20" x14ac:dyDescent="0.3">
      <c r="A362">
        <v>361</v>
      </c>
      <c r="B362" t="s">
        <v>377</v>
      </c>
      <c r="C362" s="2">
        <v>45685</v>
      </c>
      <c r="D362" s="2">
        <v>45688</v>
      </c>
      <c r="E362" t="s">
        <v>1017</v>
      </c>
      <c r="F362" t="s">
        <v>1045</v>
      </c>
      <c r="G362" t="s">
        <v>1282</v>
      </c>
      <c r="H362" t="s">
        <v>1287</v>
      </c>
      <c r="I362" t="s">
        <v>1292</v>
      </c>
      <c r="J362" t="s">
        <v>1303</v>
      </c>
      <c r="K362" t="s">
        <v>1306</v>
      </c>
      <c r="L362" t="s">
        <v>1310</v>
      </c>
      <c r="M362">
        <v>2</v>
      </c>
      <c r="N362">
        <v>0</v>
      </c>
      <c r="O362">
        <v>1286.48</v>
      </c>
      <c r="P362">
        <v>445.9</v>
      </c>
      <c r="Q362" t="s">
        <v>1333</v>
      </c>
      <c r="R362" t="b">
        <f t="shared" si="16"/>
        <v>0</v>
      </c>
      <c r="S362" t="b">
        <f t="shared" si="17"/>
        <v>0</v>
      </c>
      <c r="T362" t="b">
        <f t="shared" si="18"/>
        <v>0</v>
      </c>
    </row>
    <row r="363" spans="1:20" x14ac:dyDescent="0.3">
      <c r="A363">
        <v>362</v>
      </c>
      <c r="B363" t="s">
        <v>378</v>
      </c>
      <c r="C363" s="2">
        <v>45815</v>
      </c>
      <c r="D363" s="2">
        <v>45820</v>
      </c>
      <c r="E363" t="s">
        <v>1017</v>
      </c>
      <c r="F363" t="s">
        <v>1089</v>
      </c>
      <c r="G363" t="s">
        <v>1274</v>
      </c>
      <c r="H363" t="s">
        <v>1288</v>
      </c>
      <c r="I363" t="s">
        <v>1292</v>
      </c>
      <c r="J363" t="s">
        <v>1303</v>
      </c>
      <c r="K363" t="s">
        <v>1306</v>
      </c>
      <c r="L363" t="s">
        <v>1321</v>
      </c>
      <c r="M363">
        <v>2</v>
      </c>
      <c r="N363">
        <v>0.1</v>
      </c>
      <c r="O363">
        <v>817.6</v>
      </c>
      <c r="P363">
        <v>155.99</v>
      </c>
      <c r="Q363" t="s">
        <v>1333</v>
      </c>
      <c r="R363" t="b">
        <f t="shared" si="16"/>
        <v>0</v>
      </c>
      <c r="S363" t="b">
        <f t="shared" si="17"/>
        <v>0</v>
      </c>
      <c r="T363" t="b">
        <f t="shared" si="18"/>
        <v>0</v>
      </c>
    </row>
    <row r="364" spans="1:20" x14ac:dyDescent="0.3">
      <c r="A364">
        <v>363</v>
      </c>
      <c r="B364" t="s">
        <v>379</v>
      </c>
      <c r="C364" s="2">
        <v>45997</v>
      </c>
      <c r="D364" s="2">
        <v>46000</v>
      </c>
      <c r="E364" t="s">
        <v>1017</v>
      </c>
      <c r="F364" t="s">
        <v>1119</v>
      </c>
      <c r="G364" t="s">
        <v>1282</v>
      </c>
      <c r="H364" t="s">
        <v>1288</v>
      </c>
      <c r="I364" t="s">
        <v>1300</v>
      </c>
      <c r="J364" t="s">
        <v>1305</v>
      </c>
      <c r="K364" t="s">
        <v>1309</v>
      </c>
      <c r="L364" t="s">
        <v>1329</v>
      </c>
      <c r="M364">
        <v>1</v>
      </c>
      <c r="N364">
        <v>0.1</v>
      </c>
      <c r="O364">
        <v>1668.28</v>
      </c>
      <c r="P364">
        <v>226.96</v>
      </c>
      <c r="Q364" t="s">
        <v>1333</v>
      </c>
      <c r="R364" t="b">
        <f t="shared" si="16"/>
        <v>0</v>
      </c>
      <c r="S364" t="b">
        <f t="shared" si="17"/>
        <v>0</v>
      </c>
      <c r="T364" t="b">
        <f t="shared" si="18"/>
        <v>0</v>
      </c>
    </row>
    <row r="365" spans="1:20" x14ac:dyDescent="0.3">
      <c r="A365">
        <v>364</v>
      </c>
      <c r="B365" t="s">
        <v>380</v>
      </c>
      <c r="C365" s="2">
        <v>45682</v>
      </c>
      <c r="D365" s="2">
        <v>45684</v>
      </c>
      <c r="E365" t="s">
        <v>1017</v>
      </c>
      <c r="F365" t="s">
        <v>1210</v>
      </c>
      <c r="G365" t="s">
        <v>1286</v>
      </c>
      <c r="H365" t="s">
        <v>1287</v>
      </c>
      <c r="I365" t="s">
        <v>1301</v>
      </c>
      <c r="J365" t="s">
        <v>1303</v>
      </c>
      <c r="K365" t="s">
        <v>1309</v>
      </c>
      <c r="L365" t="s">
        <v>1320</v>
      </c>
      <c r="M365">
        <v>2</v>
      </c>
      <c r="N365">
        <v>0.1</v>
      </c>
      <c r="O365">
        <v>2051.69</v>
      </c>
      <c r="P365">
        <v>326.93</v>
      </c>
      <c r="Q365" t="s">
        <v>1333</v>
      </c>
      <c r="R365" t="b">
        <f t="shared" si="16"/>
        <v>0</v>
      </c>
      <c r="S365" t="b">
        <f t="shared" si="17"/>
        <v>0</v>
      </c>
      <c r="T365" t="b">
        <f t="shared" si="18"/>
        <v>0</v>
      </c>
    </row>
    <row r="366" spans="1:20" x14ac:dyDescent="0.3">
      <c r="A366">
        <v>365</v>
      </c>
      <c r="B366" t="s">
        <v>381</v>
      </c>
      <c r="C366" s="2">
        <v>45898</v>
      </c>
      <c r="D366" s="2">
        <v>45902</v>
      </c>
      <c r="E366" t="s">
        <v>1018</v>
      </c>
      <c r="F366" t="s">
        <v>1073</v>
      </c>
      <c r="G366" t="s">
        <v>1280</v>
      </c>
      <c r="H366" t="s">
        <v>1287</v>
      </c>
      <c r="I366" t="s">
        <v>1296</v>
      </c>
      <c r="J366" t="s">
        <v>1304</v>
      </c>
      <c r="K366" t="s">
        <v>1307</v>
      </c>
      <c r="L366" t="s">
        <v>1315</v>
      </c>
      <c r="M366">
        <v>1</v>
      </c>
      <c r="N366">
        <v>0</v>
      </c>
      <c r="O366">
        <v>1782.34</v>
      </c>
      <c r="P366">
        <v>479.37</v>
      </c>
      <c r="Q366" t="s">
        <v>1331</v>
      </c>
      <c r="R366" t="b">
        <f t="shared" si="16"/>
        <v>0</v>
      </c>
      <c r="S366" t="b">
        <f t="shared" si="17"/>
        <v>0</v>
      </c>
      <c r="T366" t="b">
        <f t="shared" si="18"/>
        <v>0</v>
      </c>
    </row>
    <row r="367" spans="1:20" x14ac:dyDescent="0.3">
      <c r="A367">
        <v>366</v>
      </c>
      <c r="B367" t="s">
        <v>382</v>
      </c>
      <c r="C367" s="2">
        <v>45839</v>
      </c>
      <c r="D367" s="2">
        <v>45842</v>
      </c>
      <c r="E367" t="s">
        <v>1017</v>
      </c>
      <c r="F367" t="s">
        <v>1087</v>
      </c>
      <c r="G367" t="s">
        <v>1285</v>
      </c>
      <c r="H367" t="s">
        <v>1288</v>
      </c>
      <c r="I367" t="s">
        <v>1296</v>
      </c>
      <c r="J367" t="s">
        <v>1304</v>
      </c>
      <c r="K367" t="s">
        <v>1308</v>
      </c>
      <c r="L367" t="s">
        <v>1326</v>
      </c>
      <c r="M367">
        <v>3</v>
      </c>
      <c r="N367">
        <v>0.1</v>
      </c>
      <c r="O367">
        <v>18435.72</v>
      </c>
      <c r="P367">
        <v>4042.61</v>
      </c>
      <c r="Q367" t="s">
        <v>1331</v>
      </c>
      <c r="R367" t="b">
        <f t="shared" si="16"/>
        <v>0</v>
      </c>
      <c r="S367" t="b">
        <f t="shared" si="17"/>
        <v>0</v>
      </c>
      <c r="T367" t="b">
        <f t="shared" si="18"/>
        <v>0</v>
      </c>
    </row>
    <row r="368" spans="1:20" x14ac:dyDescent="0.3">
      <c r="A368">
        <v>367</v>
      </c>
      <c r="B368" t="s">
        <v>383</v>
      </c>
      <c r="C368" s="2">
        <v>46018</v>
      </c>
      <c r="D368" s="2">
        <v>46021</v>
      </c>
      <c r="E368" t="s">
        <v>1017</v>
      </c>
      <c r="F368" t="s">
        <v>1129</v>
      </c>
      <c r="G368" t="s">
        <v>1269</v>
      </c>
      <c r="H368" t="s">
        <v>1287</v>
      </c>
      <c r="I368" t="s">
        <v>1301</v>
      </c>
      <c r="J368" t="s">
        <v>1303</v>
      </c>
      <c r="K368" t="s">
        <v>1306</v>
      </c>
      <c r="L368" t="s">
        <v>1310</v>
      </c>
      <c r="M368">
        <v>2</v>
      </c>
      <c r="N368">
        <v>0</v>
      </c>
      <c r="O368">
        <v>1246.4100000000001</v>
      </c>
      <c r="P368">
        <v>395.73</v>
      </c>
      <c r="Q368" t="s">
        <v>1333</v>
      </c>
      <c r="R368" t="b">
        <f t="shared" si="16"/>
        <v>0</v>
      </c>
      <c r="S368" t="b">
        <f t="shared" si="17"/>
        <v>0</v>
      </c>
      <c r="T368" t="b">
        <f t="shared" si="18"/>
        <v>0</v>
      </c>
    </row>
    <row r="369" spans="1:20" x14ac:dyDescent="0.3">
      <c r="A369">
        <v>368</v>
      </c>
      <c r="B369" t="s">
        <v>384</v>
      </c>
      <c r="C369" s="2">
        <v>45866</v>
      </c>
      <c r="D369" s="2">
        <v>45869</v>
      </c>
      <c r="E369" t="s">
        <v>1018</v>
      </c>
      <c r="F369" t="s">
        <v>1211</v>
      </c>
      <c r="G369" t="s">
        <v>1269</v>
      </c>
      <c r="H369" t="s">
        <v>1289</v>
      </c>
      <c r="I369" t="s">
        <v>1300</v>
      </c>
      <c r="J369" t="s">
        <v>1305</v>
      </c>
      <c r="K369" t="s">
        <v>1307</v>
      </c>
      <c r="L369" t="s">
        <v>1314</v>
      </c>
      <c r="M369">
        <v>3</v>
      </c>
      <c r="N369">
        <v>0.15</v>
      </c>
      <c r="O369">
        <v>2305.61</v>
      </c>
      <c r="P369">
        <v>252.11</v>
      </c>
      <c r="Q369" t="s">
        <v>1334</v>
      </c>
      <c r="R369" t="b">
        <f t="shared" si="16"/>
        <v>0</v>
      </c>
      <c r="S369" t="b">
        <f t="shared" si="17"/>
        <v>0</v>
      </c>
      <c r="T369" t="b">
        <f t="shared" si="18"/>
        <v>0</v>
      </c>
    </row>
    <row r="370" spans="1:20" x14ac:dyDescent="0.3">
      <c r="A370">
        <v>369</v>
      </c>
      <c r="B370" t="s">
        <v>385</v>
      </c>
      <c r="C370" s="2">
        <v>45724</v>
      </c>
      <c r="D370" s="2">
        <v>45725</v>
      </c>
      <c r="E370" t="s">
        <v>1019</v>
      </c>
      <c r="F370" t="s">
        <v>1117</v>
      </c>
      <c r="G370" t="s">
        <v>1280</v>
      </c>
      <c r="H370" t="s">
        <v>1287</v>
      </c>
      <c r="I370" t="s">
        <v>1295</v>
      </c>
      <c r="J370" t="s">
        <v>1305</v>
      </c>
      <c r="K370" t="s">
        <v>1309</v>
      </c>
      <c r="L370" t="s">
        <v>1320</v>
      </c>
      <c r="M370">
        <v>1</v>
      </c>
      <c r="N370">
        <v>0</v>
      </c>
      <c r="O370">
        <v>1155.55</v>
      </c>
      <c r="P370">
        <v>411.95</v>
      </c>
      <c r="Q370" t="s">
        <v>1333</v>
      </c>
      <c r="R370" t="b">
        <f t="shared" si="16"/>
        <v>0</v>
      </c>
      <c r="S370" t="b">
        <f t="shared" si="17"/>
        <v>0</v>
      </c>
      <c r="T370" t="b">
        <f t="shared" si="18"/>
        <v>0</v>
      </c>
    </row>
    <row r="371" spans="1:20" x14ac:dyDescent="0.3">
      <c r="A371">
        <v>370</v>
      </c>
      <c r="B371" t="s">
        <v>386</v>
      </c>
      <c r="C371" s="2">
        <v>45903</v>
      </c>
      <c r="D371" s="2">
        <v>45907</v>
      </c>
      <c r="E371" t="s">
        <v>1018</v>
      </c>
      <c r="F371" t="s">
        <v>1026</v>
      </c>
      <c r="G371" t="s">
        <v>1284</v>
      </c>
      <c r="H371" t="s">
        <v>1287</v>
      </c>
      <c r="I371" t="s">
        <v>1300</v>
      </c>
      <c r="J371" t="s">
        <v>1305</v>
      </c>
      <c r="K371" t="s">
        <v>1306</v>
      </c>
      <c r="L371" t="s">
        <v>1324</v>
      </c>
      <c r="M371">
        <v>1</v>
      </c>
      <c r="N371">
        <v>0.1</v>
      </c>
      <c r="O371">
        <v>78.650000000000006</v>
      </c>
      <c r="P371">
        <v>5.27</v>
      </c>
      <c r="Q371" t="s">
        <v>1330</v>
      </c>
      <c r="R371" t="b">
        <f t="shared" si="16"/>
        <v>0</v>
      </c>
      <c r="S371" t="b">
        <f t="shared" si="17"/>
        <v>0</v>
      </c>
      <c r="T371" t="b">
        <f t="shared" si="18"/>
        <v>0</v>
      </c>
    </row>
    <row r="372" spans="1:20" x14ac:dyDescent="0.3">
      <c r="A372">
        <v>371</v>
      </c>
      <c r="B372" t="s">
        <v>387</v>
      </c>
      <c r="C372" s="2">
        <v>45787</v>
      </c>
      <c r="D372" s="2">
        <v>45788</v>
      </c>
      <c r="E372" t="s">
        <v>1017</v>
      </c>
      <c r="F372" t="s">
        <v>1203</v>
      </c>
      <c r="G372" t="s">
        <v>1267</v>
      </c>
      <c r="H372" t="s">
        <v>1287</v>
      </c>
      <c r="I372" t="s">
        <v>1297</v>
      </c>
      <c r="J372" t="s">
        <v>1304</v>
      </c>
      <c r="K372" t="s">
        <v>1309</v>
      </c>
      <c r="L372" t="s">
        <v>1325</v>
      </c>
      <c r="M372">
        <v>2</v>
      </c>
      <c r="N372">
        <v>0</v>
      </c>
      <c r="O372">
        <v>2657.57</v>
      </c>
      <c r="P372">
        <v>748.01</v>
      </c>
      <c r="Q372" t="s">
        <v>1333</v>
      </c>
      <c r="R372" t="b">
        <f t="shared" si="16"/>
        <v>0</v>
      </c>
      <c r="S372" t="b">
        <f t="shared" si="17"/>
        <v>0</v>
      </c>
      <c r="T372" t="b">
        <f t="shared" si="18"/>
        <v>0</v>
      </c>
    </row>
    <row r="373" spans="1:20" x14ac:dyDescent="0.3">
      <c r="A373">
        <v>372</v>
      </c>
      <c r="B373" t="s">
        <v>388</v>
      </c>
      <c r="C373" s="2">
        <v>45975</v>
      </c>
      <c r="D373" s="2">
        <v>45976</v>
      </c>
      <c r="E373" t="s">
        <v>1018</v>
      </c>
      <c r="F373" t="s">
        <v>1132</v>
      </c>
      <c r="G373" t="s">
        <v>1284</v>
      </c>
      <c r="H373" t="s">
        <v>1287</v>
      </c>
      <c r="I373" t="s">
        <v>1296</v>
      </c>
      <c r="J373" t="s">
        <v>1304</v>
      </c>
      <c r="K373" t="s">
        <v>1308</v>
      </c>
      <c r="L373" t="s">
        <v>1327</v>
      </c>
      <c r="M373">
        <v>2</v>
      </c>
      <c r="N373">
        <v>0</v>
      </c>
      <c r="O373">
        <v>3551.31</v>
      </c>
      <c r="P373">
        <v>779.93</v>
      </c>
      <c r="Q373" t="s">
        <v>1330</v>
      </c>
      <c r="R373" t="b">
        <f t="shared" si="16"/>
        <v>0</v>
      </c>
      <c r="S373" t="b">
        <f t="shared" si="17"/>
        <v>0</v>
      </c>
      <c r="T373" t="b">
        <f t="shared" si="18"/>
        <v>0</v>
      </c>
    </row>
    <row r="374" spans="1:20" x14ac:dyDescent="0.3">
      <c r="A374">
        <v>373</v>
      </c>
      <c r="B374" t="s">
        <v>389</v>
      </c>
      <c r="C374" s="2">
        <v>45889</v>
      </c>
      <c r="D374" s="2">
        <v>45892</v>
      </c>
      <c r="E374" t="s">
        <v>1018</v>
      </c>
      <c r="F374" t="s">
        <v>1117</v>
      </c>
      <c r="G374" t="s">
        <v>1275</v>
      </c>
      <c r="H374" t="s">
        <v>1287</v>
      </c>
      <c r="I374" t="s">
        <v>1299</v>
      </c>
      <c r="J374" t="s">
        <v>1304</v>
      </c>
      <c r="K374" t="s">
        <v>1306</v>
      </c>
      <c r="L374" t="s">
        <v>1321</v>
      </c>
      <c r="M374">
        <v>1</v>
      </c>
      <c r="N374">
        <v>0.1</v>
      </c>
      <c r="O374">
        <v>394.82</v>
      </c>
      <c r="P374">
        <v>87.3</v>
      </c>
      <c r="Q374" t="s">
        <v>1334</v>
      </c>
      <c r="R374" t="b">
        <f t="shared" si="16"/>
        <v>0</v>
      </c>
      <c r="S374" t="b">
        <f t="shared" si="17"/>
        <v>0</v>
      </c>
      <c r="T374" t="b">
        <f t="shared" si="18"/>
        <v>0</v>
      </c>
    </row>
    <row r="375" spans="1:20" x14ac:dyDescent="0.3">
      <c r="A375">
        <v>374</v>
      </c>
      <c r="B375" t="s">
        <v>390</v>
      </c>
      <c r="C375" s="2">
        <v>45872</v>
      </c>
      <c r="D375" s="2">
        <v>45877</v>
      </c>
      <c r="E375" t="s">
        <v>1018</v>
      </c>
      <c r="F375" t="s">
        <v>1191</v>
      </c>
      <c r="G375" t="s">
        <v>1272</v>
      </c>
      <c r="H375" t="s">
        <v>1287</v>
      </c>
      <c r="I375" t="s">
        <v>1297</v>
      </c>
      <c r="J375" t="s">
        <v>1304</v>
      </c>
      <c r="K375" t="s">
        <v>1307</v>
      </c>
      <c r="L375" t="s">
        <v>1311</v>
      </c>
      <c r="M375">
        <v>1</v>
      </c>
      <c r="N375">
        <v>0.15</v>
      </c>
      <c r="O375">
        <v>249.78</v>
      </c>
      <c r="P375">
        <v>61.18</v>
      </c>
      <c r="Q375" t="s">
        <v>1331</v>
      </c>
      <c r="R375" t="b">
        <f t="shared" si="16"/>
        <v>0</v>
      </c>
      <c r="S375" t="b">
        <f t="shared" si="17"/>
        <v>0</v>
      </c>
      <c r="T375" t="b">
        <f t="shared" si="18"/>
        <v>0</v>
      </c>
    </row>
    <row r="376" spans="1:20" x14ac:dyDescent="0.3">
      <c r="A376">
        <v>375</v>
      </c>
      <c r="B376" t="s">
        <v>391</v>
      </c>
      <c r="C376" s="2">
        <v>45841</v>
      </c>
      <c r="D376" s="2">
        <v>45844</v>
      </c>
      <c r="E376" t="s">
        <v>1017</v>
      </c>
      <c r="F376" t="s">
        <v>1212</v>
      </c>
      <c r="G376" t="s">
        <v>1274</v>
      </c>
      <c r="H376" t="s">
        <v>1287</v>
      </c>
      <c r="I376" t="s">
        <v>1296</v>
      </c>
      <c r="J376" t="s">
        <v>1304</v>
      </c>
      <c r="K376" t="s">
        <v>1309</v>
      </c>
      <c r="L376" t="s">
        <v>1320</v>
      </c>
      <c r="M376">
        <v>5</v>
      </c>
      <c r="N376">
        <v>0.05</v>
      </c>
      <c r="O376">
        <v>5872.91</v>
      </c>
      <c r="P376">
        <v>1022.06</v>
      </c>
      <c r="Q376" t="s">
        <v>1332</v>
      </c>
      <c r="R376" t="b">
        <f t="shared" si="16"/>
        <v>0</v>
      </c>
      <c r="S376" t="b">
        <f t="shared" si="17"/>
        <v>0</v>
      </c>
      <c r="T376" t="b">
        <f t="shared" si="18"/>
        <v>0</v>
      </c>
    </row>
    <row r="377" spans="1:20" x14ac:dyDescent="0.3">
      <c r="A377">
        <v>376</v>
      </c>
      <c r="B377" t="s">
        <v>392</v>
      </c>
      <c r="C377" s="2">
        <v>45761</v>
      </c>
      <c r="D377" s="2">
        <v>45764</v>
      </c>
      <c r="E377" t="s">
        <v>1017</v>
      </c>
      <c r="F377" t="s">
        <v>1159</v>
      </c>
      <c r="G377" t="s">
        <v>1279</v>
      </c>
      <c r="H377" t="s">
        <v>1289</v>
      </c>
      <c r="I377" t="s">
        <v>1296</v>
      </c>
      <c r="J377" t="s">
        <v>1304</v>
      </c>
      <c r="K377" t="s">
        <v>1308</v>
      </c>
      <c r="L377" t="s">
        <v>1312</v>
      </c>
      <c r="M377">
        <v>4</v>
      </c>
      <c r="N377">
        <v>0</v>
      </c>
      <c r="O377">
        <v>5434.74</v>
      </c>
      <c r="P377">
        <v>1986.97</v>
      </c>
      <c r="Q377" t="s">
        <v>1332</v>
      </c>
      <c r="R377" t="b">
        <f t="shared" si="16"/>
        <v>0</v>
      </c>
      <c r="S377" t="b">
        <f t="shared" si="17"/>
        <v>0</v>
      </c>
      <c r="T377" t="b">
        <f t="shared" si="18"/>
        <v>0</v>
      </c>
    </row>
    <row r="378" spans="1:20" x14ac:dyDescent="0.3">
      <c r="A378">
        <v>377</v>
      </c>
      <c r="B378" t="s">
        <v>393</v>
      </c>
      <c r="C378" s="2">
        <v>45884</v>
      </c>
      <c r="D378" s="2">
        <v>45889</v>
      </c>
      <c r="E378" t="s">
        <v>1019</v>
      </c>
      <c r="F378" t="s">
        <v>1050</v>
      </c>
      <c r="G378" t="s">
        <v>1276</v>
      </c>
      <c r="H378" t="s">
        <v>1287</v>
      </c>
      <c r="I378" t="s">
        <v>1298</v>
      </c>
      <c r="J378" t="s">
        <v>1303</v>
      </c>
      <c r="K378" t="s">
        <v>1308</v>
      </c>
      <c r="L378" t="s">
        <v>1312</v>
      </c>
      <c r="M378">
        <v>2</v>
      </c>
      <c r="N378">
        <v>0.1</v>
      </c>
      <c r="O378">
        <v>2450.7199999999998</v>
      </c>
      <c r="P378">
        <v>355.44</v>
      </c>
      <c r="Q378" t="s">
        <v>1332</v>
      </c>
      <c r="R378" t="b">
        <f t="shared" si="16"/>
        <v>0</v>
      </c>
      <c r="S378" t="b">
        <f t="shared" si="17"/>
        <v>0</v>
      </c>
      <c r="T378" t="b">
        <f t="shared" si="18"/>
        <v>0</v>
      </c>
    </row>
    <row r="379" spans="1:20" x14ac:dyDescent="0.3">
      <c r="A379">
        <v>378</v>
      </c>
      <c r="B379" t="s">
        <v>394</v>
      </c>
      <c r="C379" s="2">
        <v>45707</v>
      </c>
      <c r="D379" s="2">
        <v>45709</v>
      </c>
      <c r="E379" t="s">
        <v>1018</v>
      </c>
      <c r="F379" t="s">
        <v>1123</v>
      </c>
      <c r="G379" t="s">
        <v>1282</v>
      </c>
      <c r="H379" t="s">
        <v>1288</v>
      </c>
      <c r="I379" t="s">
        <v>1291</v>
      </c>
      <c r="J379" t="s">
        <v>1302</v>
      </c>
      <c r="K379" t="s">
        <v>1307</v>
      </c>
      <c r="L379" t="s">
        <v>1316</v>
      </c>
      <c r="M379">
        <v>3</v>
      </c>
      <c r="N379">
        <v>0</v>
      </c>
      <c r="O379">
        <v>1429.22</v>
      </c>
      <c r="P379">
        <v>213.23</v>
      </c>
      <c r="Q379" t="s">
        <v>1332</v>
      </c>
      <c r="R379" t="b">
        <f t="shared" si="16"/>
        <v>0</v>
      </c>
      <c r="S379" t="b">
        <f t="shared" si="17"/>
        <v>0</v>
      </c>
      <c r="T379" t="b">
        <f t="shared" si="18"/>
        <v>0</v>
      </c>
    </row>
    <row r="380" spans="1:20" x14ac:dyDescent="0.3">
      <c r="A380">
        <v>379</v>
      </c>
      <c r="B380" t="s">
        <v>395</v>
      </c>
      <c r="C380" s="2">
        <v>45913</v>
      </c>
      <c r="D380" s="2">
        <v>45917</v>
      </c>
      <c r="E380" t="s">
        <v>1017</v>
      </c>
      <c r="F380" t="s">
        <v>1074</v>
      </c>
      <c r="G380" t="s">
        <v>1284</v>
      </c>
      <c r="H380" t="s">
        <v>1287</v>
      </c>
      <c r="I380" t="s">
        <v>1300</v>
      </c>
      <c r="J380" t="s">
        <v>1305</v>
      </c>
      <c r="K380" t="s">
        <v>1307</v>
      </c>
      <c r="L380" t="s">
        <v>1311</v>
      </c>
      <c r="M380">
        <v>5</v>
      </c>
      <c r="N380">
        <v>0.1</v>
      </c>
      <c r="O380">
        <v>1351.45</v>
      </c>
      <c r="P380">
        <v>132.79</v>
      </c>
      <c r="Q380" t="s">
        <v>1333</v>
      </c>
      <c r="R380" t="b">
        <f t="shared" si="16"/>
        <v>0</v>
      </c>
      <c r="S380" t="b">
        <f t="shared" si="17"/>
        <v>0</v>
      </c>
      <c r="T380" t="b">
        <f t="shared" si="18"/>
        <v>0</v>
      </c>
    </row>
    <row r="381" spans="1:20" x14ac:dyDescent="0.3">
      <c r="A381">
        <v>380</v>
      </c>
      <c r="B381" t="s">
        <v>396</v>
      </c>
      <c r="C381" s="2">
        <v>45695</v>
      </c>
      <c r="D381" s="2">
        <v>45698</v>
      </c>
      <c r="E381" t="s">
        <v>1018</v>
      </c>
      <c r="F381" t="s">
        <v>1213</v>
      </c>
      <c r="G381" t="s">
        <v>1276</v>
      </c>
      <c r="H381" t="s">
        <v>1287</v>
      </c>
      <c r="I381" t="s">
        <v>1292</v>
      </c>
      <c r="J381" t="s">
        <v>1303</v>
      </c>
      <c r="K381" t="s">
        <v>1306</v>
      </c>
      <c r="L381" t="s">
        <v>1310</v>
      </c>
      <c r="M381">
        <v>2</v>
      </c>
      <c r="N381">
        <v>0.1</v>
      </c>
      <c r="O381">
        <v>1140.75</v>
      </c>
      <c r="P381">
        <v>315.68</v>
      </c>
      <c r="Q381" t="s">
        <v>1332</v>
      </c>
      <c r="R381" t="b">
        <f t="shared" si="16"/>
        <v>0</v>
      </c>
      <c r="S381" t="b">
        <f t="shared" si="17"/>
        <v>0</v>
      </c>
      <c r="T381" t="b">
        <f t="shared" si="18"/>
        <v>0</v>
      </c>
    </row>
    <row r="382" spans="1:20" x14ac:dyDescent="0.3">
      <c r="A382">
        <v>381</v>
      </c>
      <c r="B382" t="s">
        <v>397</v>
      </c>
      <c r="C382" s="2">
        <v>45993</v>
      </c>
      <c r="D382" s="2">
        <v>45995</v>
      </c>
      <c r="E382" t="s">
        <v>1018</v>
      </c>
      <c r="F382" t="s">
        <v>1043</v>
      </c>
      <c r="G382" t="s">
        <v>1286</v>
      </c>
      <c r="H382" t="s">
        <v>1287</v>
      </c>
      <c r="I382" t="s">
        <v>1295</v>
      </c>
      <c r="J382" t="s">
        <v>1305</v>
      </c>
      <c r="K382" t="s">
        <v>1309</v>
      </c>
      <c r="L382" t="s">
        <v>1325</v>
      </c>
      <c r="M382">
        <v>3</v>
      </c>
      <c r="N382">
        <v>0</v>
      </c>
      <c r="O382">
        <v>3720.1</v>
      </c>
      <c r="P382">
        <v>578.48</v>
      </c>
      <c r="Q382" t="s">
        <v>1334</v>
      </c>
      <c r="R382" t="b">
        <f t="shared" si="16"/>
        <v>0</v>
      </c>
      <c r="S382" t="b">
        <f t="shared" si="17"/>
        <v>0</v>
      </c>
      <c r="T382" t="b">
        <f t="shared" si="18"/>
        <v>0</v>
      </c>
    </row>
    <row r="383" spans="1:20" x14ac:dyDescent="0.3">
      <c r="A383">
        <v>382</v>
      </c>
      <c r="B383" t="s">
        <v>398</v>
      </c>
      <c r="C383" s="2">
        <v>45842</v>
      </c>
      <c r="D383" s="2">
        <v>45844</v>
      </c>
      <c r="E383" t="s">
        <v>1018</v>
      </c>
      <c r="F383" t="s">
        <v>1167</v>
      </c>
      <c r="G383" t="s">
        <v>1278</v>
      </c>
      <c r="H383" t="s">
        <v>1287</v>
      </c>
      <c r="I383" t="s">
        <v>1294</v>
      </c>
      <c r="J383" t="s">
        <v>1305</v>
      </c>
      <c r="K383" t="s">
        <v>1309</v>
      </c>
      <c r="L383" t="s">
        <v>1329</v>
      </c>
      <c r="M383">
        <v>2</v>
      </c>
      <c r="N383">
        <v>0.1</v>
      </c>
      <c r="O383">
        <v>3247.37</v>
      </c>
      <c r="P383">
        <v>197.57</v>
      </c>
      <c r="Q383" t="s">
        <v>1331</v>
      </c>
      <c r="R383" t="b">
        <f t="shared" si="16"/>
        <v>0</v>
      </c>
      <c r="S383" t="b">
        <f t="shared" si="17"/>
        <v>0</v>
      </c>
      <c r="T383" t="b">
        <f t="shared" si="18"/>
        <v>0</v>
      </c>
    </row>
    <row r="384" spans="1:20" x14ac:dyDescent="0.3">
      <c r="A384">
        <v>383</v>
      </c>
      <c r="B384" t="s">
        <v>399</v>
      </c>
      <c r="C384" s="2">
        <v>45873</v>
      </c>
      <c r="D384" s="2">
        <v>45877</v>
      </c>
      <c r="E384" t="s">
        <v>1017</v>
      </c>
      <c r="F384" t="s">
        <v>1077</v>
      </c>
      <c r="G384" t="s">
        <v>1277</v>
      </c>
      <c r="H384" t="s">
        <v>1288</v>
      </c>
      <c r="I384" t="s">
        <v>1292</v>
      </c>
      <c r="J384" t="s">
        <v>1303</v>
      </c>
      <c r="K384" t="s">
        <v>1309</v>
      </c>
      <c r="L384" t="s">
        <v>1325</v>
      </c>
      <c r="M384">
        <v>4</v>
      </c>
      <c r="N384">
        <v>0.1</v>
      </c>
      <c r="O384">
        <v>4682.2</v>
      </c>
      <c r="P384">
        <v>1098.17</v>
      </c>
      <c r="Q384" t="s">
        <v>1331</v>
      </c>
      <c r="R384" t="b">
        <f t="shared" si="16"/>
        <v>0</v>
      </c>
      <c r="S384" t="b">
        <f t="shared" si="17"/>
        <v>0</v>
      </c>
      <c r="T384" t="b">
        <f t="shared" si="18"/>
        <v>0</v>
      </c>
    </row>
    <row r="385" spans="1:20" x14ac:dyDescent="0.3">
      <c r="A385">
        <v>384</v>
      </c>
      <c r="B385" t="s">
        <v>400</v>
      </c>
      <c r="C385" s="2">
        <v>45770</v>
      </c>
      <c r="D385" s="2">
        <v>45775</v>
      </c>
      <c r="E385" t="s">
        <v>1018</v>
      </c>
      <c r="F385" t="s">
        <v>1164</v>
      </c>
      <c r="G385" t="s">
        <v>1274</v>
      </c>
      <c r="H385" t="s">
        <v>1289</v>
      </c>
      <c r="I385" t="s">
        <v>1292</v>
      </c>
      <c r="J385" t="s">
        <v>1303</v>
      </c>
      <c r="K385" t="s">
        <v>1309</v>
      </c>
      <c r="L385" t="s">
        <v>1325</v>
      </c>
      <c r="M385">
        <v>3</v>
      </c>
      <c r="N385">
        <v>0.05</v>
      </c>
      <c r="O385">
        <v>3547.09</v>
      </c>
      <c r="P385">
        <v>778.5</v>
      </c>
      <c r="Q385" t="s">
        <v>1334</v>
      </c>
      <c r="R385" t="b">
        <f t="shared" si="16"/>
        <v>0</v>
      </c>
      <c r="S385" t="b">
        <f t="shared" si="17"/>
        <v>0</v>
      </c>
      <c r="T385" t="b">
        <f t="shared" si="18"/>
        <v>0</v>
      </c>
    </row>
    <row r="386" spans="1:20" x14ac:dyDescent="0.3">
      <c r="A386">
        <v>385</v>
      </c>
      <c r="B386" t="s">
        <v>401</v>
      </c>
      <c r="C386" s="2">
        <v>45728</v>
      </c>
      <c r="D386" s="2">
        <v>45730</v>
      </c>
      <c r="E386" t="s">
        <v>1017</v>
      </c>
      <c r="F386" t="s">
        <v>1128</v>
      </c>
      <c r="G386" t="s">
        <v>1283</v>
      </c>
      <c r="H386" t="s">
        <v>1289</v>
      </c>
      <c r="I386" t="s">
        <v>1295</v>
      </c>
      <c r="J386" t="s">
        <v>1305</v>
      </c>
      <c r="K386" t="s">
        <v>1307</v>
      </c>
      <c r="L386" t="s">
        <v>1322</v>
      </c>
      <c r="M386">
        <v>2</v>
      </c>
      <c r="N386">
        <v>0</v>
      </c>
      <c r="O386">
        <v>1466.07</v>
      </c>
      <c r="P386">
        <v>388.33</v>
      </c>
      <c r="Q386" t="s">
        <v>1334</v>
      </c>
      <c r="R386" t="b">
        <f t="shared" si="16"/>
        <v>0</v>
      </c>
      <c r="S386" t="b">
        <f t="shared" si="17"/>
        <v>0</v>
      </c>
      <c r="T386" t="b">
        <f t="shared" si="18"/>
        <v>0</v>
      </c>
    </row>
    <row r="387" spans="1:20" x14ac:dyDescent="0.3">
      <c r="A387">
        <v>386</v>
      </c>
      <c r="B387" t="s">
        <v>402</v>
      </c>
      <c r="C387" s="2">
        <v>45989</v>
      </c>
      <c r="D387" s="2">
        <v>45991</v>
      </c>
      <c r="E387" t="s">
        <v>1017</v>
      </c>
      <c r="F387" t="s">
        <v>1171</v>
      </c>
      <c r="G387" t="s">
        <v>1286</v>
      </c>
      <c r="H387" t="s">
        <v>1289</v>
      </c>
      <c r="I387" t="s">
        <v>1295</v>
      </c>
      <c r="J387" t="s">
        <v>1305</v>
      </c>
      <c r="K387" t="s">
        <v>1309</v>
      </c>
      <c r="L387" t="s">
        <v>1320</v>
      </c>
      <c r="M387">
        <v>1</v>
      </c>
      <c r="N387">
        <v>0</v>
      </c>
      <c r="O387">
        <v>1167.2</v>
      </c>
      <c r="P387">
        <v>227.46</v>
      </c>
      <c r="Q387" t="s">
        <v>1330</v>
      </c>
      <c r="R387" t="b">
        <f t="shared" ref="R387:R450" si="19">D387&lt;C387</f>
        <v>0</v>
      </c>
      <c r="S387" t="b">
        <f t="shared" ref="S387:S450" si="20">M387&lt;=0</f>
        <v>0</v>
      </c>
      <c r="T387" t="b">
        <f t="shared" ref="T387:T450" si="21">OR(N387&lt;0,N387&gt;1)</f>
        <v>0</v>
      </c>
    </row>
    <row r="388" spans="1:20" x14ac:dyDescent="0.3">
      <c r="A388">
        <v>387</v>
      </c>
      <c r="B388" t="s">
        <v>403</v>
      </c>
      <c r="C388" s="2">
        <v>45756</v>
      </c>
      <c r="D388" s="2">
        <v>45761</v>
      </c>
      <c r="E388" t="s">
        <v>1017</v>
      </c>
      <c r="F388" t="s">
        <v>1172</v>
      </c>
      <c r="G388" t="s">
        <v>1270</v>
      </c>
      <c r="H388" t="s">
        <v>1287</v>
      </c>
      <c r="I388" t="s">
        <v>1301</v>
      </c>
      <c r="J388" t="s">
        <v>1303</v>
      </c>
      <c r="K388" t="s">
        <v>1309</v>
      </c>
      <c r="L388" t="s">
        <v>1329</v>
      </c>
      <c r="M388">
        <v>2</v>
      </c>
      <c r="N388">
        <v>0.05</v>
      </c>
      <c r="O388">
        <v>3743.73</v>
      </c>
      <c r="P388">
        <v>701.3</v>
      </c>
      <c r="Q388" t="s">
        <v>1330</v>
      </c>
      <c r="R388" t="b">
        <f t="shared" si="19"/>
        <v>0</v>
      </c>
      <c r="S388" t="b">
        <f t="shared" si="20"/>
        <v>0</v>
      </c>
      <c r="T388" t="b">
        <f t="shared" si="21"/>
        <v>0</v>
      </c>
    </row>
    <row r="389" spans="1:20" x14ac:dyDescent="0.3">
      <c r="A389">
        <v>388</v>
      </c>
      <c r="B389" t="s">
        <v>404</v>
      </c>
      <c r="C389" s="2">
        <v>45864</v>
      </c>
      <c r="D389" s="2">
        <v>45867</v>
      </c>
      <c r="E389" t="s">
        <v>1017</v>
      </c>
      <c r="F389" t="s">
        <v>1038</v>
      </c>
      <c r="G389" t="s">
        <v>1269</v>
      </c>
      <c r="H389" t="s">
        <v>1287</v>
      </c>
      <c r="I389" t="s">
        <v>1299</v>
      </c>
      <c r="J389" t="s">
        <v>1304</v>
      </c>
      <c r="K389" t="s">
        <v>1309</v>
      </c>
      <c r="L389" t="s">
        <v>1325</v>
      </c>
      <c r="M389">
        <v>1</v>
      </c>
      <c r="N389">
        <v>0.15</v>
      </c>
      <c r="O389">
        <v>1119.05</v>
      </c>
      <c r="P389">
        <v>281.49</v>
      </c>
      <c r="Q389" t="s">
        <v>1334</v>
      </c>
      <c r="R389" t="b">
        <f t="shared" si="19"/>
        <v>0</v>
      </c>
      <c r="S389" t="b">
        <f t="shared" si="20"/>
        <v>0</v>
      </c>
      <c r="T389" t="b">
        <f t="shared" si="21"/>
        <v>0</v>
      </c>
    </row>
    <row r="390" spans="1:20" x14ac:dyDescent="0.3">
      <c r="A390">
        <v>389</v>
      </c>
      <c r="B390" t="s">
        <v>405</v>
      </c>
      <c r="C390" s="2">
        <v>45673</v>
      </c>
      <c r="D390" s="2">
        <v>45677</v>
      </c>
      <c r="E390" t="s">
        <v>1017</v>
      </c>
      <c r="F390" t="s">
        <v>1076</v>
      </c>
      <c r="G390" t="s">
        <v>1277</v>
      </c>
      <c r="H390" t="s">
        <v>1289</v>
      </c>
      <c r="I390" t="s">
        <v>1299</v>
      </c>
      <c r="J390" t="s">
        <v>1304</v>
      </c>
      <c r="K390" t="s">
        <v>1306</v>
      </c>
      <c r="L390" t="s">
        <v>1310</v>
      </c>
      <c r="M390">
        <v>5</v>
      </c>
      <c r="N390">
        <v>0</v>
      </c>
      <c r="O390">
        <v>3230.52</v>
      </c>
      <c r="P390">
        <v>901.67</v>
      </c>
      <c r="Q390" t="s">
        <v>1333</v>
      </c>
      <c r="R390" t="b">
        <f t="shared" si="19"/>
        <v>0</v>
      </c>
      <c r="S390" t="b">
        <f t="shared" si="20"/>
        <v>0</v>
      </c>
      <c r="T390" t="b">
        <f t="shared" si="21"/>
        <v>0</v>
      </c>
    </row>
    <row r="391" spans="1:20" x14ac:dyDescent="0.3">
      <c r="A391">
        <v>390</v>
      </c>
      <c r="B391" t="s">
        <v>406</v>
      </c>
      <c r="C391" s="2">
        <v>45765</v>
      </c>
      <c r="D391" s="2">
        <v>45767</v>
      </c>
      <c r="E391" t="s">
        <v>1017</v>
      </c>
      <c r="F391" t="s">
        <v>1028</v>
      </c>
      <c r="G391" t="s">
        <v>1272</v>
      </c>
      <c r="H391" t="s">
        <v>1288</v>
      </c>
      <c r="I391" t="s">
        <v>1292</v>
      </c>
      <c r="J391" t="s">
        <v>1303</v>
      </c>
      <c r="K391" t="s">
        <v>1309</v>
      </c>
      <c r="L391" t="s">
        <v>1329</v>
      </c>
      <c r="M391">
        <v>5</v>
      </c>
      <c r="N391">
        <v>0.1</v>
      </c>
      <c r="O391">
        <v>8440.44</v>
      </c>
      <c r="P391">
        <v>1806.62</v>
      </c>
      <c r="Q391" t="s">
        <v>1331</v>
      </c>
      <c r="R391" t="b">
        <f t="shared" si="19"/>
        <v>0</v>
      </c>
      <c r="S391" t="b">
        <f t="shared" si="20"/>
        <v>0</v>
      </c>
      <c r="T391" t="b">
        <f t="shared" si="21"/>
        <v>0</v>
      </c>
    </row>
    <row r="392" spans="1:20" x14ac:dyDescent="0.3">
      <c r="A392">
        <v>391</v>
      </c>
      <c r="B392" t="s">
        <v>407</v>
      </c>
      <c r="C392" s="2">
        <v>45786</v>
      </c>
      <c r="D392" s="2">
        <v>45791</v>
      </c>
      <c r="E392" t="s">
        <v>1017</v>
      </c>
      <c r="F392" t="s">
        <v>1214</v>
      </c>
      <c r="G392" t="s">
        <v>1280</v>
      </c>
      <c r="H392" t="s">
        <v>1289</v>
      </c>
      <c r="I392" t="s">
        <v>1301</v>
      </c>
      <c r="J392" t="s">
        <v>1303</v>
      </c>
      <c r="K392" t="s">
        <v>1306</v>
      </c>
      <c r="L392" t="s">
        <v>1324</v>
      </c>
      <c r="M392">
        <v>3</v>
      </c>
      <c r="N392">
        <v>0.1</v>
      </c>
      <c r="O392">
        <v>240.61</v>
      </c>
      <c r="P392">
        <v>30.38</v>
      </c>
      <c r="Q392" t="s">
        <v>1330</v>
      </c>
      <c r="R392" t="b">
        <f t="shared" si="19"/>
        <v>0</v>
      </c>
      <c r="S392" t="b">
        <f t="shared" si="20"/>
        <v>0</v>
      </c>
      <c r="T392" t="b">
        <f t="shared" si="21"/>
        <v>0</v>
      </c>
    </row>
    <row r="393" spans="1:20" x14ac:dyDescent="0.3">
      <c r="A393">
        <v>392</v>
      </c>
      <c r="B393" t="s">
        <v>408</v>
      </c>
      <c r="C393" s="2">
        <v>45974</v>
      </c>
      <c r="D393" s="2">
        <v>45976</v>
      </c>
      <c r="E393" t="s">
        <v>1019</v>
      </c>
      <c r="F393" t="s">
        <v>1109</v>
      </c>
      <c r="G393" t="s">
        <v>1268</v>
      </c>
      <c r="H393" t="s">
        <v>1288</v>
      </c>
      <c r="I393" t="s">
        <v>1292</v>
      </c>
      <c r="J393" t="s">
        <v>1303</v>
      </c>
      <c r="K393" t="s">
        <v>1306</v>
      </c>
      <c r="L393" t="s">
        <v>1324</v>
      </c>
      <c r="M393">
        <v>2</v>
      </c>
      <c r="N393">
        <v>0.2</v>
      </c>
      <c r="O393">
        <v>147.79</v>
      </c>
      <c r="P393">
        <v>32.28</v>
      </c>
      <c r="Q393" t="s">
        <v>1331</v>
      </c>
      <c r="R393" t="b">
        <f t="shared" si="19"/>
        <v>0</v>
      </c>
      <c r="S393" t="b">
        <f t="shared" si="20"/>
        <v>0</v>
      </c>
      <c r="T393" t="b">
        <f t="shared" si="21"/>
        <v>0</v>
      </c>
    </row>
    <row r="394" spans="1:20" x14ac:dyDescent="0.3">
      <c r="A394">
        <v>393</v>
      </c>
      <c r="B394" t="s">
        <v>409</v>
      </c>
      <c r="C394" s="2">
        <v>45728</v>
      </c>
      <c r="D394" s="2">
        <v>45731</v>
      </c>
      <c r="E394" t="s">
        <v>1019</v>
      </c>
      <c r="F394" t="s">
        <v>1102</v>
      </c>
      <c r="G394" t="s">
        <v>1277</v>
      </c>
      <c r="H394" t="s">
        <v>1288</v>
      </c>
      <c r="I394" t="s">
        <v>1293</v>
      </c>
      <c r="J394" t="s">
        <v>1304</v>
      </c>
      <c r="K394" t="s">
        <v>1308</v>
      </c>
      <c r="L394" t="s">
        <v>1327</v>
      </c>
      <c r="M394">
        <v>2</v>
      </c>
      <c r="N394">
        <v>0.1</v>
      </c>
      <c r="O394">
        <v>3343.75</v>
      </c>
      <c r="P394">
        <v>611.74</v>
      </c>
      <c r="Q394" t="s">
        <v>1332</v>
      </c>
      <c r="R394" t="b">
        <f t="shared" si="19"/>
        <v>0</v>
      </c>
      <c r="S394" t="b">
        <f t="shared" si="20"/>
        <v>0</v>
      </c>
      <c r="T394" t="b">
        <f t="shared" si="21"/>
        <v>0</v>
      </c>
    </row>
    <row r="395" spans="1:20" x14ac:dyDescent="0.3">
      <c r="A395">
        <v>394</v>
      </c>
      <c r="B395" t="s">
        <v>410</v>
      </c>
      <c r="C395" s="2">
        <v>45783</v>
      </c>
      <c r="D395" s="2">
        <v>45787</v>
      </c>
      <c r="E395" t="s">
        <v>1017</v>
      </c>
      <c r="F395" t="s">
        <v>1021</v>
      </c>
      <c r="G395" t="s">
        <v>1272</v>
      </c>
      <c r="H395" t="s">
        <v>1288</v>
      </c>
      <c r="I395" t="s">
        <v>1292</v>
      </c>
      <c r="J395" t="s">
        <v>1303</v>
      </c>
      <c r="K395" t="s">
        <v>1307</v>
      </c>
      <c r="L395" t="s">
        <v>1311</v>
      </c>
      <c r="M395">
        <v>3</v>
      </c>
      <c r="N395">
        <v>0.15</v>
      </c>
      <c r="O395">
        <v>734.41</v>
      </c>
      <c r="P395">
        <v>142.97999999999999</v>
      </c>
      <c r="Q395" t="s">
        <v>1332</v>
      </c>
      <c r="R395" t="b">
        <f t="shared" si="19"/>
        <v>0</v>
      </c>
      <c r="S395" t="b">
        <f t="shared" si="20"/>
        <v>0</v>
      </c>
      <c r="T395" t="b">
        <f t="shared" si="21"/>
        <v>0</v>
      </c>
    </row>
    <row r="396" spans="1:20" x14ac:dyDescent="0.3">
      <c r="A396">
        <v>395</v>
      </c>
      <c r="B396" t="s">
        <v>411</v>
      </c>
      <c r="C396" s="2">
        <v>45787</v>
      </c>
      <c r="D396" s="2">
        <v>45791</v>
      </c>
      <c r="E396" t="s">
        <v>1017</v>
      </c>
      <c r="F396" t="s">
        <v>1112</v>
      </c>
      <c r="G396" t="s">
        <v>1277</v>
      </c>
      <c r="H396" t="s">
        <v>1289</v>
      </c>
      <c r="I396" t="s">
        <v>1291</v>
      </c>
      <c r="J396" t="s">
        <v>1302</v>
      </c>
      <c r="K396" t="s">
        <v>1308</v>
      </c>
      <c r="L396" t="s">
        <v>1319</v>
      </c>
      <c r="M396">
        <v>1</v>
      </c>
      <c r="N396">
        <v>0.1</v>
      </c>
      <c r="O396">
        <v>4146.26</v>
      </c>
      <c r="P396">
        <v>914.9</v>
      </c>
      <c r="Q396" t="s">
        <v>1332</v>
      </c>
      <c r="R396" t="b">
        <f t="shared" si="19"/>
        <v>0</v>
      </c>
      <c r="S396" t="b">
        <f t="shared" si="20"/>
        <v>0</v>
      </c>
      <c r="T396" t="b">
        <f t="shared" si="21"/>
        <v>0</v>
      </c>
    </row>
    <row r="397" spans="1:20" x14ac:dyDescent="0.3">
      <c r="A397">
        <v>396</v>
      </c>
      <c r="B397" t="s">
        <v>412</v>
      </c>
      <c r="C397" s="2">
        <v>45777</v>
      </c>
      <c r="D397" s="2">
        <v>45778</v>
      </c>
      <c r="E397" t="s">
        <v>1017</v>
      </c>
      <c r="F397" t="s">
        <v>1215</v>
      </c>
      <c r="G397" t="s">
        <v>1279</v>
      </c>
      <c r="H397" t="s">
        <v>1287</v>
      </c>
      <c r="I397" t="s">
        <v>1301</v>
      </c>
      <c r="J397" t="s">
        <v>1303</v>
      </c>
      <c r="K397" t="s">
        <v>1306</v>
      </c>
      <c r="L397" t="s">
        <v>1310</v>
      </c>
      <c r="M397">
        <v>1</v>
      </c>
      <c r="N397">
        <v>0.1</v>
      </c>
      <c r="O397">
        <v>561</v>
      </c>
      <c r="P397">
        <v>39.590000000000003</v>
      </c>
      <c r="Q397" t="s">
        <v>1331</v>
      </c>
      <c r="R397" t="b">
        <f t="shared" si="19"/>
        <v>0</v>
      </c>
      <c r="S397" t="b">
        <f t="shared" si="20"/>
        <v>0</v>
      </c>
      <c r="T397" t="b">
        <f t="shared" si="21"/>
        <v>0</v>
      </c>
    </row>
    <row r="398" spans="1:20" x14ac:dyDescent="0.3">
      <c r="A398">
        <v>397</v>
      </c>
      <c r="B398" t="s">
        <v>413</v>
      </c>
      <c r="C398" s="2">
        <v>45809</v>
      </c>
      <c r="D398" s="2">
        <v>45811</v>
      </c>
      <c r="E398" t="s">
        <v>1017</v>
      </c>
      <c r="F398" t="s">
        <v>1147</v>
      </c>
      <c r="G398" t="s">
        <v>1280</v>
      </c>
      <c r="H398" t="s">
        <v>1287</v>
      </c>
      <c r="I398" t="s">
        <v>1290</v>
      </c>
      <c r="J398" t="s">
        <v>1302</v>
      </c>
      <c r="K398" t="s">
        <v>1308</v>
      </c>
      <c r="L398" t="s">
        <v>1326</v>
      </c>
      <c r="M398">
        <v>1</v>
      </c>
      <c r="N398">
        <v>0.1</v>
      </c>
      <c r="O398">
        <v>6320.87</v>
      </c>
      <c r="P398">
        <v>1707.89</v>
      </c>
      <c r="Q398" t="s">
        <v>1331</v>
      </c>
      <c r="R398" t="b">
        <f t="shared" si="19"/>
        <v>0</v>
      </c>
      <c r="S398" t="b">
        <f t="shared" si="20"/>
        <v>0</v>
      </c>
      <c r="T398" t="b">
        <f t="shared" si="21"/>
        <v>0</v>
      </c>
    </row>
    <row r="399" spans="1:20" x14ac:dyDescent="0.3">
      <c r="A399">
        <v>398</v>
      </c>
      <c r="B399" t="s">
        <v>414</v>
      </c>
      <c r="C399" s="2">
        <v>45704</v>
      </c>
      <c r="D399" s="2">
        <v>45707</v>
      </c>
      <c r="E399" t="s">
        <v>1017</v>
      </c>
      <c r="F399" t="s">
        <v>1076</v>
      </c>
      <c r="G399" t="s">
        <v>1273</v>
      </c>
      <c r="H399" t="s">
        <v>1289</v>
      </c>
      <c r="I399" t="s">
        <v>1293</v>
      </c>
      <c r="J399" t="s">
        <v>1304</v>
      </c>
      <c r="K399" t="s">
        <v>1307</v>
      </c>
      <c r="L399" t="s">
        <v>1314</v>
      </c>
      <c r="M399">
        <v>2</v>
      </c>
      <c r="N399">
        <v>0.1</v>
      </c>
      <c r="O399">
        <v>1546.11</v>
      </c>
      <c r="P399">
        <v>318.42</v>
      </c>
      <c r="Q399" t="s">
        <v>1331</v>
      </c>
      <c r="R399" t="b">
        <f t="shared" si="19"/>
        <v>0</v>
      </c>
      <c r="S399" t="b">
        <f t="shared" si="20"/>
        <v>0</v>
      </c>
      <c r="T399" t="b">
        <f t="shared" si="21"/>
        <v>0</v>
      </c>
    </row>
    <row r="400" spans="1:20" x14ac:dyDescent="0.3">
      <c r="A400">
        <v>399</v>
      </c>
      <c r="B400" t="s">
        <v>415</v>
      </c>
      <c r="C400" s="2">
        <v>45838</v>
      </c>
      <c r="D400" s="2">
        <v>45841</v>
      </c>
      <c r="E400" t="s">
        <v>1017</v>
      </c>
      <c r="F400" t="s">
        <v>1216</v>
      </c>
      <c r="G400" t="s">
        <v>1285</v>
      </c>
      <c r="H400" t="s">
        <v>1289</v>
      </c>
      <c r="I400" t="s">
        <v>1295</v>
      </c>
      <c r="J400" t="s">
        <v>1305</v>
      </c>
      <c r="K400" t="s">
        <v>1306</v>
      </c>
      <c r="L400" t="s">
        <v>1328</v>
      </c>
      <c r="M400">
        <v>1</v>
      </c>
      <c r="N400">
        <v>0.1</v>
      </c>
      <c r="O400">
        <v>106.4</v>
      </c>
      <c r="P400">
        <v>10.17</v>
      </c>
      <c r="Q400" t="s">
        <v>1331</v>
      </c>
      <c r="R400" t="b">
        <f t="shared" si="19"/>
        <v>0</v>
      </c>
      <c r="S400" t="b">
        <f t="shared" si="20"/>
        <v>0</v>
      </c>
      <c r="T400" t="b">
        <f t="shared" si="21"/>
        <v>0</v>
      </c>
    </row>
    <row r="401" spans="1:20" x14ac:dyDescent="0.3">
      <c r="A401">
        <v>400</v>
      </c>
      <c r="B401" t="s">
        <v>416</v>
      </c>
      <c r="C401" s="2">
        <v>45775</v>
      </c>
      <c r="D401" s="2">
        <v>45779</v>
      </c>
      <c r="E401" t="s">
        <v>1017</v>
      </c>
      <c r="F401" t="s">
        <v>1217</v>
      </c>
      <c r="G401" t="s">
        <v>1270</v>
      </c>
      <c r="H401" t="s">
        <v>1287</v>
      </c>
      <c r="I401" t="s">
        <v>1296</v>
      </c>
      <c r="J401" t="s">
        <v>1304</v>
      </c>
      <c r="K401" t="s">
        <v>1306</v>
      </c>
      <c r="L401" t="s">
        <v>1328</v>
      </c>
      <c r="M401">
        <v>5</v>
      </c>
      <c r="N401">
        <v>0.15</v>
      </c>
      <c r="O401">
        <v>525.55999999999995</v>
      </c>
      <c r="P401">
        <v>52.16</v>
      </c>
      <c r="Q401" t="s">
        <v>1331</v>
      </c>
      <c r="R401" t="b">
        <f t="shared" si="19"/>
        <v>0</v>
      </c>
      <c r="S401" t="b">
        <f t="shared" si="20"/>
        <v>0</v>
      </c>
      <c r="T401" t="b">
        <f t="shared" si="21"/>
        <v>0</v>
      </c>
    </row>
    <row r="402" spans="1:20" x14ac:dyDescent="0.3">
      <c r="A402">
        <v>401</v>
      </c>
      <c r="B402" t="s">
        <v>417</v>
      </c>
      <c r="C402" s="2">
        <v>45890</v>
      </c>
      <c r="D402" s="2">
        <v>45893</v>
      </c>
      <c r="E402" t="s">
        <v>1017</v>
      </c>
      <c r="F402" t="s">
        <v>1215</v>
      </c>
      <c r="G402" t="s">
        <v>1280</v>
      </c>
      <c r="H402" t="s">
        <v>1287</v>
      </c>
      <c r="I402" t="s">
        <v>1301</v>
      </c>
      <c r="J402" t="s">
        <v>1303</v>
      </c>
      <c r="K402" t="s">
        <v>1308</v>
      </c>
      <c r="L402" t="s">
        <v>1312</v>
      </c>
      <c r="M402">
        <v>2</v>
      </c>
      <c r="N402">
        <v>0</v>
      </c>
      <c r="O402">
        <v>2497.42</v>
      </c>
      <c r="P402">
        <v>576.75</v>
      </c>
      <c r="Q402" t="s">
        <v>1331</v>
      </c>
      <c r="R402" t="b">
        <f t="shared" si="19"/>
        <v>0</v>
      </c>
      <c r="S402" t="b">
        <f t="shared" si="20"/>
        <v>0</v>
      </c>
      <c r="T402" t="b">
        <f t="shared" si="21"/>
        <v>0</v>
      </c>
    </row>
    <row r="403" spans="1:20" x14ac:dyDescent="0.3">
      <c r="A403">
        <v>402</v>
      </c>
      <c r="B403" t="s">
        <v>418</v>
      </c>
      <c r="C403" s="2">
        <v>45706</v>
      </c>
      <c r="D403" s="2">
        <v>45710</v>
      </c>
      <c r="E403" t="s">
        <v>1018</v>
      </c>
      <c r="F403" t="s">
        <v>1169</v>
      </c>
      <c r="G403" t="s">
        <v>1278</v>
      </c>
      <c r="H403" t="s">
        <v>1288</v>
      </c>
      <c r="I403" t="s">
        <v>1290</v>
      </c>
      <c r="J403" t="s">
        <v>1302</v>
      </c>
      <c r="K403" t="s">
        <v>1306</v>
      </c>
      <c r="L403" t="s">
        <v>1328</v>
      </c>
      <c r="M403">
        <v>2</v>
      </c>
      <c r="N403">
        <v>0.2</v>
      </c>
      <c r="O403">
        <v>200.87</v>
      </c>
      <c r="P403">
        <v>26.36</v>
      </c>
      <c r="Q403" t="s">
        <v>1333</v>
      </c>
      <c r="R403" t="b">
        <f t="shared" si="19"/>
        <v>0</v>
      </c>
      <c r="S403" t="b">
        <f t="shared" si="20"/>
        <v>0</v>
      </c>
      <c r="T403" t="b">
        <f t="shared" si="21"/>
        <v>0</v>
      </c>
    </row>
    <row r="404" spans="1:20" x14ac:dyDescent="0.3">
      <c r="A404">
        <v>403</v>
      </c>
      <c r="B404" t="s">
        <v>419</v>
      </c>
      <c r="C404" s="2">
        <v>45936</v>
      </c>
      <c r="D404" s="2">
        <v>45937</v>
      </c>
      <c r="E404" t="s">
        <v>1017</v>
      </c>
      <c r="F404" t="s">
        <v>1031</v>
      </c>
      <c r="G404" t="s">
        <v>1284</v>
      </c>
      <c r="H404" t="s">
        <v>1288</v>
      </c>
      <c r="I404" t="s">
        <v>1295</v>
      </c>
      <c r="J404" t="s">
        <v>1305</v>
      </c>
      <c r="K404" t="s">
        <v>1306</v>
      </c>
      <c r="L404" t="s">
        <v>1328</v>
      </c>
      <c r="M404">
        <v>5</v>
      </c>
      <c r="N404">
        <v>0</v>
      </c>
      <c r="O404">
        <v>620.35</v>
      </c>
      <c r="P404">
        <v>182.27</v>
      </c>
      <c r="Q404" t="s">
        <v>1332</v>
      </c>
      <c r="R404" t="b">
        <f t="shared" si="19"/>
        <v>0</v>
      </c>
      <c r="S404" t="b">
        <f t="shared" si="20"/>
        <v>0</v>
      </c>
      <c r="T404" t="b">
        <f t="shared" si="21"/>
        <v>0</v>
      </c>
    </row>
    <row r="405" spans="1:20" x14ac:dyDescent="0.3">
      <c r="A405">
        <v>404</v>
      </c>
      <c r="B405" t="s">
        <v>420</v>
      </c>
      <c r="C405" s="2">
        <v>45791</v>
      </c>
      <c r="D405" s="2">
        <v>45796</v>
      </c>
      <c r="E405" t="s">
        <v>1017</v>
      </c>
      <c r="F405" t="s">
        <v>1202</v>
      </c>
      <c r="G405" t="s">
        <v>1272</v>
      </c>
      <c r="H405" t="s">
        <v>1287</v>
      </c>
      <c r="I405" t="s">
        <v>1296</v>
      </c>
      <c r="J405" t="s">
        <v>1304</v>
      </c>
      <c r="K405" t="s">
        <v>1307</v>
      </c>
      <c r="L405" t="s">
        <v>1314</v>
      </c>
      <c r="M405">
        <v>1</v>
      </c>
      <c r="N405">
        <v>0.1</v>
      </c>
      <c r="O405">
        <v>841.25</v>
      </c>
      <c r="P405">
        <v>262.41000000000003</v>
      </c>
      <c r="Q405" t="s">
        <v>1333</v>
      </c>
      <c r="R405" t="b">
        <f t="shared" si="19"/>
        <v>0</v>
      </c>
      <c r="S405" t="b">
        <f t="shared" si="20"/>
        <v>0</v>
      </c>
      <c r="T405" t="b">
        <f t="shared" si="21"/>
        <v>0</v>
      </c>
    </row>
    <row r="406" spans="1:20" x14ac:dyDescent="0.3">
      <c r="A406">
        <v>405</v>
      </c>
      <c r="B406" t="s">
        <v>421</v>
      </c>
      <c r="C406" s="2">
        <v>45792</v>
      </c>
      <c r="D406" s="2">
        <v>45795</v>
      </c>
      <c r="E406" t="s">
        <v>1018</v>
      </c>
      <c r="F406" t="s">
        <v>1047</v>
      </c>
      <c r="G406" t="s">
        <v>1273</v>
      </c>
      <c r="H406" t="s">
        <v>1287</v>
      </c>
      <c r="I406" t="s">
        <v>1290</v>
      </c>
      <c r="J406" t="s">
        <v>1302</v>
      </c>
      <c r="K406" t="s">
        <v>1308</v>
      </c>
      <c r="L406" t="s">
        <v>1312</v>
      </c>
      <c r="M406">
        <v>4</v>
      </c>
      <c r="N406">
        <v>0</v>
      </c>
      <c r="O406">
        <v>5289.73</v>
      </c>
      <c r="P406">
        <v>1783.34</v>
      </c>
      <c r="Q406" t="s">
        <v>1331</v>
      </c>
      <c r="R406" t="b">
        <f t="shared" si="19"/>
        <v>0</v>
      </c>
      <c r="S406" t="b">
        <f t="shared" si="20"/>
        <v>0</v>
      </c>
      <c r="T406" t="b">
        <f t="shared" si="21"/>
        <v>0</v>
      </c>
    </row>
    <row r="407" spans="1:20" x14ac:dyDescent="0.3">
      <c r="A407">
        <v>406</v>
      </c>
      <c r="B407" t="s">
        <v>422</v>
      </c>
      <c r="C407" s="2">
        <v>45985</v>
      </c>
      <c r="D407" s="2">
        <v>45987</v>
      </c>
      <c r="E407" t="s">
        <v>1019</v>
      </c>
      <c r="F407" t="s">
        <v>1022</v>
      </c>
      <c r="G407" t="s">
        <v>1270</v>
      </c>
      <c r="H407" t="s">
        <v>1289</v>
      </c>
      <c r="I407" t="s">
        <v>1298</v>
      </c>
      <c r="J407" t="s">
        <v>1303</v>
      </c>
      <c r="K407" t="s">
        <v>1309</v>
      </c>
      <c r="L407" t="s">
        <v>1325</v>
      </c>
      <c r="M407">
        <v>3</v>
      </c>
      <c r="N407">
        <v>0.2</v>
      </c>
      <c r="O407">
        <v>3169.64</v>
      </c>
      <c r="P407">
        <v>414.15</v>
      </c>
      <c r="Q407" t="s">
        <v>1333</v>
      </c>
      <c r="R407" t="b">
        <f t="shared" si="19"/>
        <v>0</v>
      </c>
      <c r="S407" t="b">
        <f t="shared" si="20"/>
        <v>0</v>
      </c>
      <c r="T407" t="b">
        <f t="shared" si="21"/>
        <v>0</v>
      </c>
    </row>
    <row r="408" spans="1:20" x14ac:dyDescent="0.3">
      <c r="A408">
        <v>407</v>
      </c>
      <c r="B408" t="s">
        <v>423</v>
      </c>
      <c r="C408" s="2">
        <v>45880</v>
      </c>
      <c r="D408" s="2">
        <v>45883</v>
      </c>
      <c r="E408" t="s">
        <v>1017</v>
      </c>
      <c r="F408" t="s">
        <v>1113</v>
      </c>
      <c r="G408" t="s">
        <v>1270</v>
      </c>
      <c r="H408" t="s">
        <v>1288</v>
      </c>
      <c r="I408" t="s">
        <v>1295</v>
      </c>
      <c r="J408" t="s">
        <v>1305</v>
      </c>
      <c r="K408" t="s">
        <v>1309</v>
      </c>
      <c r="L408" t="s">
        <v>1317</v>
      </c>
      <c r="M408">
        <v>3</v>
      </c>
      <c r="N408">
        <v>0</v>
      </c>
      <c r="O408">
        <v>2392.75</v>
      </c>
      <c r="P408">
        <v>879.14</v>
      </c>
      <c r="Q408" t="s">
        <v>1330</v>
      </c>
      <c r="R408" t="b">
        <f t="shared" si="19"/>
        <v>0</v>
      </c>
      <c r="S408" t="b">
        <f t="shared" si="20"/>
        <v>0</v>
      </c>
      <c r="T408" t="b">
        <f t="shared" si="21"/>
        <v>0</v>
      </c>
    </row>
    <row r="409" spans="1:20" x14ac:dyDescent="0.3">
      <c r="A409">
        <v>408</v>
      </c>
      <c r="B409" t="s">
        <v>424</v>
      </c>
      <c r="C409" s="2">
        <v>45919</v>
      </c>
      <c r="D409" s="2">
        <v>45924</v>
      </c>
      <c r="E409" t="s">
        <v>1018</v>
      </c>
      <c r="F409" t="s">
        <v>1099</v>
      </c>
      <c r="G409" t="s">
        <v>1278</v>
      </c>
      <c r="H409" t="s">
        <v>1287</v>
      </c>
      <c r="I409" t="s">
        <v>1293</v>
      </c>
      <c r="J409" t="s">
        <v>1304</v>
      </c>
      <c r="K409" t="s">
        <v>1308</v>
      </c>
      <c r="L409" t="s">
        <v>1319</v>
      </c>
      <c r="M409">
        <v>1</v>
      </c>
      <c r="N409">
        <v>0.15</v>
      </c>
      <c r="O409">
        <v>3974.31</v>
      </c>
      <c r="P409">
        <v>549.54999999999995</v>
      </c>
      <c r="Q409" t="s">
        <v>1331</v>
      </c>
      <c r="R409" t="b">
        <f t="shared" si="19"/>
        <v>0</v>
      </c>
      <c r="S409" t="b">
        <f t="shared" si="20"/>
        <v>0</v>
      </c>
      <c r="T409" t="b">
        <f t="shared" si="21"/>
        <v>0</v>
      </c>
    </row>
    <row r="410" spans="1:20" x14ac:dyDescent="0.3">
      <c r="A410">
        <v>409</v>
      </c>
      <c r="B410" t="s">
        <v>425</v>
      </c>
      <c r="C410" s="2">
        <v>46019</v>
      </c>
      <c r="D410" s="2">
        <v>46023</v>
      </c>
      <c r="E410" t="s">
        <v>1018</v>
      </c>
      <c r="F410" t="s">
        <v>1040</v>
      </c>
      <c r="G410" t="s">
        <v>1285</v>
      </c>
      <c r="H410" t="s">
        <v>1287</v>
      </c>
      <c r="I410" t="s">
        <v>1298</v>
      </c>
      <c r="J410" t="s">
        <v>1303</v>
      </c>
      <c r="K410" t="s">
        <v>1306</v>
      </c>
      <c r="L410" t="s">
        <v>1328</v>
      </c>
      <c r="M410">
        <v>3</v>
      </c>
      <c r="N410">
        <v>0</v>
      </c>
      <c r="O410">
        <v>360.24</v>
      </c>
      <c r="P410">
        <v>75.41</v>
      </c>
      <c r="Q410" t="s">
        <v>1330</v>
      </c>
      <c r="R410" t="b">
        <f t="shared" si="19"/>
        <v>0</v>
      </c>
      <c r="S410" t="b">
        <f t="shared" si="20"/>
        <v>0</v>
      </c>
      <c r="T410" t="b">
        <f t="shared" si="21"/>
        <v>0</v>
      </c>
    </row>
    <row r="411" spans="1:20" x14ac:dyDescent="0.3">
      <c r="A411">
        <v>410</v>
      </c>
      <c r="B411" t="s">
        <v>426</v>
      </c>
      <c r="C411" s="2">
        <v>45846</v>
      </c>
      <c r="D411" s="2">
        <v>45850</v>
      </c>
      <c r="E411" t="s">
        <v>1017</v>
      </c>
      <c r="F411" t="s">
        <v>1023</v>
      </c>
      <c r="G411" t="s">
        <v>1275</v>
      </c>
      <c r="H411" t="s">
        <v>1288</v>
      </c>
      <c r="I411" t="s">
        <v>1299</v>
      </c>
      <c r="J411" t="s">
        <v>1304</v>
      </c>
      <c r="K411" t="s">
        <v>1307</v>
      </c>
      <c r="L411" t="s">
        <v>1316</v>
      </c>
      <c r="M411">
        <v>3</v>
      </c>
      <c r="N411">
        <v>0.2</v>
      </c>
      <c r="O411">
        <v>1175.56</v>
      </c>
      <c r="P411">
        <v>-7.73</v>
      </c>
      <c r="Q411" t="s">
        <v>1331</v>
      </c>
      <c r="R411" t="b">
        <f t="shared" si="19"/>
        <v>0</v>
      </c>
      <c r="S411" t="b">
        <f t="shared" si="20"/>
        <v>0</v>
      </c>
      <c r="T411" t="b">
        <f t="shared" si="21"/>
        <v>0</v>
      </c>
    </row>
    <row r="412" spans="1:20" x14ac:dyDescent="0.3">
      <c r="A412">
        <v>411</v>
      </c>
      <c r="B412" t="s">
        <v>427</v>
      </c>
      <c r="C412" s="2">
        <v>45696</v>
      </c>
      <c r="D412" s="2">
        <v>45697</v>
      </c>
      <c r="E412" t="s">
        <v>1017</v>
      </c>
      <c r="F412" t="s">
        <v>1218</v>
      </c>
      <c r="G412" t="s">
        <v>1285</v>
      </c>
      <c r="H412" t="s">
        <v>1287</v>
      </c>
      <c r="I412" t="s">
        <v>1300</v>
      </c>
      <c r="J412" t="s">
        <v>1305</v>
      </c>
      <c r="K412" t="s">
        <v>1306</v>
      </c>
      <c r="L412" t="s">
        <v>1310</v>
      </c>
      <c r="M412">
        <v>1</v>
      </c>
      <c r="N412">
        <v>0.05</v>
      </c>
      <c r="O412">
        <v>613.12</v>
      </c>
      <c r="P412">
        <v>200.38</v>
      </c>
      <c r="Q412" t="s">
        <v>1331</v>
      </c>
      <c r="R412" t="b">
        <f t="shared" si="19"/>
        <v>0</v>
      </c>
      <c r="S412" t="b">
        <f t="shared" si="20"/>
        <v>0</v>
      </c>
      <c r="T412" t="b">
        <f t="shared" si="21"/>
        <v>0</v>
      </c>
    </row>
    <row r="413" spans="1:20" x14ac:dyDescent="0.3">
      <c r="A413">
        <v>412</v>
      </c>
      <c r="B413" t="s">
        <v>428</v>
      </c>
      <c r="C413" s="2">
        <v>45988</v>
      </c>
      <c r="D413" s="2">
        <v>45990</v>
      </c>
      <c r="E413" t="s">
        <v>1017</v>
      </c>
      <c r="F413" t="s">
        <v>1119</v>
      </c>
      <c r="G413" t="s">
        <v>1274</v>
      </c>
      <c r="H413" t="s">
        <v>1287</v>
      </c>
      <c r="I413" t="s">
        <v>1295</v>
      </c>
      <c r="J413" t="s">
        <v>1305</v>
      </c>
      <c r="K413" t="s">
        <v>1306</v>
      </c>
      <c r="L413" t="s">
        <v>1324</v>
      </c>
      <c r="M413">
        <v>1</v>
      </c>
      <c r="N413">
        <v>0.1</v>
      </c>
      <c r="O413">
        <v>80.209999999999994</v>
      </c>
      <c r="P413">
        <v>-250</v>
      </c>
      <c r="Q413" t="s">
        <v>1334</v>
      </c>
      <c r="R413" t="b">
        <f t="shared" si="19"/>
        <v>0</v>
      </c>
      <c r="S413" t="b">
        <f t="shared" si="20"/>
        <v>0</v>
      </c>
      <c r="T413" t="b">
        <f t="shared" si="21"/>
        <v>0</v>
      </c>
    </row>
    <row r="414" spans="1:20" x14ac:dyDescent="0.3">
      <c r="A414">
        <v>413</v>
      </c>
      <c r="B414" t="s">
        <v>429</v>
      </c>
      <c r="C414" s="2">
        <v>45903</v>
      </c>
      <c r="D414" s="2">
        <v>45905</v>
      </c>
      <c r="E414" t="s">
        <v>1017</v>
      </c>
      <c r="F414" t="s">
        <v>1030</v>
      </c>
      <c r="G414" t="s">
        <v>1270</v>
      </c>
      <c r="H414" t="s">
        <v>1287</v>
      </c>
      <c r="I414" t="s">
        <v>1298</v>
      </c>
      <c r="J414" t="s">
        <v>1303</v>
      </c>
      <c r="K414" t="s">
        <v>1309</v>
      </c>
      <c r="L414" t="s">
        <v>1317</v>
      </c>
      <c r="M414">
        <v>1</v>
      </c>
      <c r="N414">
        <v>0.1</v>
      </c>
      <c r="O414">
        <v>707.05</v>
      </c>
      <c r="P414">
        <v>161.25</v>
      </c>
      <c r="Q414" t="s">
        <v>1330</v>
      </c>
      <c r="R414" t="b">
        <f t="shared" si="19"/>
        <v>0</v>
      </c>
      <c r="S414" t="b">
        <f t="shared" si="20"/>
        <v>0</v>
      </c>
      <c r="T414" t="b">
        <f t="shared" si="21"/>
        <v>0</v>
      </c>
    </row>
    <row r="415" spans="1:20" x14ac:dyDescent="0.3">
      <c r="A415">
        <v>414</v>
      </c>
      <c r="B415" t="s">
        <v>430</v>
      </c>
      <c r="C415" s="2">
        <v>45746</v>
      </c>
      <c r="D415" s="2">
        <v>45750</v>
      </c>
      <c r="E415" t="s">
        <v>1017</v>
      </c>
      <c r="F415" t="s">
        <v>1130</v>
      </c>
      <c r="G415" t="s">
        <v>1268</v>
      </c>
      <c r="H415" t="s">
        <v>1287</v>
      </c>
      <c r="I415" t="s">
        <v>1297</v>
      </c>
      <c r="J415" t="s">
        <v>1304</v>
      </c>
      <c r="K415" t="s">
        <v>1307</v>
      </c>
      <c r="L415" t="s">
        <v>1311</v>
      </c>
      <c r="M415">
        <v>2</v>
      </c>
      <c r="N415">
        <v>0.05</v>
      </c>
      <c r="O415">
        <v>587.88</v>
      </c>
      <c r="P415">
        <v>135.16999999999999</v>
      </c>
      <c r="Q415" t="s">
        <v>1330</v>
      </c>
      <c r="R415" t="b">
        <f t="shared" si="19"/>
        <v>0</v>
      </c>
      <c r="S415" t="b">
        <f t="shared" si="20"/>
        <v>0</v>
      </c>
      <c r="T415" t="b">
        <f t="shared" si="21"/>
        <v>0</v>
      </c>
    </row>
    <row r="416" spans="1:20" x14ac:dyDescent="0.3">
      <c r="A416">
        <v>415</v>
      </c>
      <c r="B416" t="s">
        <v>431</v>
      </c>
      <c r="C416" s="2">
        <v>45839</v>
      </c>
      <c r="D416" s="2">
        <v>45844</v>
      </c>
      <c r="E416" t="s">
        <v>1017</v>
      </c>
      <c r="F416" t="s">
        <v>1130</v>
      </c>
      <c r="G416" t="s">
        <v>1285</v>
      </c>
      <c r="H416" t="s">
        <v>1289</v>
      </c>
      <c r="I416" t="s">
        <v>1294</v>
      </c>
      <c r="J416" t="s">
        <v>1305</v>
      </c>
      <c r="K416" t="s">
        <v>1309</v>
      </c>
      <c r="L416" t="s">
        <v>1325</v>
      </c>
      <c r="M416">
        <v>2</v>
      </c>
      <c r="N416">
        <v>0</v>
      </c>
      <c r="O416">
        <v>2550.56</v>
      </c>
      <c r="P416">
        <v>825.32</v>
      </c>
      <c r="Q416" t="s">
        <v>1332</v>
      </c>
      <c r="R416" t="b">
        <f t="shared" si="19"/>
        <v>0</v>
      </c>
      <c r="S416" t="b">
        <f t="shared" si="20"/>
        <v>0</v>
      </c>
      <c r="T416" t="b">
        <f t="shared" si="21"/>
        <v>0</v>
      </c>
    </row>
    <row r="417" spans="1:20" x14ac:dyDescent="0.3">
      <c r="A417">
        <v>416</v>
      </c>
      <c r="B417" t="s">
        <v>432</v>
      </c>
      <c r="C417" s="2">
        <v>45939</v>
      </c>
      <c r="D417" s="2">
        <v>45941</v>
      </c>
      <c r="E417" t="s">
        <v>1017</v>
      </c>
      <c r="F417" t="s">
        <v>1112</v>
      </c>
      <c r="G417" t="s">
        <v>1279</v>
      </c>
      <c r="H417" t="s">
        <v>1287</v>
      </c>
      <c r="I417" t="s">
        <v>1301</v>
      </c>
      <c r="J417" t="s">
        <v>1303</v>
      </c>
      <c r="K417" t="s">
        <v>1306</v>
      </c>
      <c r="L417" t="s">
        <v>1310</v>
      </c>
      <c r="M417">
        <v>3</v>
      </c>
      <c r="N417">
        <v>0</v>
      </c>
      <c r="O417">
        <v>1964.75</v>
      </c>
      <c r="P417">
        <v>706.57</v>
      </c>
      <c r="Q417" t="s">
        <v>1334</v>
      </c>
      <c r="R417" t="b">
        <f t="shared" si="19"/>
        <v>0</v>
      </c>
      <c r="S417" t="b">
        <f t="shared" si="20"/>
        <v>0</v>
      </c>
      <c r="T417" t="b">
        <f t="shared" si="21"/>
        <v>0</v>
      </c>
    </row>
    <row r="418" spans="1:20" x14ac:dyDescent="0.3">
      <c r="A418">
        <v>417</v>
      </c>
      <c r="B418" t="s">
        <v>433</v>
      </c>
      <c r="C418" s="2">
        <v>45835</v>
      </c>
      <c r="D418" s="2">
        <v>45837</v>
      </c>
      <c r="E418" t="s">
        <v>1017</v>
      </c>
      <c r="F418" t="s">
        <v>1050</v>
      </c>
      <c r="G418" t="s">
        <v>1271</v>
      </c>
      <c r="H418" t="s">
        <v>1287</v>
      </c>
      <c r="I418" t="s">
        <v>1297</v>
      </c>
      <c r="J418" t="s">
        <v>1304</v>
      </c>
      <c r="K418" t="s">
        <v>1308</v>
      </c>
      <c r="L418" t="s">
        <v>1326</v>
      </c>
      <c r="M418">
        <v>2</v>
      </c>
      <c r="N418">
        <v>0</v>
      </c>
      <c r="O418">
        <v>13964.86</v>
      </c>
      <c r="P418">
        <v>3411.06</v>
      </c>
      <c r="Q418" t="s">
        <v>1332</v>
      </c>
      <c r="R418" t="b">
        <f t="shared" si="19"/>
        <v>0</v>
      </c>
      <c r="S418" t="b">
        <f t="shared" si="20"/>
        <v>0</v>
      </c>
      <c r="T418" t="b">
        <f t="shared" si="21"/>
        <v>0</v>
      </c>
    </row>
    <row r="419" spans="1:20" x14ac:dyDescent="0.3">
      <c r="A419">
        <v>418</v>
      </c>
      <c r="B419" t="s">
        <v>434</v>
      </c>
      <c r="C419" s="2">
        <v>45878</v>
      </c>
      <c r="D419" s="2">
        <v>45883</v>
      </c>
      <c r="E419" t="s">
        <v>1019</v>
      </c>
      <c r="F419" t="s">
        <v>1070</v>
      </c>
      <c r="G419" t="s">
        <v>1280</v>
      </c>
      <c r="H419" t="s">
        <v>1287</v>
      </c>
      <c r="I419" t="s">
        <v>1291</v>
      </c>
      <c r="J419" t="s">
        <v>1302</v>
      </c>
      <c r="K419" t="s">
        <v>1306</v>
      </c>
      <c r="L419" t="s">
        <v>1321</v>
      </c>
      <c r="M419">
        <v>2</v>
      </c>
      <c r="N419">
        <v>0</v>
      </c>
      <c r="O419">
        <v>897.17</v>
      </c>
      <c r="P419">
        <v>312.54000000000002</v>
      </c>
      <c r="Q419" t="s">
        <v>1331</v>
      </c>
      <c r="R419" t="b">
        <f t="shared" si="19"/>
        <v>0</v>
      </c>
      <c r="S419" t="b">
        <f t="shared" si="20"/>
        <v>0</v>
      </c>
      <c r="T419" t="b">
        <f t="shared" si="21"/>
        <v>0</v>
      </c>
    </row>
    <row r="420" spans="1:20" x14ac:dyDescent="0.3">
      <c r="A420">
        <v>419</v>
      </c>
      <c r="B420" t="s">
        <v>435</v>
      </c>
      <c r="C420" s="2">
        <v>45957</v>
      </c>
      <c r="D420" s="2">
        <v>45961</v>
      </c>
      <c r="E420" t="s">
        <v>1017</v>
      </c>
      <c r="F420" t="s">
        <v>1219</v>
      </c>
      <c r="G420" t="s">
        <v>1285</v>
      </c>
      <c r="H420" t="s">
        <v>1287</v>
      </c>
      <c r="I420" t="s">
        <v>1300</v>
      </c>
      <c r="J420" t="s">
        <v>1305</v>
      </c>
      <c r="K420" t="s">
        <v>1307</v>
      </c>
      <c r="L420" t="s">
        <v>1314</v>
      </c>
      <c r="M420">
        <v>2</v>
      </c>
      <c r="N420">
        <v>0</v>
      </c>
      <c r="O420">
        <v>1776.81</v>
      </c>
      <c r="P420">
        <v>553.52</v>
      </c>
      <c r="Q420" t="s">
        <v>1332</v>
      </c>
      <c r="R420" t="b">
        <f t="shared" si="19"/>
        <v>0</v>
      </c>
      <c r="S420" t="b">
        <f t="shared" si="20"/>
        <v>0</v>
      </c>
      <c r="T420" t="b">
        <f t="shared" si="21"/>
        <v>0</v>
      </c>
    </row>
    <row r="421" spans="1:20" x14ac:dyDescent="0.3">
      <c r="A421">
        <v>420</v>
      </c>
      <c r="B421" t="s">
        <v>436</v>
      </c>
      <c r="C421" s="2">
        <v>45760</v>
      </c>
      <c r="D421" s="2">
        <v>45762</v>
      </c>
      <c r="E421" t="s">
        <v>1017</v>
      </c>
      <c r="F421" t="s">
        <v>1061</v>
      </c>
      <c r="G421" t="s">
        <v>1283</v>
      </c>
      <c r="H421" t="s">
        <v>1288</v>
      </c>
      <c r="I421" t="s">
        <v>1298</v>
      </c>
      <c r="J421" t="s">
        <v>1303</v>
      </c>
      <c r="K421" t="s">
        <v>1308</v>
      </c>
      <c r="L421" t="s">
        <v>1319</v>
      </c>
      <c r="M421">
        <v>5</v>
      </c>
      <c r="N421">
        <v>0</v>
      </c>
      <c r="O421">
        <v>22967.68</v>
      </c>
      <c r="P421">
        <v>4971.5</v>
      </c>
      <c r="Q421" t="s">
        <v>1331</v>
      </c>
      <c r="R421" t="b">
        <f t="shared" si="19"/>
        <v>0</v>
      </c>
      <c r="S421" t="b">
        <f t="shared" si="20"/>
        <v>0</v>
      </c>
      <c r="T421" t="b">
        <f t="shared" si="21"/>
        <v>0</v>
      </c>
    </row>
    <row r="422" spans="1:20" x14ac:dyDescent="0.3">
      <c r="A422">
        <v>421</v>
      </c>
      <c r="B422" t="s">
        <v>437</v>
      </c>
      <c r="C422" s="2">
        <v>45823</v>
      </c>
      <c r="D422" s="2">
        <v>45828</v>
      </c>
      <c r="E422" t="s">
        <v>1017</v>
      </c>
      <c r="F422" t="s">
        <v>1220</v>
      </c>
      <c r="G422" t="s">
        <v>1283</v>
      </c>
      <c r="H422" t="s">
        <v>1289</v>
      </c>
      <c r="I422" t="s">
        <v>1296</v>
      </c>
      <c r="J422" t="s">
        <v>1304</v>
      </c>
      <c r="K422" t="s">
        <v>1308</v>
      </c>
      <c r="L422" t="s">
        <v>1327</v>
      </c>
      <c r="M422">
        <v>1</v>
      </c>
      <c r="N422">
        <v>0.15</v>
      </c>
      <c r="O422">
        <v>1513.72</v>
      </c>
      <c r="P422">
        <v>311.18</v>
      </c>
      <c r="Q422" t="s">
        <v>1331</v>
      </c>
      <c r="R422" t="b">
        <f t="shared" si="19"/>
        <v>0</v>
      </c>
      <c r="S422" t="b">
        <f t="shared" si="20"/>
        <v>0</v>
      </c>
      <c r="T422" t="b">
        <f t="shared" si="21"/>
        <v>0</v>
      </c>
    </row>
    <row r="423" spans="1:20" x14ac:dyDescent="0.3">
      <c r="A423">
        <v>422</v>
      </c>
      <c r="B423" t="s">
        <v>438</v>
      </c>
      <c r="C423" s="2">
        <v>45718</v>
      </c>
      <c r="D423" s="2">
        <v>45723</v>
      </c>
      <c r="E423" t="s">
        <v>1017</v>
      </c>
      <c r="F423" t="s">
        <v>1045</v>
      </c>
      <c r="G423" t="s">
        <v>1278</v>
      </c>
      <c r="H423" t="s">
        <v>1288</v>
      </c>
      <c r="I423" t="s">
        <v>1293</v>
      </c>
      <c r="J423" t="s">
        <v>1304</v>
      </c>
      <c r="K423" t="s">
        <v>1306</v>
      </c>
      <c r="L423" t="s">
        <v>1324</v>
      </c>
      <c r="M423">
        <v>3</v>
      </c>
      <c r="N423">
        <v>0.1</v>
      </c>
      <c r="O423">
        <v>235.24</v>
      </c>
      <c r="P423">
        <v>16.66</v>
      </c>
      <c r="Q423" t="s">
        <v>1331</v>
      </c>
      <c r="R423" t="b">
        <f t="shared" si="19"/>
        <v>0</v>
      </c>
      <c r="S423" t="b">
        <f t="shared" si="20"/>
        <v>0</v>
      </c>
      <c r="T423" t="b">
        <f t="shared" si="21"/>
        <v>0</v>
      </c>
    </row>
    <row r="424" spans="1:20" x14ac:dyDescent="0.3">
      <c r="A424">
        <v>423</v>
      </c>
      <c r="B424" t="s">
        <v>439</v>
      </c>
      <c r="C424" s="2">
        <v>45733</v>
      </c>
      <c r="D424" s="2">
        <v>45737</v>
      </c>
      <c r="E424" t="s">
        <v>1017</v>
      </c>
      <c r="F424" t="s">
        <v>1135</v>
      </c>
      <c r="G424" t="s">
        <v>1275</v>
      </c>
      <c r="H424" t="s">
        <v>1287</v>
      </c>
      <c r="I424" t="s">
        <v>1293</v>
      </c>
      <c r="J424" t="s">
        <v>1304</v>
      </c>
      <c r="K424" t="s">
        <v>1308</v>
      </c>
      <c r="L424" t="s">
        <v>1327</v>
      </c>
      <c r="M424">
        <v>3</v>
      </c>
      <c r="N424">
        <v>0</v>
      </c>
      <c r="O424">
        <v>5289.02</v>
      </c>
      <c r="P424">
        <v>1430.91</v>
      </c>
      <c r="Q424" t="s">
        <v>1331</v>
      </c>
      <c r="R424" t="b">
        <f t="shared" si="19"/>
        <v>0</v>
      </c>
      <c r="S424" t="b">
        <f t="shared" si="20"/>
        <v>0</v>
      </c>
      <c r="T424" t="b">
        <f t="shared" si="21"/>
        <v>0</v>
      </c>
    </row>
    <row r="425" spans="1:20" x14ac:dyDescent="0.3">
      <c r="A425">
        <v>424</v>
      </c>
      <c r="B425" t="s">
        <v>440</v>
      </c>
      <c r="C425" s="2">
        <v>45951</v>
      </c>
      <c r="D425" s="2">
        <v>45955</v>
      </c>
      <c r="E425" t="s">
        <v>1017</v>
      </c>
      <c r="F425" t="s">
        <v>1183</v>
      </c>
      <c r="G425" t="s">
        <v>1275</v>
      </c>
      <c r="H425" t="s">
        <v>1288</v>
      </c>
      <c r="I425" t="s">
        <v>1301</v>
      </c>
      <c r="J425" t="s">
        <v>1303</v>
      </c>
      <c r="K425" t="s">
        <v>1308</v>
      </c>
      <c r="L425" t="s">
        <v>1326</v>
      </c>
      <c r="M425">
        <v>1</v>
      </c>
      <c r="N425">
        <v>0.1</v>
      </c>
      <c r="O425">
        <v>6425.77</v>
      </c>
      <c r="P425">
        <v>1511.45</v>
      </c>
      <c r="Q425" t="s">
        <v>1332</v>
      </c>
      <c r="R425" t="b">
        <f t="shared" si="19"/>
        <v>0</v>
      </c>
      <c r="S425" t="b">
        <f t="shared" si="20"/>
        <v>0</v>
      </c>
      <c r="T425" t="b">
        <f t="shared" si="21"/>
        <v>0</v>
      </c>
    </row>
    <row r="426" spans="1:20" x14ac:dyDescent="0.3">
      <c r="A426">
        <v>425</v>
      </c>
      <c r="B426" t="s">
        <v>441</v>
      </c>
      <c r="C426" s="2">
        <v>45737</v>
      </c>
      <c r="D426" s="2">
        <v>45738</v>
      </c>
      <c r="E426" t="s">
        <v>1017</v>
      </c>
      <c r="F426" t="s">
        <v>1221</v>
      </c>
      <c r="G426" t="s">
        <v>1285</v>
      </c>
      <c r="H426" t="s">
        <v>1287</v>
      </c>
      <c r="I426" t="s">
        <v>1290</v>
      </c>
      <c r="J426" t="s">
        <v>1302</v>
      </c>
      <c r="K426" t="s">
        <v>1309</v>
      </c>
      <c r="L426" t="s">
        <v>1329</v>
      </c>
      <c r="M426">
        <v>2</v>
      </c>
      <c r="N426">
        <v>0.2</v>
      </c>
      <c r="O426">
        <v>3128.88</v>
      </c>
      <c r="P426">
        <v>117.55</v>
      </c>
      <c r="Q426" t="s">
        <v>1332</v>
      </c>
      <c r="R426" t="b">
        <f t="shared" si="19"/>
        <v>0</v>
      </c>
      <c r="S426" t="b">
        <f t="shared" si="20"/>
        <v>0</v>
      </c>
      <c r="T426" t="b">
        <f t="shared" si="21"/>
        <v>0</v>
      </c>
    </row>
    <row r="427" spans="1:20" x14ac:dyDescent="0.3">
      <c r="A427">
        <v>426</v>
      </c>
      <c r="B427" t="s">
        <v>442</v>
      </c>
      <c r="C427" s="2">
        <v>45733</v>
      </c>
      <c r="D427" s="2">
        <v>45738</v>
      </c>
      <c r="E427" t="s">
        <v>1017</v>
      </c>
      <c r="F427" t="s">
        <v>1159</v>
      </c>
      <c r="G427" t="s">
        <v>1276</v>
      </c>
      <c r="H427" t="s">
        <v>1287</v>
      </c>
      <c r="I427" t="s">
        <v>1294</v>
      </c>
      <c r="J427" t="s">
        <v>1305</v>
      </c>
      <c r="K427" t="s">
        <v>1308</v>
      </c>
      <c r="L427" t="s">
        <v>1326</v>
      </c>
      <c r="M427">
        <v>5</v>
      </c>
      <c r="N427">
        <v>0.1</v>
      </c>
      <c r="O427">
        <v>31234.6</v>
      </c>
      <c r="P427">
        <v>3394.33</v>
      </c>
      <c r="Q427" t="s">
        <v>1330</v>
      </c>
      <c r="R427" t="b">
        <f t="shared" si="19"/>
        <v>0</v>
      </c>
      <c r="S427" t="b">
        <f t="shared" si="20"/>
        <v>0</v>
      </c>
      <c r="T427" t="b">
        <f t="shared" si="21"/>
        <v>0</v>
      </c>
    </row>
    <row r="428" spans="1:20" x14ac:dyDescent="0.3">
      <c r="A428">
        <v>427</v>
      </c>
      <c r="B428" t="s">
        <v>443</v>
      </c>
      <c r="C428" s="2">
        <v>45702</v>
      </c>
      <c r="D428" s="2">
        <v>45704</v>
      </c>
      <c r="E428" t="s">
        <v>1018</v>
      </c>
      <c r="F428" t="s">
        <v>1054</v>
      </c>
      <c r="G428" t="s">
        <v>1280</v>
      </c>
      <c r="H428" t="s">
        <v>1287</v>
      </c>
      <c r="I428" t="s">
        <v>1293</v>
      </c>
      <c r="J428" t="s">
        <v>1304</v>
      </c>
      <c r="K428" t="s">
        <v>1306</v>
      </c>
      <c r="L428" t="s">
        <v>1323</v>
      </c>
      <c r="M428">
        <v>4</v>
      </c>
      <c r="N428">
        <v>0.15</v>
      </c>
      <c r="O428">
        <v>592.15</v>
      </c>
      <c r="P428">
        <v>71.849999999999994</v>
      </c>
      <c r="Q428" t="s">
        <v>1331</v>
      </c>
      <c r="R428" t="b">
        <f t="shared" si="19"/>
        <v>0</v>
      </c>
      <c r="S428" t="b">
        <f t="shared" si="20"/>
        <v>0</v>
      </c>
      <c r="T428" t="b">
        <f t="shared" si="21"/>
        <v>0</v>
      </c>
    </row>
    <row r="429" spans="1:20" x14ac:dyDescent="0.3">
      <c r="A429">
        <v>428</v>
      </c>
      <c r="B429" t="s">
        <v>444</v>
      </c>
      <c r="C429" s="2">
        <v>45699</v>
      </c>
      <c r="D429" s="2">
        <v>45700</v>
      </c>
      <c r="E429" t="s">
        <v>1017</v>
      </c>
      <c r="F429" t="s">
        <v>1056</v>
      </c>
      <c r="G429" t="s">
        <v>1272</v>
      </c>
      <c r="H429" t="s">
        <v>1287</v>
      </c>
      <c r="I429" t="s">
        <v>1293</v>
      </c>
      <c r="J429" t="s">
        <v>1304</v>
      </c>
      <c r="K429" t="s">
        <v>1309</v>
      </c>
      <c r="L429" t="s">
        <v>1329</v>
      </c>
      <c r="M429">
        <v>3</v>
      </c>
      <c r="N429">
        <v>0</v>
      </c>
      <c r="O429">
        <v>5514.22</v>
      </c>
      <c r="P429">
        <v>966.71</v>
      </c>
      <c r="Q429" t="s">
        <v>1331</v>
      </c>
      <c r="R429" t="b">
        <f t="shared" si="19"/>
        <v>0</v>
      </c>
      <c r="S429" t="b">
        <f t="shared" si="20"/>
        <v>0</v>
      </c>
      <c r="T429" t="b">
        <f t="shared" si="21"/>
        <v>0</v>
      </c>
    </row>
    <row r="430" spans="1:20" x14ac:dyDescent="0.3">
      <c r="A430">
        <v>429</v>
      </c>
      <c r="B430" t="s">
        <v>445</v>
      </c>
      <c r="C430" s="2">
        <v>45715</v>
      </c>
      <c r="D430" s="2">
        <v>45716</v>
      </c>
      <c r="E430" t="s">
        <v>1019</v>
      </c>
      <c r="F430" t="s">
        <v>1164</v>
      </c>
      <c r="G430" t="s">
        <v>1272</v>
      </c>
      <c r="H430" t="s">
        <v>1288</v>
      </c>
      <c r="I430" t="s">
        <v>1298</v>
      </c>
      <c r="J430" t="s">
        <v>1303</v>
      </c>
      <c r="K430" t="s">
        <v>1307</v>
      </c>
      <c r="L430" t="s">
        <v>1315</v>
      </c>
      <c r="M430">
        <v>1</v>
      </c>
      <c r="N430">
        <v>0</v>
      </c>
      <c r="O430">
        <v>1743.01</v>
      </c>
      <c r="P430">
        <v>478.53</v>
      </c>
      <c r="Q430" t="s">
        <v>1331</v>
      </c>
      <c r="R430" t="b">
        <f t="shared" si="19"/>
        <v>0</v>
      </c>
      <c r="S430" t="b">
        <f t="shared" si="20"/>
        <v>0</v>
      </c>
      <c r="T430" t="b">
        <f t="shared" si="21"/>
        <v>0</v>
      </c>
    </row>
    <row r="431" spans="1:20" x14ac:dyDescent="0.3">
      <c r="A431">
        <v>430</v>
      </c>
      <c r="B431" t="s">
        <v>446</v>
      </c>
      <c r="C431" s="2">
        <v>45923</v>
      </c>
      <c r="D431" s="2">
        <v>45924</v>
      </c>
      <c r="E431" t="s">
        <v>1018</v>
      </c>
      <c r="F431" t="s">
        <v>1154</v>
      </c>
      <c r="G431" t="s">
        <v>1268</v>
      </c>
      <c r="H431" t="s">
        <v>1289</v>
      </c>
      <c r="I431" t="s">
        <v>1290</v>
      </c>
      <c r="J431" t="s">
        <v>1302</v>
      </c>
      <c r="K431" t="s">
        <v>1307</v>
      </c>
      <c r="L431" t="s">
        <v>1316</v>
      </c>
      <c r="M431">
        <v>2</v>
      </c>
      <c r="N431">
        <v>0.1</v>
      </c>
      <c r="O431">
        <v>933.58</v>
      </c>
      <c r="P431">
        <v>247.79</v>
      </c>
      <c r="Q431" t="s">
        <v>1333</v>
      </c>
      <c r="R431" t="b">
        <f t="shared" si="19"/>
        <v>0</v>
      </c>
      <c r="S431" t="b">
        <f t="shared" si="20"/>
        <v>0</v>
      </c>
      <c r="T431" t="b">
        <f t="shared" si="21"/>
        <v>0</v>
      </c>
    </row>
    <row r="432" spans="1:20" x14ac:dyDescent="0.3">
      <c r="A432">
        <v>431</v>
      </c>
      <c r="B432" t="s">
        <v>447</v>
      </c>
      <c r="C432" s="2">
        <v>45855</v>
      </c>
      <c r="D432" s="2">
        <v>45856</v>
      </c>
      <c r="E432" t="s">
        <v>1019</v>
      </c>
      <c r="F432" t="s">
        <v>1222</v>
      </c>
      <c r="G432" t="s">
        <v>1270</v>
      </c>
      <c r="H432" t="s">
        <v>1288</v>
      </c>
      <c r="I432" t="s">
        <v>1291</v>
      </c>
      <c r="J432" t="s">
        <v>1302</v>
      </c>
      <c r="K432" t="s">
        <v>1306</v>
      </c>
      <c r="L432" t="s">
        <v>1323</v>
      </c>
      <c r="M432">
        <v>1</v>
      </c>
      <c r="N432">
        <v>0.1</v>
      </c>
      <c r="O432">
        <v>158.41999999999999</v>
      </c>
      <c r="P432">
        <v>32.24</v>
      </c>
      <c r="Q432" t="s">
        <v>1331</v>
      </c>
      <c r="R432" t="b">
        <f t="shared" si="19"/>
        <v>0</v>
      </c>
      <c r="S432" t="b">
        <f t="shared" si="20"/>
        <v>0</v>
      </c>
      <c r="T432" t="b">
        <f t="shared" si="21"/>
        <v>0</v>
      </c>
    </row>
    <row r="433" spans="1:20" x14ac:dyDescent="0.3">
      <c r="A433">
        <v>432</v>
      </c>
      <c r="B433" t="s">
        <v>448</v>
      </c>
      <c r="C433" s="2">
        <v>45829</v>
      </c>
      <c r="D433" s="2">
        <v>45834</v>
      </c>
      <c r="E433" t="s">
        <v>1018</v>
      </c>
      <c r="F433" t="s">
        <v>1223</v>
      </c>
      <c r="G433" t="s">
        <v>1272</v>
      </c>
      <c r="H433" t="s">
        <v>1287</v>
      </c>
      <c r="I433" t="s">
        <v>1301</v>
      </c>
      <c r="J433" t="s">
        <v>1303</v>
      </c>
      <c r="K433" t="s">
        <v>1309</v>
      </c>
      <c r="L433" t="s">
        <v>1320</v>
      </c>
      <c r="M433">
        <v>1</v>
      </c>
      <c r="N433">
        <v>0</v>
      </c>
      <c r="O433">
        <v>1243.32</v>
      </c>
      <c r="P433">
        <v>386.7</v>
      </c>
      <c r="Q433" t="s">
        <v>1331</v>
      </c>
      <c r="R433" t="b">
        <f t="shared" si="19"/>
        <v>0</v>
      </c>
      <c r="S433" t="b">
        <f t="shared" si="20"/>
        <v>0</v>
      </c>
      <c r="T433" t="b">
        <f t="shared" si="21"/>
        <v>0</v>
      </c>
    </row>
    <row r="434" spans="1:20" x14ac:dyDescent="0.3">
      <c r="A434">
        <v>433</v>
      </c>
      <c r="B434" t="s">
        <v>449</v>
      </c>
      <c r="C434" s="2">
        <v>45775</v>
      </c>
      <c r="D434" s="2">
        <v>45777</v>
      </c>
      <c r="E434" t="s">
        <v>1017</v>
      </c>
      <c r="F434" t="s">
        <v>1093</v>
      </c>
      <c r="G434" t="s">
        <v>1278</v>
      </c>
      <c r="H434" t="s">
        <v>1287</v>
      </c>
      <c r="I434" t="s">
        <v>1293</v>
      </c>
      <c r="J434" t="s">
        <v>1304</v>
      </c>
      <c r="K434" t="s">
        <v>1307</v>
      </c>
      <c r="L434" t="s">
        <v>1315</v>
      </c>
      <c r="M434">
        <v>4</v>
      </c>
      <c r="N434">
        <v>0.15</v>
      </c>
      <c r="O434">
        <v>6398.42</v>
      </c>
      <c r="P434">
        <v>1163.27</v>
      </c>
      <c r="Q434" t="s">
        <v>1332</v>
      </c>
      <c r="R434" t="b">
        <f t="shared" si="19"/>
        <v>0</v>
      </c>
      <c r="S434" t="b">
        <f t="shared" si="20"/>
        <v>0</v>
      </c>
      <c r="T434" t="b">
        <f t="shared" si="21"/>
        <v>0</v>
      </c>
    </row>
    <row r="435" spans="1:20" x14ac:dyDescent="0.3">
      <c r="A435">
        <v>434</v>
      </c>
      <c r="B435" t="s">
        <v>450</v>
      </c>
      <c r="C435" s="2">
        <v>45696</v>
      </c>
      <c r="D435" s="2">
        <v>45700</v>
      </c>
      <c r="E435" t="s">
        <v>1017</v>
      </c>
      <c r="F435" t="s">
        <v>1224</v>
      </c>
      <c r="G435" t="s">
        <v>1285</v>
      </c>
      <c r="H435" t="s">
        <v>1289</v>
      </c>
      <c r="I435" t="s">
        <v>1298</v>
      </c>
      <c r="J435" t="s">
        <v>1303</v>
      </c>
      <c r="K435" t="s">
        <v>1308</v>
      </c>
      <c r="L435" t="s">
        <v>1326</v>
      </c>
      <c r="M435">
        <v>5</v>
      </c>
      <c r="N435">
        <v>0</v>
      </c>
      <c r="O435">
        <v>33584.629999999997</v>
      </c>
      <c r="P435">
        <v>11497.84</v>
      </c>
      <c r="Q435" t="s">
        <v>1331</v>
      </c>
      <c r="R435" t="b">
        <f t="shared" si="19"/>
        <v>0</v>
      </c>
      <c r="S435" t="b">
        <f t="shared" si="20"/>
        <v>0</v>
      </c>
      <c r="T435" t="b">
        <f t="shared" si="21"/>
        <v>0</v>
      </c>
    </row>
    <row r="436" spans="1:20" x14ac:dyDescent="0.3">
      <c r="A436">
        <v>435</v>
      </c>
      <c r="B436" t="s">
        <v>451</v>
      </c>
      <c r="C436" s="2">
        <v>45867</v>
      </c>
      <c r="D436" s="2">
        <v>45868</v>
      </c>
      <c r="E436" t="s">
        <v>1017</v>
      </c>
      <c r="F436" t="s">
        <v>1178</v>
      </c>
      <c r="G436" t="s">
        <v>1271</v>
      </c>
      <c r="H436" t="s">
        <v>1287</v>
      </c>
      <c r="I436" t="s">
        <v>1293</v>
      </c>
      <c r="J436" t="s">
        <v>1304</v>
      </c>
      <c r="K436" t="s">
        <v>1309</v>
      </c>
      <c r="L436" t="s">
        <v>1320</v>
      </c>
      <c r="M436">
        <v>1</v>
      </c>
      <c r="N436">
        <v>0.15</v>
      </c>
      <c r="O436">
        <v>1055.01</v>
      </c>
      <c r="P436">
        <v>115.67</v>
      </c>
      <c r="Q436" t="s">
        <v>1331</v>
      </c>
      <c r="R436" t="b">
        <f t="shared" si="19"/>
        <v>0</v>
      </c>
      <c r="S436" t="b">
        <f t="shared" si="20"/>
        <v>0</v>
      </c>
      <c r="T436" t="b">
        <f t="shared" si="21"/>
        <v>0</v>
      </c>
    </row>
    <row r="437" spans="1:20" x14ac:dyDescent="0.3">
      <c r="A437">
        <v>436</v>
      </c>
      <c r="B437" t="s">
        <v>452</v>
      </c>
      <c r="C437" s="2">
        <v>45733</v>
      </c>
      <c r="D437" s="2">
        <v>45737</v>
      </c>
      <c r="E437" t="s">
        <v>1017</v>
      </c>
      <c r="F437" t="s">
        <v>1069</v>
      </c>
      <c r="G437" t="s">
        <v>1274</v>
      </c>
      <c r="H437" t="s">
        <v>1287</v>
      </c>
      <c r="I437" t="s">
        <v>1296</v>
      </c>
      <c r="J437" t="s">
        <v>1304</v>
      </c>
      <c r="K437" t="s">
        <v>1309</v>
      </c>
      <c r="L437" t="s">
        <v>1313</v>
      </c>
      <c r="M437">
        <v>2</v>
      </c>
      <c r="N437">
        <v>0.05</v>
      </c>
      <c r="O437">
        <v>2773.56</v>
      </c>
      <c r="P437">
        <v>780.26</v>
      </c>
      <c r="Q437" t="s">
        <v>1333</v>
      </c>
      <c r="R437" t="b">
        <f t="shared" si="19"/>
        <v>0</v>
      </c>
      <c r="S437" t="b">
        <f t="shared" si="20"/>
        <v>0</v>
      </c>
      <c r="T437" t="b">
        <f t="shared" si="21"/>
        <v>0</v>
      </c>
    </row>
    <row r="438" spans="1:20" x14ac:dyDescent="0.3">
      <c r="A438">
        <v>437</v>
      </c>
      <c r="B438" t="s">
        <v>453</v>
      </c>
      <c r="C438" s="2">
        <v>45739</v>
      </c>
      <c r="D438" s="2">
        <v>45743</v>
      </c>
      <c r="E438" t="s">
        <v>1018</v>
      </c>
      <c r="F438" t="s">
        <v>1055</v>
      </c>
      <c r="G438" t="s">
        <v>1269</v>
      </c>
      <c r="H438" t="s">
        <v>1287</v>
      </c>
      <c r="I438" t="s">
        <v>1291</v>
      </c>
      <c r="J438" t="s">
        <v>1302</v>
      </c>
      <c r="K438" t="s">
        <v>1307</v>
      </c>
      <c r="L438" t="s">
        <v>1322</v>
      </c>
      <c r="M438">
        <v>4</v>
      </c>
      <c r="N438">
        <v>0</v>
      </c>
      <c r="O438">
        <v>2782.05</v>
      </c>
      <c r="P438">
        <v>530.80999999999995</v>
      </c>
      <c r="Q438" t="s">
        <v>1331</v>
      </c>
      <c r="R438" t="b">
        <f t="shared" si="19"/>
        <v>0</v>
      </c>
      <c r="S438" t="b">
        <f t="shared" si="20"/>
        <v>0</v>
      </c>
      <c r="T438" t="b">
        <f t="shared" si="21"/>
        <v>0</v>
      </c>
    </row>
    <row r="439" spans="1:20" x14ac:dyDescent="0.3">
      <c r="A439">
        <v>438</v>
      </c>
      <c r="B439" t="s">
        <v>454</v>
      </c>
      <c r="C439" s="2">
        <v>45877</v>
      </c>
      <c r="D439" s="2">
        <v>45881</v>
      </c>
      <c r="E439" t="s">
        <v>1018</v>
      </c>
      <c r="F439" t="s">
        <v>1053</v>
      </c>
      <c r="G439" t="s">
        <v>1281</v>
      </c>
      <c r="H439" t="s">
        <v>1287</v>
      </c>
      <c r="I439" t="s">
        <v>1300</v>
      </c>
      <c r="J439" t="s">
        <v>1305</v>
      </c>
      <c r="K439" t="s">
        <v>1308</v>
      </c>
      <c r="L439" t="s">
        <v>1318</v>
      </c>
      <c r="M439">
        <v>5</v>
      </c>
      <c r="N439">
        <v>0.25</v>
      </c>
      <c r="O439">
        <v>21317.11</v>
      </c>
      <c r="P439">
        <v>2494.09</v>
      </c>
      <c r="Q439" t="s">
        <v>1331</v>
      </c>
      <c r="R439" t="b">
        <f t="shared" si="19"/>
        <v>0</v>
      </c>
      <c r="S439" t="b">
        <f t="shared" si="20"/>
        <v>0</v>
      </c>
      <c r="T439" t="b">
        <f t="shared" si="21"/>
        <v>0</v>
      </c>
    </row>
    <row r="440" spans="1:20" x14ac:dyDescent="0.3">
      <c r="A440">
        <v>439</v>
      </c>
      <c r="B440" t="s">
        <v>455</v>
      </c>
      <c r="C440" s="2">
        <v>45874</v>
      </c>
      <c r="D440" s="2">
        <v>45875</v>
      </c>
      <c r="E440" t="s">
        <v>1019</v>
      </c>
      <c r="F440" t="s">
        <v>1086</v>
      </c>
      <c r="G440" t="s">
        <v>1269</v>
      </c>
      <c r="H440" t="s">
        <v>1287</v>
      </c>
      <c r="I440" t="s">
        <v>1301</v>
      </c>
      <c r="J440" t="s">
        <v>1303</v>
      </c>
      <c r="K440" t="s">
        <v>1309</v>
      </c>
      <c r="L440" t="s">
        <v>1320</v>
      </c>
      <c r="M440">
        <v>1</v>
      </c>
      <c r="N440">
        <v>0.2</v>
      </c>
      <c r="O440">
        <v>982.92</v>
      </c>
      <c r="P440">
        <v>228.05</v>
      </c>
      <c r="Q440" t="s">
        <v>1332</v>
      </c>
      <c r="R440" t="b">
        <f t="shared" si="19"/>
        <v>0</v>
      </c>
      <c r="S440" t="b">
        <f t="shared" si="20"/>
        <v>0</v>
      </c>
      <c r="T440" t="b">
        <f t="shared" si="21"/>
        <v>0</v>
      </c>
    </row>
    <row r="441" spans="1:20" x14ac:dyDescent="0.3">
      <c r="A441">
        <v>440</v>
      </c>
      <c r="B441" t="s">
        <v>456</v>
      </c>
      <c r="C441" s="2">
        <v>45674</v>
      </c>
      <c r="D441" s="2">
        <v>45678</v>
      </c>
      <c r="E441" t="s">
        <v>1018</v>
      </c>
      <c r="F441" t="s">
        <v>1045</v>
      </c>
      <c r="G441" t="s">
        <v>1274</v>
      </c>
      <c r="H441" t="s">
        <v>1288</v>
      </c>
      <c r="I441" t="s">
        <v>1295</v>
      </c>
      <c r="J441" t="s">
        <v>1305</v>
      </c>
      <c r="K441" t="s">
        <v>1306</v>
      </c>
      <c r="L441" t="s">
        <v>1328</v>
      </c>
      <c r="M441">
        <v>2</v>
      </c>
      <c r="N441">
        <v>0.1</v>
      </c>
      <c r="O441">
        <v>213.95</v>
      </c>
      <c r="P441">
        <v>65.02</v>
      </c>
      <c r="Q441" t="s">
        <v>1331</v>
      </c>
      <c r="R441" t="b">
        <f t="shared" si="19"/>
        <v>0</v>
      </c>
      <c r="S441" t="b">
        <f t="shared" si="20"/>
        <v>0</v>
      </c>
      <c r="T441" t="b">
        <f t="shared" si="21"/>
        <v>0</v>
      </c>
    </row>
    <row r="442" spans="1:20" x14ac:dyDescent="0.3">
      <c r="A442">
        <v>441</v>
      </c>
      <c r="B442" t="s">
        <v>457</v>
      </c>
      <c r="C442" s="2">
        <v>45735</v>
      </c>
      <c r="D442" s="2">
        <v>45737</v>
      </c>
      <c r="E442" t="s">
        <v>1019</v>
      </c>
      <c r="F442" t="s">
        <v>1040</v>
      </c>
      <c r="G442" t="s">
        <v>1270</v>
      </c>
      <c r="H442" t="s">
        <v>1287</v>
      </c>
      <c r="I442" t="s">
        <v>1296</v>
      </c>
      <c r="J442" t="s">
        <v>1304</v>
      </c>
      <c r="K442" t="s">
        <v>1308</v>
      </c>
      <c r="L442" t="s">
        <v>1326</v>
      </c>
      <c r="M442">
        <v>1</v>
      </c>
      <c r="N442">
        <v>0.2</v>
      </c>
      <c r="O442">
        <v>5552.95</v>
      </c>
      <c r="P442">
        <v>780.1</v>
      </c>
      <c r="Q442" t="s">
        <v>1331</v>
      </c>
      <c r="R442" t="b">
        <f t="shared" si="19"/>
        <v>0</v>
      </c>
      <c r="S442" t="b">
        <f t="shared" si="20"/>
        <v>0</v>
      </c>
      <c r="T442" t="b">
        <f t="shared" si="21"/>
        <v>0</v>
      </c>
    </row>
    <row r="443" spans="1:20" x14ac:dyDescent="0.3">
      <c r="A443">
        <v>442</v>
      </c>
      <c r="B443" t="s">
        <v>458</v>
      </c>
      <c r="C443" s="2">
        <v>45795</v>
      </c>
      <c r="D443" s="2">
        <v>45796</v>
      </c>
      <c r="E443" t="s">
        <v>1018</v>
      </c>
      <c r="F443" t="s">
        <v>1027</v>
      </c>
      <c r="G443" t="s">
        <v>1280</v>
      </c>
      <c r="H443" t="s">
        <v>1287</v>
      </c>
      <c r="I443" t="s">
        <v>1292</v>
      </c>
      <c r="J443" t="s">
        <v>1303</v>
      </c>
      <c r="K443" t="s">
        <v>1306</v>
      </c>
      <c r="L443" t="s">
        <v>1323</v>
      </c>
      <c r="M443">
        <v>1</v>
      </c>
      <c r="N443">
        <v>0.2</v>
      </c>
      <c r="O443">
        <v>140.69999999999999</v>
      </c>
      <c r="P443">
        <v>1.73</v>
      </c>
      <c r="Q443" t="s">
        <v>1331</v>
      </c>
      <c r="R443" t="b">
        <f t="shared" si="19"/>
        <v>0</v>
      </c>
      <c r="S443" t="b">
        <f t="shared" si="20"/>
        <v>0</v>
      </c>
      <c r="T443" t="b">
        <f t="shared" si="21"/>
        <v>0</v>
      </c>
    </row>
    <row r="444" spans="1:20" x14ac:dyDescent="0.3">
      <c r="A444">
        <v>443</v>
      </c>
      <c r="B444" t="s">
        <v>459</v>
      </c>
      <c r="C444" s="2">
        <v>45825</v>
      </c>
      <c r="D444" s="2">
        <v>45828</v>
      </c>
      <c r="E444" t="s">
        <v>1018</v>
      </c>
      <c r="F444" t="s">
        <v>1225</v>
      </c>
      <c r="G444" t="s">
        <v>1284</v>
      </c>
      <c r="H444" t="s">
        <v>1289</v>
      </c>
      <c r="I444" t="s">
        <v>1296</v>
      </c>
      <c r="J444" t="s">
        <v>1304</v>
      </c>
      <c r="K444" t="s">
        <v>1307</v>
      </c>
      <c r="L444" t="s">
        <v>1322</v>
      </c>
      <c r="M444">
        <v>3</v>
      </c>
      <c r="N444">
        <v>0</v>
      </c>
      <c r="O444">
        <v>2048.1</v>
      </c>
      <c r="P444">
        <v>535.77</v>
      </c>
      <c r="Q444" t="s">
        <v>1331</v>
      </c>
      <c r="R444" t="b">
        <f t="shared" si="19"/>
        <v>0</v>
      </c>
      <c r="S444" t="b">
        <f t="shared" si="20"/>
        <v>0</v>
      </c>
      <c r="T444" t="b">
        <f t="shared" si="21"/>
        <v>0</v>
      </c>
    </row>
    <row r="445" spans="1:20" x14ac:dyDescent="0.3">
      <c r="A445">
        <v>444</v>
      </c>
      <c r="B445" t="s">
        <v>460</v>
      </c>
      <c r="C445" s="2">
        <v>45734</v>
      </c>
      <c r="D445" s="2">
        <v>45738</v>
      </c>
      <c r="E445" t="s">
        <v>1018</v>
      </c>
      <c r="F445" t="s">
        <v>1167</v>
      </c>
      <c r="G445" t="s">
        <v>1271</v>
      </c>
      <c r="H445" t="s">
        <v>1287</v>
      </c>
      <c r="I445" t="s">
        <v>1296</v>
      </c>
      <c r="J445" t="s">
        <v>1304</v>
      </c>
      <c r="K445" t="s">
        <v>1308</v>
      </c>
      <c r="L445" t="s">
        <v>1318</v>
      </c>
      <c r="M445">
        <v>2</v>
      </c>
      <c r="N445">
        <v>0.25</v>
      </c>
      <c r="O445">
        <v>8022.36</v>
      </c>
      <c r="P445">
        <v>816.42</v>
      </c>
      <c r="Q445" t="s">
        <v>1334</v>
      </c>
      <c r="R445" t="b">
        <f t="shared" si="19"/>
        <v>0</v>
      </c>
      <c r="S445" t="b">
        <f t="shared" si="20"/>
        <v>0</v>
      </c>
      <c r="T445" t="b">
        <f t="shared" si="21"/>
        <v>0</v>
      </c>
    </row>
    <row r="446" spans="1:20" x14ac:dyDescent="0.3">
      <c r="A446">
        <v>445</v>
      </c>
      <c r="B446" t="s">
        <v>461</v>
      </c>
      <c r="C446" s="2">
        <v>45670</v>
      </c>
      <c r="D446" s="2">
        <v>45671</v>
      </c>
      <c r="E446" t="s">
        <v>1017</v>
      </c>
      <c r="F446" t="s">
        <v>1226</v>
      </c>
      <c r="G446" t="s">
        <v>1277</v>
      </c>
      <c r="H446" t="s">
        <v>1287</v>
      </c>
      <c r="I446" t="s">
        <v>1300</v>
      </c>
      <c r="J446" t="s">
        <v>1305</v>
      </c>
      <c r="K446" t="s">
        <v>1307</v>
      </c>
      <c r="L446" t="s">
        <v>1314</v>
      </c>
      <c r="M446">
        <v>4</v>
      </c>
      <c r="N446">
        <v>0.2</v>
      </c>
      <c r="O446">
        <v>2763</v>
      </c>
      <c r="P446">
        <v>124.27</v>
      </c>
      <c r="Q446" t="s">
        <v>1333</v>
      </c>
      <c r="R446" t="b">
        <f t="shared" si="19"/>
        <v>0</v>
      </c>
      <c r="S446" t="b">
        <f t="shared" si="20"/>
        <v>0</v>
      </c>
      <c r="T446" t="b">
        <f t="shared" si="21"/>
        <v>0</v>
      </c>
    </row>
    <row r="447" spans="1:20" x14ac:dyDescent="0.3">
      <c r="A447">
        <v>446</v>
      </c>
      <c r="B447" t="s">
        <v>462</v>
      </c>
      <c r="C447" s="2">
        <v>45984</v>
      </c>
      <c r="D447" s="2">
        <v>45989</v>
      </c>
      <c r="E447" t="s">
        <v>1017</v>
      </c>
      <c r="F447" t="s">
        <v>1192</v>
      </c>
      <c r="G447" t="s">
        <v>1281</v>
      </c>
      <c r="H447" t="s">
        <v>1287</v>
      </c>
      <c r="I447" t="s">
        <v>1296</v>
      </c>
      <c r="J447" t="s">
        <v>1304</v>
      </c>
      <c r="K447" t="s">
        <v>1308</v>
      </c>
      <c r="L447" t="s">
        <v>1319</v>
      </c>
      <c r="M447">
        <v>1</v>
      </c>
      <c r="N447">
        <v>0.1</v>
      </c>
      <c r="O447">
        <v>4167.79</v>
      </c>
      <c r="P447">
        <v>735.35</v>
      </c>
      <c r="Q447" t="s">
        <v>1331</v>
      </c>
      <c r="R447" t="b">
        <f t="shared" si="19"/>
        <v>0</v>
      </c>
      <c r="S447" t="b">
        <f t="shared" si="20"/>
        <v>0</v>
      </c>
      <c r="T447" t="b">
        <f t="shared" si="21"/>
        <v>0</v>
      </c>
    </row>
    <row r="448" spans="1:20" x14ac:dyDescent="0.3">
      <c r="A448">
        <v>447</v>
      </c>
      <c r="B448" t="s">
        <v>463</v>
      </c>
      <c r="C448" s="2">
        <v>45856</v>
      </c>
      <c r="D448" s="2">
        <v>45857</v>
      </c>
      <c r="E448" t="s">
        <v>1017</v>
      </c>
      <c r="F448" t="s">
        <v>1193</v>
      </c>
      <c r="G448" t="s">
        <v>1286</v>
      </c>
      <c r="H448" t="s">
        <v>1287</v>
      </c>
      <c r="I448" t="s">
        <v>1294</v>
      </c>
      <c r="J448" t="s">
        <v>1305</v>
      </c>
      <c r="K448" t="s">
        <v>1307</v>
      </c>
      <c r="L448" t="s">
        <v>1314</v>
      </c>
      <c r="M448">
        <v>1</v>
      </c>
      <c r="N448">
        <v>0.1</v>
      </c>
      <c r="O448">
        <v>805.47</v>
      </c>
      <c r="P448">
        <v>218.68</v>
      </c>
      <c r="Q448" t="s">
        <v>1330</v>
      </c>
      <c r="R448" t="b">
        <f t="shared" si="19"/>
        <v>0</v>
      </c>
      <c r="S448" t="b">
        <f t="shared" si="20"/>
        <v>0</v>
      </c>
      <c r="T448" t="b">
        <f t="shared" si="21"/>
        <v>0</v>
      </c>
    </row>
    <row r="449" spans="1:20" x14ac:dyDescent="0.3">
      <c r="A449">
        <v>448</v>
      </c>
      <c r="B449" t="s">
        <v>464</v>
      </c>
      <c r="C449" s="2">
        <v>45709</v>
      </c>
      <c r="D449" s="2">
        <v>45710</v>
      </c>
      <c r="E449" t="s">
        <v>1017</v>
      </c>
      <c r="F449" t="s">
        <v>1061</v>
      </c>
      <c r="G449" t="s">
        <v>1273</v>
      </c>
      <c r="H449" t="s">
        <v>1287</v>
      </c>
      <c r="I449" t="s">
        <v>1299</v>
      </c>
      <c r="J449" t="s">
        <v>1304</v>
      </c>
      <c r="K449" t="s">
        <v>1308</v>
      </c>
      <c r="L449" t="s">
        <v>1312</v>
      </c>
      <c r="M449">
        <v>4</v>
      </c>
      <c r="N449">
        <v>0.1</v>
      </c>
      <c r="O449">
        <v>4656.93</v>
      </c>
      <c r="P449">
        <v>885.98</v>
      </c>
      <c r="Q449" t="s">
        <v>1331</v>
      </c>
      <c r="R449" t="b">
        <f t="shared" si="19"/>
        <v>0</v>
      </c>
      <c r="S449" t="b">
        <f t="shared" si="20"/>
        <v>0</v>
      </c>
      <c r="T449" t="b">
        <f t="shared" si="21"/>
        <v>0</v>
      </c>
    </row>
    <row r="450" spans="1:20" x14ac:dyDescent="0.3">
      <c r="A450">
        <v>449</v>
      </c>
      <c r="B450" t="s">
        <v>465</v>
      </c>
      <c r="C450" s="2">
        <v>45882</v>
      </c>
      <c r="D450" s="2">
        <v>45885</v>
      </c>
      <c r="E450" t="s">
        <v>1018</v>
      </c>
      <c r="F450" t="s">
        <v>1227</v>
      </c>
      <c r="G450" t="s">
        <v>1273</v>
      </c>
      <c r="H450" t="s">
        <v>1288</v>
      </c>
      <c r="I450" t="s">
        <v>1290</v>
      </c>
      <c r="J450" t="s">
        <v>1302</v>
      </c>
      <c r="K450" t="s">
        <v>1306</v>
      </c>
      <c r="L450" t="s">
        <v>1328</v>
      </c>
      <c r="M450">
        <v>3</v>
      </c>
      <c r="N450">
        <v>0.15</v>
      </c>
      <c r="O450">
        <v>305.64999999999998</v>
      </c>
      <c r="P450">
        <v>44.71</v>
      </c>
      <c r="Q450" t="s">
        <v>1334</v>
      </c>
      <c r="R450" t="b">
        <f t="shared" si="19"/>
        <v>0</v>
      </c>
      <c r="S450" t="b">
        <f t="shared" si="20"/>
        <v>0</v>
      </c>
      <c r="T450" t="b">
        <f t="shared" si="21"/>
        <v>0</v>
      </c>
    </row>
    <row r="451" spans="1:20" x14ac:dyDescent="0.3">
      <c r="A451">
        <v>450</v>
      </c>
      <c r="B451" t="s">
        <v>466</v>
      </c>
      <c r="C451" s="2">
        <v>45785</v>
      </c>
      <c r="D451" s="2">
        <v>45787</v>
      </c>
      <c r="E451" t="s">
        <v>1017</v>
      </c>
      <c r="F451" t="s">
        <v>1076</v>
      </c>
      <c r="G451" t="s">
        <v>1278</v>
      </c>
      <c r="H451" t="s">
        <v>1289</v>
      </c>
      <c r="I451" t="s">
        <v>1290</v>
      </c>
      <c r="J451" t="s">
        <v>1302</v>
      </c>
      <c r="K451" t="s">
        <v>1307</v>
      </c>
      <c r="L451" t="s">
        <v>1315</v>
      </c>
      <c r="M451">
        <v>1</v>
      </c>
      <c r="N451">
        <v>0.1</v>
      </c>
      <c r="O451">
        <v>1683.77</v>
      </c>
      <c r="P451">
        <v>520.34</v>
      </c>
      <c r="Q451" t="s">
        <v>1333</v>
      </c>
      <c r="R451" t="b">
        <f t="shared" ref="R451:R514" si="22">D451&lt;C451</f>
        <v>0</v>
      </c>
      <c r="S451" t="b">
        <f t="shared" ref="S451:S514" si="23">M451&lt;=0</f>
        <v>0</v>
      </c>
      <c r="T451" t="b">
        <f t="shared" ref="T451:T514" si="24">OR(N451&lt;0,N451&gt;1)</f>
        <v>0</v>
      </c>
    </row>
    <row r="452" spans="1:20" x14ac:dyDescent="0.3">
      <c r="A452">
        <v>451</v>
      </c>
      <c r="B452" t="s">
        <v>467</v>
      </c>
      <c r="C452" s="2">
        <v>45836</v>
      </c>
      <c r="D452" s="2">
        <v>45840</v>
      </c>
      <c r="E452" t="s">
        <v>1018</v>
      </c>
      <c r="F452" t="s">
        <v>1079</v>
      </c>
      <c r="G452" t="s">
        <v>1277</v>
      </c>
      <c r="H452" t="s">
        <v>1289</v>
      </c>
      <c r="I452" t="s">
        <v>1294</v>
      </c>
      <c r="J452" t="s">
        <v>1305</v>
      </c>
      <c r="K452" t="s">
        <v>1306</v>
      </c>
      <c r="L452" t="s">
        <v>1321</v>
      </c>
      <c r="M452">
        <v>4</v>
      </c>
      <c r="N452">
        <v>0.2</v>
      </c>
      <c r="O452">
        <v>1434.82</v>
      </c>
      <c r="P452">
        <v>34.75</v>
      </c>
      <c r="Q452" t="s">
        <v>1331</v>
      </c>
      <c r="R452" t="b">
        <f t="shared" si="22"/>
        <v>0</v>
      </c>
      <c r="S452" t="b">
        <f t="shared" si="23"/>
        <v>0</v>
      </c>
      <c r="T452" t="b">
        <f t="shared" si="24"/>
        <v>0</v>
      </c>
    </row>
    <row r="453" spans="1:20" x14ac:dyDescent="0.3">
      <c r="A453">
        <v>452</v>
      </c>
      <c r="B453" t="s">
        <v>468</v>
      </c>
      <c r="C453" s="2">
        <v>45780</v>
      </c>
      <c r="D453" s="2">
        <v>45781</v>
      </c>
      <c r="E453" t="s">
        <v>1017</v>
      </c>
      <c r="F453" t="s">
        <v>1178</v>
      </c>
      <c r="G453" t="s">
        <v>1281</v>
      </c>
      <c r="H453" t="s">
        <v>1287</v>
      </c>
      <c r="I453" t="s">
        <v>1290</v>
      </c>
      <c r="J453" t="s">
        <v>1302</v>
      </c>
      <c r="K453" t="s">
        <v>1309</v>
      </c>
      <c r="L453" t="s">
        <v>1325</v>
      </c>
      <c r="M453">
        <v>1</v>
      </c>
      <c r="N453">
        <v>0.15</v>
      </c>
      <c r="O453">
        <v>1105.72</v>
      </c>
      <c r="P453">
        <v>160.26</v>
      </c>
      <c r="Q453" t="s">
        <v>1331</v>
      </c>
      <c r="R453" t="b">
        <f t="shared" si="22"/>
        <v>0</v>
      </c>
      <c r="S453" t="b">
        <f t="shared" si="23"/>
        <v>0</v>
      </c>
      <c r="T453" t="b">
        <f t="shared" si="24"/>
        <v>0</v>
      </c>
    </row>
    <row r="454" spans="1:20" x14ac:dyDescent="0.3">
      <c r="A454">
        <v>453</v>
      </c>
      <c r="B454" t="s">
        <v>469</v>
      </c>
      <c r="C454" s="2">
        <v>45922</v>
      </c>
      <c r="D454" s="2">
        <v>45924</v>
      </c>
      <c r="E454" t="s">
        <v>1019</v>
      </c>
      <c r="F454" t="s">
        <v>1177</v>
      </c>
      <c r="G454" t="s">
        <v>1285</v>
      </c>
      <c r="H454" t="s">
        <v>1287</v>
      </c>
      <c r="I454" t="s">
        <v>1291</v>
      </c>
      <c r="J454" t="s">
        <v>1302</v>
      </c>
      <c r="K454" t="s">
        <v>1306</v>
      </c>
      <c r="L454" t="s">
        <v>1328</v>
      </c>
      <c r="M454">
        <v>2</v>
      </c>
      <c r="N454">
        <v>0.2</v>
      </c>
      <c r="O454">
        <v>191.3</v>
      </c>
      <c r="P454">
        <v>4.8499999999999996</v>
      </c>
      <c r="Q454" t="s">
        <v>1330</v>
      </c>
      <c r="R454" t="b">
        <f t="shared" si="22"/>
        <v>0</v>
      </c>
      <c r="S454" t="b">
        <f t="shared" si="23"/>
        <v>0</v>
      </c>
      <c r="T454" t="b">
        <f t="shared" si="24"/>
        <v>0</v>
      </c>
    </row>
    <row r="455" spans="1:20" x14ac:dyDescent="0.3">
      <c r="A455">
        <v>454</v>
      </c>
      <c r="B455" t="s">
        <v>470</v>
      </c>
      <c r="C455" s="2">
        <v>45846</v>
      </c>
      <c r="D455" s="2">
        <v>45851</v>
      </c>
      <c r="E455" t="s">
        <v>1017</v>
      </c>
      <c r="F455" t="s">
        <v>1110</v>
      </c>
      <c r="G455" t="s">
        <v>1273</v>
      </c>
      <c r="H455" t="s">
        <v>1287</v>
      </c>
      <c r="I455" t="s">
        <v>1296</v>
      </c>
      <c r="J455" t="s">
        <v>1304</v>
      </c>
      <c r="K455" t="s">
        <v>1306</v>
      </c>
      <c r="L455" t="s">
        <v>1323</v>
      </c>
      <c r="M455">
        <v>2</v>
      </c>
      <c r="N455">
        <v>0.05</v>
      </c>
      <c r="O455">
        <v>347.55</v>
      </c>
      <c r="P455">
        <v>72.849999999999994</v>
      </c>
      <c r="Q455" t="s">
        <v>1332</v>
      </c>
      <c r="R455" t="b">
        <f t="shared" si="22"/>
        <v>0</v>
      </c>
      <c r="S455" t="b">
        <f t="shared" si="23"/>
        <v>0</v>
      </c>
      <c r="T455" t="b">
        <f t="shared" si="24"/>
        <v>0</v>
      </c>
    </row>
    <row r="456" spans="1:20" x14ac:dyDescent="0.3">
      <c r="A456">
        <v>455</v>
      </c>
      <c r="B456" t="s">
        <v>471</v>
      </c>
      <c r="C456" s="2">
        <v>45865</v>
      </c>
      <c r="D456" s="2">
        <v>45868</v>
      </c>
      <c r="E456" t="s">
        <v>1018</v>
      </c>
      <c r="F456" t="s">
        <v>1130</v>
      </c>
      <c r="G456" t="s">
        <v>1286</v>
      </c>
      <c r="H456" t="s">
        <v>1289</v>
      </c>
      <c r="I456" t="s">
        <v>1296</v>
      </c>
      <c r="J456" t="s">
        <v>1304</v>
      </c>
      <c r="K456" t="s">
        <v>1309</v>
      </c>
      <c r="L456" t="s">
        <v>1320</v>
      </c>
      <c r="M456">
        <v>4</v>
      </c>
      <c r="N456">
        <v>0.2</v>
      </c>
      <c r="O456">
        <v>3674.49</v>
      </c>
      <c r="P456">
        <v>57.57</v>
      </c>
      <c r="Q456" t="s">
        <v>1334</v>
      </c>
      <c r="R456" t="b">
        <f t="shared" si="22"/>
        <v>0</v>
      </c>
      <c r="S456" t="b">
        <f t="shared" si="23"/>
        <v>0</v>
      </c>
      <c r="T456" t="b">
        <f t="shared" si="24"/>
        <v>0</v>
      </c>
    </row>
    <row r="457" spans="1:20" x14ac:dyDescent="0.3">
      <c r="A457">
        <v>456</v>
      </c>
      <c r="B457" t="s">
        <v>472</v>
      </c>
      <c r="C457" s="2">
        <v>45998</v>
      </c>
      <c r="D457" s="2">
        <v>46002</v>
      </c>
      <c r="E457" t="s">
        <v>1018</v>
      </c>
      <c r="F457" t="s">
        <v>1207</v>
      </c>
      <c r="G457" t="s">
        <v>1268</v>
      </c>
      <c r="H457" t="s">
        <v>1288</v>
      </c>
      <c r="I457" t="s">
        <v>1292</v>
      </c>
      <c r="J457" t="s">
        <v>1303</v>
      </c>
      <c r="K457" t="s">
        <v>1309</v>
      </c>
      <c r="L457" t="s">
        <v>1320</v>
      </c>
      <c r="M457">
        <v>1</v>
      </c>
      <c r="N457">
        <v>0</v>
      </c>
      <c r="O457">
        <v>1200.68</v>
      </c>
      <c r="P457">
        <v>312.04000000000002</v>
      </c>
      <c r="Q457" t="s">
        <v>1332</v>
      </c>
      <c r="R457" t="b">
        <f t="shared" si="22"/>
        <v>0</v>
      </c>
      <c r="S457" t="b">
        <f t="shared" si="23"/>
        <v>0</v>
      </c>
      <c r="T457" t="b">
        <f t="shared" si="24"/>
        <v>0</v>
      </c>
    </row>
    <row r="458" spans="1:20" x14ac:dyDescent="0.3">
      <c r="A458">
        <v>457</v>
      </c>
      <c r="B458" t="s">
        <v>473</v>
      </c>
      <c r="C458" s="2">
        <v>45984</v>
      </c>
      <c r="D458" s="2">
        <v>45985</v>
      </c>
      <c r="E458" t="s">
        <v>1017</v>
      </c>
      <c r="F458" t="s">
        <v>1061</v>
      </c>
      <c r="G458" t="s">
        <v>1284</v>
      </c>
      <c r="H458" t="s">
        <v>1289</v>
      </c>
      <c r="I458" t="s">
        <v>1297</v>
      </c>
      <c r="J458" t="s">
        <v>1304</v>
      </c>
      <c r="K458" t="s">
        <v>1307</v>
      </c>
      <c r="L458" t="s">
        <v>1314</v>
      </c>
      <c r="M458">
        <v>1</v>
      </c>
      <c r="N458">
        <v>0.1</v>
      </c>
      <c r="O458">
        <v>836.64</v>
      </c>
      <c r="P458">
        <v>276.11</v>
      </c>
      <c r="Q458" t="s">
        <v>1333</v>
      </c>
      <c r="R458" t="b">
        <f t="shared" si="22"/>
        <v>0</v>
      </c>
      <c r="S458" t="b">
        <f t="shared" si="23"/>
        <v>0</v>
      </c>
      <c r="T458" t="b">
        <f t="shared" si="24"/>
        <v>0</v>
      </c>
    </row>
    <row r="459" spans="1:20" x14ac:dyDescent="0.3">
      <c r="A459">
        <v>458</v>
      </c>
      <c r="B459" t="s">
        <v>474</v>
      </c>
      <c r="C459" s="2">
        <v>45962</v>
      </c>
      <c r="D459" s="2">
        <v>45965</v>
      </c>
      <c r="E459" t="s">
        <v>1018</v>
      </c>
      <c r="F459" t="s">
        <v>1117</v>
      </c>
      <c r="G459" t="s">
        <v>1274</v>
      </c>
      <c r="H459" t="s">
        <v>1288</v>
      </c>
      <c r="I459" t="s">
        <v>1300</v>
      </c>
      <c r="J459" t="s">
        <v>1305</v>
      </c>
      <c r="K459" t="s">
        <v>1309</v>
      </c>
      <c r="L459" t="s">
        <v>1329</v>
      </c>
      <c r="M459">
        <v>5</v>
      </c>
      <c r="N459">
        <v>0.1</v>
      </c>
      <c r="O459">
        <v>8834.68</v>
      </c>
      <c r="P459">
        <v>1588.82</v>
      </c>
      <c r="Q459" t="s">
        <v>1331</v>
      </c>
      <c r="R459" t="b">
        <f t="shared" si="22"/>
        <v>0</v>
      </c>
      <c r="S459" t="b">
        <f t="shared" si="23"/>
        <v>0</v>
      </c>
      <c r="T459" t="b">
        <f t="shared" si="24"/>
        <v>0</v>
      </c>
    </row>
    <row r="460" spans="1:20" x14ac:dyDescent="0.3">
      <c r="A460">
        <v>459</v>
      </c>
      <c r="B460" t="s">
        <v>475</v>
      </c>
      <c r="C460" s="2">
        <v>45744</v>
      </c>
      <c r="D460" s="2">
        <v>45746</v>
      </c>
      <c r="E460" t="s">
        <v>1017</v>
      </c>
      <c r="F460" t="s">
        <v>1182</v>
      </c>
      <c r="G460" t="s">
        <v>1286</v>
      </c>
      <c r="H460" t="s">
        <v>1288</v>
      </c>
      <c r="I460" t="s">
        <v>1294</v>
      </c>
      <c r="J460" t="s">
        <v>1305</v>
      </c>
      <c r="K460" t="s">
        <v>1308</v>
      </c>
      <c r="L460" t="s">
        <v>1326</v>
      </c>
      <c r="M460">
        <v>3</v>
      </c>
      <c r="N460">
        <v>0.1</v>
      </c>
      <c r="O460">
        <v>18921.560000000001</v>
      </c>
      <c r="P460">
        <v>4461.76</v>
      </c>
      <c r="Q460" t="s">
        <v>1331</v>
      </c>
      <c r="R460" t="b">
        <f t="shared" si="22"/>
        <v>0</v>
      </c>
      <c r="S460" t="b">
        <f t="shared" si="23"/>
        <v>0</v>
      </c>
      <c r="T460" t="b">
        <f t="shared" si="24"/>
        <v>0</v>
      </c>
    </row>
    <row r="461" spans="1:20" x14ac:dyDescent="0.3">
      <c r="A461">
        <v>460</v>
      </c>
      <c r="B461" t="s">
        <v>476</v>
      </c>
      <c r="C461" s="2">
        <v>45681</v>
      </c>
      <c r="D461" s="2">
        <v>45685</v>
      </c>
      <c r="E461" t="s">
        <v>1019</v>
      </c>
      <c r="F461" t="s">
        <v>1098</v>
      </c>
      <c r="G461" t="s">
        <v>1280</v>
      </c>
      <c r="H461" t="s">
        <v>1288</v>
      </c>
      <c r="I461" t="s">
        <v>1291</v>
      </c>
      <c r="J461" t="s">
        <v>1302</v>
      </c>
      <c r="K461" t="s">
        <v>1308</v>
      </c>
      <c r="L461" t="s">
        <v>1326</v>
      </c>
      <c r="M461">
        <v>3</v>
      </c>
      <c r="N461">
        <v>0.1</v>
      </c>
      <c r="O461">
        <v>19162.71</v>
      </c>
      <c r="P461">
        <v>4825.28</v>
      </c>
      <c r="Q461" t="s">
        <v>1331</v>
      </c>
      <c r="R461" t="b">
        <f t="shared" si="22"/>
        <v>0</v>
      </c>
      <c r="S461" t="b">
        <f t="shared" si="23"/>
        <v>0</v>
      </c>
      <c r="T461" t="b">
        <f t="shared" si="24"/>
        <v>0</v>
      </c>
    </row>
    <row r="462" spans="1:20" x14ac:dyDescent="0.3">
      <c r="A462">
        <v>461</v>
      </c>
      <c r="B462" t="s">
        <v>477</v>
      </c>
      <c r="C462" s="2">
        <v>45990</v>
      </c>
      <c r="D462" s="2">
        <v>45991</v>
      </c>
      <c r="E462" t="s">
        <v>1019</v>
      </c>
      <c r="F462" t="s">
        <v>1073</v>
      </c>
      <c r="G462" t="s">
        <v>1268</v>
      </c>
      <c r="H462" t="s">
        <v>1287</v>
      </c>
      <c r="I462" t="s">
        <v>1300</v>
      </c>
      <c r="J462" t="s">
        <v>1305</v>
      </c>
      <c r="K462" t="s">
        <v>1308</v>
      </c>
      <c r="L462" t="s">
        <v>1319</v>
      </c>
      <c r="M462">
        <v>1</v>
      </c>
      <c r="N462">
        <v>0.1</v>
      </c>
      <c r="O462">
        <v>3938.21</v>
      </c>
      <c r="P462">
        <v>239.56</v>
      </c>
      <c r="Q462" t="s">
        <v>1332</v>
      </c>
      <c r="R462" t="b">
        <f t="shared" si="22"/>
        <v>0</v>
      </c>
      <c r="S462" t="b">
        <f t="shared" si="23"/>
        <v>0</v>
      </c>
      <c r="T462" t="b">
        <f t="shared" si="24"/>
        <v>0</v>
      </c>
    </row>
    <row r="463" spans="1:20" x14ac:dyDescent="0.3">
      <c r="A463">
        <v>462</v>
      </c>
      <c r="B463" t="s">
        <v>478</v>
      </c>
      <c r="C463" s="2">
        <v>45772</v>
      </c>
      <c r="D463" s="2">
        <v>45776</v>
      </c>
      <c r="E463" t="s">
        <v>1019</v>
      </c>
      <c r="F463" t="s">
        <v>1118</v>
      </c>
      <c r="G463" t="s">
        <v>1278</v>
      </c>
      <c r="H463" t="s">
        <v>1287</v>
      </c>
      <c r="I463" t="s">
        <v>1293</v>
      </c>
      <c r="J463" t="s">
        <v>1304</v>
      </c>
      <c r="K463" t="s">
        <v>1309</v>
      </c>
      <c r="L463" t="s">
        <v>1317</v>
      </c>
      <c r="M463">
        <v>2</v>
      </c>
      <c r="N463">
        <v>0.15</v>
      </c>
      <c r="O463">
        <v>1351.23</v>
      </c>
      <c r="P463">
        <v>230.88</v>
      </c>
      <c r="Q463" t="s">
        <v>1331</v>
      </c>
      <c r="R463" t="b">
        <f t="shared" si="22"/>
        <v>0</v>
      </c>
      <c r="S463" t="b">
        <f t="shared" si="23"/>
        <v>0</v>
      </c>
      <c r="T463" t="b">
        <f t="shared" si="24"/>
        <v>0</v>
      </c>
    </row>
    <row r="464" spans="1:20" x14ac:dyDescent="0.3">
      <c r="A464">
        <v>463</v>
      </c>
      <c r="B464" t="s">
        <v>479</v>
      </c>
      <c r="C464" s="2">
        <v>45683</v>
      </c>
      <c r="D464" s="2">
        <v>45684</v>
      </c>
      <c r="E464" t="s">
        <v>1019</v>
      </c>
      <c r="F464" t="s">
        <v>1228</v>
      </c>
      <c r="G464" t="s">
        <v>1283</v>
      </c>
      <c r="H464" t="s">
        <v>1287</v>
      </c>
      <c r="I464" t="s">
        <v>1292</v>
      </c>
      <c r="J464" t="s">
        <v>1303</v>
      </c>
      <c r="K464" t="s">
        <v>1308</v>
      </c>
      <c r="L464" t="s">
        <v>1319</v>
      </c>
      <c r="M464">
        <v>4</v>
      </c>
      <c r="N464">
        <v>0.05</v>
      </c>
      <c r="O464">
        <v>16783.23</v>
      </c>
      <c r="P464">
        <v>2962.08</v>
      </c>
      <c r="Q464" t="s">
        <v>1332</v>
      </c>
      <c r="R464" t="b">
        <f t="shared" si="22"/>
        <v>0</v>
      </c>
      <c r="S464" t="b">
        <f t="shared" si="23"/>
        <v>0</v>
      </c>
      <c r="T464" t="b">
        <f t="shared" si="24"/>
        <v>0</v>
      </c>
    </row>
    <row r="465" spans="1:20" x14ac:dyDescent="0.3">
      <c r="A465">
        <v>464</v>
      </c>
      <c r="B465" t="s">
        <v>480</v>
      </c>
      <c r="C465" s="2">
        <v>45943</v>
      </c>
      <c r="D465" s="2">
        <v>45947</v>
      </c>
      <c r="E465" t="s">
        <v>1017</v>
      </c>
      <c r="F465" t="s">
        <v>1158</v>
      </c>
      <c r="G465" t="s">
        <v>1273</v>
      </c>
      <c r="H465" t="s">
        <v>1287</v>
      </c>
      <c r="I465" t="s">
        <v>1299</v>
      </c>
      <c r="J465" t="s">
        <v>1304</v>
      </c>
      <c r="K465" t="s">
        <v>1309</v>
      </c>
      <c r="L465" t="s">
        <v>1320</v>
      </c>
      <c r="M465">
        <v>2</v>
      </c>
      <c r="N465">
        <v>0</v>
      </c>
      <c r="O465">
        <v>2312.6</v>
      </c>
      <c r="P465">
        <v>775.64</v>
      </c>
      <c r="Q465" t="s">
        <v>1331</v>
      </c>
      <c r="R465" t="b">
        <f t="shared" si="22"/>
        <v>0</v>
      </c>
      <c r="S465" t="b">
        <f t="shared" si="23"/>
        <v>0</v>
      </c>
      <c r="T465" t="b">
        <f t="shared" si="24"/>
        <v>0</v>
      </c>
    </row>
    <row r="466" spans="1:20" x14ac:dyDescent="0.3">
      <c r="A466">
        <v>465</v>
      </c>
      <c r="B466" t="s">
        <v>481</v>
      </c>
      <c r="C466" s="2">
        <v>45949</v>
      </c>
      <c r="D466" s="2">
        <v>45953</v>
      </c>
      <c r="E466" t="s">
        <v>1018</v>
      </c>
      <c r="F466" t="s">
        <v>1167</v>
      </c>
      <c r="G466" t="s">
        <v>1278</v>
      </c>
      <c r="H466" t="s">
        <v>1288</v>
      </c>
      <c r="I466" t="s">
        <v>1298</v>
      </c>
      <c r="J466" t="s">
        <v>1303</v>
      </c>
      <c r="K466" t="s">
        <v>1308</v>
      </c>
      <c r="L466" t="s">
        <v>1312</v>
      </c>
      <c r="M466">
        <v>1</v>
      </c>
      <c r="N466">
        <v>0</v>
      </c>
      <c r="O466">
        <v>1340.76</v>
      </c>
      <c r="P466">
        <v>443.39</v>
      </c>
      <c r="Q466" t="s">
        <v>1332</v>
      </c>
      <c r="R466" t="b">
        <f t="shared" si="22"/>
        <v>0</v>
      </c>
      <c r="S466" t="b">
        <f t="shared" si="23"/>
        <v>0</v>
      </c>
      <c r="T466" t="b">
        <f t="shared" si="24"/>
        <v>0</v>
      </c>
    </row>
    <row r="467" spans="1:20" x14ac:dyDescent="0.3">
      <c r="A467">
        <v>466</v>
      </c>
      <c r="B467" t="s">
        <v>482</v>
      </c>
      <c r="C467" s="2">
        <v>45845</v>
      </c>
      <c r="D467" s="2">
        <v>45848</v>
      </c>
      <c r="E467" t="s">
        <v>1017</v>
      </c>
      <c r="F467" t="s">
        <v>1129</v>
      </c>
      <c r="G467" t="s">
        <v>1268</v>
      </c>
      <c r="H467" t="s">
        <v>1288</v>
      </c>
      <c r="I467" t="s">
        <v>1301</v>
      </c>
      <c r="J467" t="s">
        <v>1303</v>
      </c>
      <c r="K467" t="s">
        <v>1308</v>
      </c>
      <c r="L467" t="s">
        <v>1327</v>
      </c>
      <c r="M467">
        <v>1</v>
      </c>
      <c r="N467">
        <v>0.1</v>
      </c>
      <c r="O467">
        <v>1672.92</v>
      </c>
      <c r="P467">
        <v>200.75</v>
      </c>
      <c r="Q467" t="s">
        <v>1330</v>
      </c>
      <c r="R467" t="b">
        <f t="shared" si="22"/>
        <v>0</v>
      </c>
      <c r="S467" t="b">
        <f t="shared" si="23"/>
        <v>0</v>
      </c>
      <c r="T467" t="b">
        <f t="shared" si="24"/>
        <v>0</v>
      </c>
    </row>
    <row r="468" spans="1:20" x14ac:dyDescent="0.3">
      <c r="A468">
        <v>467</v>
      </c>
      <c r="B468" t="s">
        <v>483</v>
      </c>
      <c r="C468" s="2">
        <v>45868</v>
      </c>
      <c r="D468" s="2">
        <v>45871</v>
      </c>
      <c r="E468" t="s">
        <v>1018</v>
      </c>
      <c r="F468" t="s">
        <v>1153</v>
      </c>
      <c r="G468" t="s">
        <v>1284</v>
      </c>
      <c r="H468" t="s">
        <v>1287</v>
      </c>
      <c r="I468" t="s">
        <v>1296</v>
      </c>
      <c r="J468" t="s">
        <v>1304</v>
      </c>
      <c r="K468" t="s">
        <v>1307</v>
      </c>
      <c r="L468" t="s">
        <v>1311</v>
      </c>
      <c r="M468">
        <v>3</v>
      </c>
      <c r="N468">
        <v>0</v>
      </c>
      <c r="O468">
        <v>933.79</v>
      </c>
      <c r="P468">
        <v>308.97000000000003</v>
      </c>
      <c r="Q468" t="s">
        <v>1331</v>
      </c>
      <c r="R468" t="b">
        <f t="shared" si="22"/>
        <v>0</v>
      </c>
      <c r="S468" t="b">
        <f t="shared" si="23"/>
        <v>0</v>
      </c>
      <c r="T468" t="b">
        <f t="shared" si="24"/>
        <v>0</v>
      </c>
    </row>
    <row r="469" spans="1:20" x14ac:dyDescent="0.3">
      <c r="A469">
        <v>468</v>
      </c>
      <c r="B469" t="s">
        <v>484</v>
      </c>
      <c r="C469" s="2">
        <v>46019</v>
      </c>
      <c r="D469" s="2">
        <v>46020</v>
      </c>
      <c r="E469" t="s">
        <v>1018</v>
      </c>
      <c r="F469" t="s">
        <v>1163</v>
      </c>
      <c r="G469" t="s">
        <v>1269</v>
      </c>
      <c r="H469" t="s">
        <v>1288</v>
      </c>
      <c r="I469" t="s">
        <v>1295</v>
      </c>
      <c r="J469" t="s">
        <v>1305</v>
      </c>
      <c r="K469" t="s">
        <v>1307</v>
      </c>
      <c r="L469" t="s">
        <v>1311</v>
      </c>
      <c r="M469">
        <v>4</v>
      </c>
      <c r="N469">
        <v>0.25</v>
      </c>
      <c r="O469">
        <v>908.13</v>
      </c>
      <c r="P469">
        <v>53.21</v>
      </c>
      <c r="Q469" t="s">
        <v>1331</v>
      </c>
      <c r="R469" t="b">
        <f t="shared" si="22"/>
        <v>0</v>
      </c>
      <c r="S469" t="b">
        <f t="shared" si="23"/>
        <v>0</v>
      </c>
      <c r="T469" t="b">
        <f t="shared" si="24"/>
        <v>0</v>
      </c>
    </row>
    <row r="470" spans="1:20" x14ac:dyDescent="0.3">
      <c r="A470">
        <v>469</v>
      </c>
      <c r="B470" t="s">
        <v>485</v>
      </c>
      <c r="C470" s="2">
        <v>45829</v>
      </c>
      <c r="D470" s="2">
        <v>45832</v>
      </c>
      <c r="E470" t="s">
        <v>1017</v>
      </c>
      <c r="F470" t="s">
        <v>1067</v>
      </c>
      <c r="G470" t="s">
        <v>1286</v>
      </c>
      <c r="H470" t="s">
        <v>1287</v>
      </c>
      <c r="I470" t="s">
        <v>1297</v>
      </c>
      <c r="J470" t="s">
        <v>1304</v>
      </c>
      <c r="K470" t="s">
        <v>1308</v>
      </c>
      <c r="L470" t="s">
        <v>1327</v>
      </c>
      <c r="M470">
        <v>2</v>
      </c>
      <c r="N470">
        <v>0</v>
      </c>
      <c r="O470">
        <v>3652.79</v>
      </c>
      <c r="P470">
        <v>1130.45</v>
      </c>
      <c r="Q470" t="s">
        <v>1330</v>
      </c>
      <c r="R470" t="b">
        <f t="shared" si="22"/>
        <v>0</v>
      </c>
      <c r="S470" t="b">
        <f t="shared" si="23"/>
        <v>0</v>
      </c>
      <c r="T470" t="b">
        <f t="shared" si="24"/>
        <v>0</v>
      </c>
    </row>
    <row r="471" spans="1:20" x14ac:dyDescent="0.3">
      <c r="A471">
        <v>470</v>
      </c>
      <c r="B471" t="s">
        <v>486</v>
      </c>
      <c r="C471" s="2">
        <v>46010</v>
      </c>
      <c r="D471" s="2">
        <v>46014</v>
      </c>
      <c r="E471" t="s">
        <v>1018</v>
      </c>
      <c r="F471" t="s">
        <v>1179</v>
      </c>
      <c r="G471" t="s">
        <v>1273</v>
      </c>
      <c r="H471" t="s">
        <v>1289</v>
      </c>
      <c r="I471" t="s">
        <v>1294</v>
      </c>
      <c r="J471" t="s">
        <v>1305</v>
      </c>
      <c r="K471" t="s">
        <v>1309</v>
      </c>
      <c r="L471" t="s">
        <v>1325</v>
      </c>
      <c r="M471">
        <v>3</v>
      </c>
      <c r="N471">
        <v>0</v>
      </c>
      <c r="O471">
        <v>3794.43</v>
      </c>
      <c r="P471">
        <v>1312.85</v>
      </c>
      <c r="Q471" t="s">
        <v>1330</v>
      </c>
      <c r="R471" t="b">
        <f t="shared" si="22"/>
        <v>0</v>
      </c>
      <c r="S471" t="b">
        <f t="shared" si="23"/>
        <v>0</v>
      </c>
      <c r="T471" t="b">
        <f t="shared" si="24"/>
        <v>0</v>
      </c>
    </row>
    <row r="472" spans="1:20" x14ac:dyDescent="0.3">
      <c r="A472">
        <v>471</v>
      </c>
      <c r="B472" t="s">
        <v>487</v>
      </c>
      <c r="C472" s="2">
        <v>45842</v>
      </c>
      <c r="D472" s="2">
        <v>45847</v>
      </c>
      <c r="E472" t="s">
        <v>1019</v>
      </c>
      <c r="F472" t="s">
        <v>1125</v>
      </c>
      <c r="G472" t="s">
        <v>1283</v>
      </c>
      <c r="H472" t="s">
        <v>1287</v>
      </c>
      <c r="I472" t="s">
        <v>1293</v>
      </c>
      <c r="J472" t="s">
        <v>1304</v>
      </c>
      <c r="K472" t="s">
        <v>1309</v>
      </c>
      <c r="L472" t="s">
        <v>1329</v>
      </c>
      <c r="M472">
        <v>1</v>
      </c>
      <c r="N472">
        <v>0.2</v>
      </c>
      <c r="O472">
        <v>1456.67</v>
      </c>
      <c r="P472">
        <v>149.31</v>
      </c>
      <c r="Q472" t="s">
        <v>1331</v>
      </c>
      <c r="R472" t="b">
        <f t="shared" si="22"/>
        <v>0</v>
      </c>
      <c r="S472" t="b">
        <f t="shared" si="23"/>
        <v>0</v>
      </c>
      <c r="T472" t="b">
        <f t="shared" si="24"/>
        <v>0</v>
      </c>
    </row>
    <row r="473" spans="1:20" x14ac:dyDescent="0.3">
      <c r="A473">
        <v>472</v>
      </c>
      <c r="B473" t="s">
        <v>488</v>
      </c>
      <c r="C473" s="2">
        <v>45721</v>
      </c>
      <c r="D473" s="2">
        <v>45725</v>
      </c>
      <c r="E473" t="s">
        <v>1017</v>
      </c>
      <c r="F473" t="s">
        <v>1047</v>
      </c>
      <c r="G473" t="s">
        <v>1270</v>
      </c>
      <c r="H473" t="s">
        <v>1288</v>
      </c>
      <c r="I473" t="s">
        <v>1293</v>
      </c>
      <c r="J473" t="s">
        <v>1304</v>
      </c>
      <c r="K473" t="s">
        <v>1307</v>
      </c>
      <c r="L473" t="s">
        <v>1316</v>
      </c>
      <c r="M473">
        <v>1</v>
      </c>
      <c r="N473">
        <v>0</v>
      </c>
      <c r="O473">
        <v>513.29999999999995</v>
      </c>
      <c r="P473">
        <v>179.6</v>
      </c>
      <c r="Q473" t="s">
        <v>1332</v>
      </c>
      <c r="R473" t="b">
        <f t="shared" si="22"/>
        <v>0</v>
      </c>
      <c r="S473" t="b">
        <f t="shared" si="23"/>
        <v>0</v>
      </c>
      <c r="T473" t="b">
        <f t="shared" si="24"/>
        <v>0</v>
      </c>
    </row>
    <row r="474" spans="1:20" x14ac:dyDescent="0.3">
      <c r="A474">
        <v>473</v>
      </c>
      <c r="B474" t="s">
        <v>489</v>
      </c>
      <c r="C474" s="2">
        <v>45712</v>
      </c>
      <c r="D474" s="2">
        <v>45715</v>
      </c>
      <c r="E474" t="s">
        <v>1018</v>
      </c>
      <c r="F474" t="s">
        <v>1156</v>
      </c>
      <c r="G474" t="s">
        <v>1286</v>
      </c>
      <c r="H474" t="s">
        <v>1288</v>
      </c>
      <c r="I474" t="s">
        <v>1293</v>
      </c>
      <c r="J474" t="s">
        <v>1304</v>
      </c>
      <c r="K474" t="s">
        <v>1309</v>
      </c>
      <c r="L474" t="s">
        <v>1317</v>
      </c>
      <c r="M474">
        <v>2</v>
      </c>
      <c r="N474">
        <v>0</v>
      </c>
      <c r="O474">
        <v>1677.3</v>
      </c>
      <c r="P474">
        <v>534.88</v>
      </c>
      <c r="Q474" t="s">
        <v>1333</v>
      </c>
      <c r="R474" t="b">
        <f t="shared" si="22"/>
        <v>0</v>
      </c>
      <c r="S474" t="b">
        <f t="shared" si="23"/>
        <v>0</v>
      </c>
      <c r="T474" t="b">
        <f t="shared" si="24"/>
        <v>0</v>
      </c>
    </row>
    <row r="475" spans="1:20" x14ac:dyDescent="0.3">
      <c r="A475">
        <v>474</v>
      </c>
      <c r="B475" t="s">
        <v>490</v>
      </c>
      <c r="C475" s="2">
        <v>45803</v>
      </c>
      <c r="D475" s="2">
        <v>45808</v>
      </c>
      <c r="E475" t="s">
        <v>1018</v>
      </c>
      <c r="F475" t="s">
        <v>1095</v>
      </c>
      <c r="G475" t="s">
        <v>1269</v>
      </c>
      <c r="H475" t="s">
        <v>1287</v>
      </c>
      <c r="I475" t="s">
        <v>1297</v>
      </c>
      <c r="J475" t="s">
        <v>1304</v>
      </c>
      <c r="K475" t="s">
        <v>1307</v>
      </c>
      <c r="L475" t="s">
        <v>1316</v>
      </c>
      <c r="M475">
        <v>2</v>
      </c>
      <c r="N475">
        <v>0.1</v>
      </c>
      <c r="O475">
        <v>909.59</v>
      </c>
      <c r="P475">
        <v>285.08</v>
      </c>
      <c r="Q475" t="s">
        <v>1331</v>
      </c>
      <c r="R475" t="b">
        <f t="shared" si="22"/>
        <v>0</v>
      </c>
      <c r="S475" t="b">
        <f t="shared" si="23"/>
        <v>0</v>
      </c>
      <c r="T475" t="b">
        <f t="shared" si="24"/>
        <v>0</v>
      </c>
    </row>
    <row r="476" spans="1:20" x14ac:dyDescent="0.3">
      <c r="A476">
        <v>475</v>
      </c>
      <c r="B476" t="s">
        <v>491</v>
      </c>
      <c r="C476" s="2">
        <v>45938</v>
      </c>
      <c r="D476" s="2">
        <v>45941</v>
      </c>
      <c r="E476" t="s">
        <v>1017</v>
      </c>
      <c r="F476" t="s">
        <v>1121</v>
      </c>
      <c r="G476" t="s">
        <v>1282</v>
      </c>
      <c r="H476" t="s">
        <v>1288</v>
      </c>
      <c r="I476" t="s">
        <v>1294</v>
      </c>
      <c r="J476" t="s">
        <v>1305</v>
      </c>
      <c r="K476" t="s">
        <v>1308</v>
      </c>
      <c r="L476" t="s">
        <v>1326</v>
      </c>
      <c r="M476">
        <v>5</v>
      </c>
      <c r="N476">
        <v>0</v>
      </c>
      <c r="O476">
        <v>34668.75</v>
      </c>
      <c r="P476">
        <v>7636.08</v>
      </c>
      <c r="Q476" t="s">
        <v>1333</v>
      </c>
      <c r="R476" t="b">
        <f t="shared" si="22"/>
        <v>0</v>
      </c>
      <c r="S476" t="b">
        <f t="shared" si="23"/>
        <v>0</v>
      </c>
      <c r="T476" t="b">
        <f t="shared" si="24"/>
        <v>0</v>
      </c>
    </row>
    <row r="477" spans="1:20" x14ac:dyDescent="0.3">
      <c r="A477">
        <v>476</v>
      </c>
      <c r="B477" t="s">
        <v>492</v>
      </c>
      <c r="C477" s="2">
        <v>45946</v>
      </c>
      <c r="D477" s="2">
        <v>45949</v>
      </c>
      <c r="E477" t="s">
        <v>1019</v>
      </c>
      <c r="F477" t="s">
        <v>1153</v>
      </c>
      <c r="G477" t="s">
        <v>1285</v>
      </c>
      <c r="H477" t="s">
        <v>1287</v>
      </c>
      <c r="I477" t="s">
        <v>1295</v>
      </c>
      <c r="J477" t="s">
        <v>1305</v>
      </c>
      <c r="K477" t="s">
        <v>1306</v>
      </c>
      <c r="L477" t="s">
        <v>1328</v>
      </c>
      <c r="M477">
        <v>3</v>
      </c>
      <c r="N477">
        <v>0.15</v>
      </c>
      <c r="O477">
        <v>317.57</v>
      </c>
      <c r="P477">
        <v>74.989999999999995</v>
      </c>
      <c r="Q477" t="s">
        <v>1333</v>
      </c>
      <c r="R477" t="b">
        <f t="shared" si="22"/>
        <v>0</v>
      </c>
      <c r="S477" t="b">
        <f t="shared" si="23"/>
        <v>0</v>
      </c>
      <c r="T477" t="b">
        <f t="shared" si="24"/>
        <v>0</v>
      </c>
    </row>
    <row r="478" spans="1:20" x14ac:dyDescent="0.3">
      <c r="A478">
        <v>477</v>
      </c>
      <c r="B478" t="s">
        <v>493</v>
      </c>
      <c r="C478" s="2">
        <v>45818</v>
      </c>
      <c r="D478" s="2">
        <v>45821</v>
      </c>
      <c r="E478" t="s">
        <v>1017</v>
      </c>
      <c r="F478" t="s">
        <v>1229</v>
      </c>
      <c r="G478" t="s">
        <v>1268</v>
      </c>
      <c r="H478" t="s">
        <v>1288</v>
      </c>
      <c r="I478" t="s">
        <v>1295</v>
      </c>
      <c r="J478" t="s">
        <v>1305</v>
      </c>
      <c r="K478" t="s">
        <v>1309</v>
      </c>
      <c r="L478" t="s">
        <v>1317</v>
      </c>
      <c r="M478">
        <v>2</v>
      </c>
      <c r="N478">
        <v>0.15</v>
      </c>
      <c r="O478">
        <v>1351.25</v>
      </c>
      <c r="P478">
        <v>204.56</v>
      </c>
      <c r="Q478" t="s">
        <v>1333</v>
      </c>
      <c r="R478" t="b">
        <f t="shared" si="22"/>
        <v>0</v>
      </c>
      <c r="S478" t="b">
        <f t="shared" si="23"/>
        <v>0</v>
      </c>
      <c r="T478" t="b">
        <f t="shared" si="24"/>
        <v>0</v>
      </c>
    </row>
    <row r="479" spans="1:20" x14ac:dyDescent="0.3">
      <c r="A479">
        <v>478</v>
      </c>
      <c r="B479" t="s">
        <v>494</v>
      </c>
      <c r="C479" s="2">
        <v>45707</v>
      </c>
      <c r="D479" s="2">
        <v>45709</v>
      </c>
      <c r="E479" t="s">
        <v>1017</v>
      </c>
      <c r="F479" t="s">
        <v>1230</v>
      </c>
      <c r="G479" t="s">
        <v>1275</v>
      </c>
      <c r="H479" t="s">
        <v>1287</v>
      </c>
      <c r="I479" t="s">
        <v>1301</v>
      </c>
      <c r="J479" t="s">
        <v>1303</v>
      </c>
      <c r="K479" t="s">
        <v>1306</v>
      </c>
      <c r="L479" t="s">
        <v>1323</v>
      </c>
      <c r="M479">
        <v>1</v>
      </c>
      <c r="N479">
        <v>0.2</v>
      </c>
      <c r="O479">
        <v>147.15</v>
      </c>
      <c r="P479">
        <v>14.45</v>
      </c>
      <c r="Q479" t="s">
        <v>1331</v>
      </c>
      <c r="R479" t="b">
        <f t="shared" si="22"/>
        <v>0</v>
      </c>
      <c r="S479" t="b">
        <f t="shared" si="23"/>
        <v>0</v>
      </c>
      <c r="T479" t="b">
        <f t="shared" si="24"/>
        <v>0</v>
      </c>
    </row>
    <row r="480" spans="1:20" x14ac:dyDescent="0.3">
      <c r="A480">
        <v>479</v>
      </c>
      <c r="B480" t="s">
        <v>495</v>
      </c>
      <c r="C480" s="2">
        <v>45708</v>
      </c>
      <c r="D480" s="2">
        <v>45710</v>
      </c>
      <c r="E480" t="s">
        <v>1017</v>
      </c>
      <c r="F480" t="s">
        <v>1132</v>
      </c>
      <c r="G480" t="s">
        <v>1279</v>
      </c>
      <c r="H480" t="s">
        <v>1287</v>
      </c>
      <c r="I480" t="s">
        <v>1292</v>
      </c>
      <c r="J480" t="s">
        <v>1303</v>
      </c>
      <c r="K480" t="s">
        <v>1307</v>
      </c>
      <c r="L480" t="s">
        <v>1311</v>
      </c>
      <c r="M480">
        <v>4</v>
      </c>
      <c r="N480">
        <v>0.1</v>
      </c>
      <c r="O480">
        <v>1122.68</v>
      </c>
      <c r="P480">
        <v>271.44</v>
      </c>
      <c r="Q480" t="s">
        <v>1333</v>
      </c>
      <c r="R480" t="b">
        <f t="shared" si="22"/>
        <v>0</v>
      </c>
      <c r="S480" t="b">
        <f t="shared" si="23"/>
        <v>0</v>
      </c>
      <c r="T480" t="b">
        <f t="shared" si="24"/>
        <v>0</v>
      </c>
    </row>
    <row r="481" spans="1:20" x14ac:dyDescent="0.3">
      <c r="A481">
        <v>480</v>
      </c>
      <c r="B481" t="s">
        <v>496</v>
      </c>
      <c r="C481" s="2">
        <v>45777</v>
      </c>
      <c r="D481" s="2">
        <v>45780</v>
      </c>
      <c r="E481" t="s">
        <v>1017</v>
      </c>
      <c r="F481" t="s">
        <v>1231</v>
      </c>
      <c r="G481" t="s">
        <v>1269</v>
      </c>
      <c r="H481" t="s">
        <v>1289</v>
      </c>
      <c r="I481" t="s">
        <v>1295</v>
      </c>
      <c r="J481" t="s">
        <v>1305</v>
      </c>
      <c r="K481" t="s">
        <v>1307</v>
      </c>
      <c r="L481" t="s">
        <v>1322</v>
      </c>
      <c r="M481">
        <v>2</v>
      </c>
      <c r="N481">
        <v>0.1</v>
      </c>
      <c r="O481">
        <v>1279.1400000000001</v>
      </c>
      <c r="P481">
        <v>332.58</v>
      </c>
      <c r="Q481" t="s">
        <v>1331</v>
      </c>
      <c r="R481" t="b">
        <f t="shared" si="22"/>
        <v>0</v>
      </c>
      <c r="S481" t="b">
        <f t="shared" si="23"/>
        <v>0</v>
      </c>
      <c r="T481" t="b">
        <f t="shared" si="24"/>
        <v>0</v>
      </c>
    </row>
    <row r="482" spans="1:20" x14ac:dyDescent="0.3">
      <c r="A482">
        <v>481</v>
      </c>
      <c r="B482" t="s">
        <v>497</v>
      </c>
      <c r="C482" s="2">
        <v>45748</v>
      </c>
      <c r="D482" s="2">
        <v>45752</v>
      </c>
      <c r="E482" t="s">
        <v>1017</v>
      </c>
      <c r="F482" t="s">
        <v>1183</v>
      </c>
      <c r="G482" t="s">
        <v>1273</v>
      </c>
      <c r="H482" t="s">
        <v>1287</v>
      </c>
      <c r="I482" t="s">
        <v>1294</v>
      </c>
      <c r="J482" t="s">
        <v>1305</v>
      </c>
      <c r="K482" t="s">
        <v>1308</v>
      </c>
      <c r="L482" t="s">
        <v>1319</v>
      </c>
      <c r="M482">
        <v>3</v>
      </c>
      <c r="N482">
        <v>0.15</v>
      </c>
      <c r="O482">
        <v>11861.73</v>
      </c>
      <c r="P482">
        <v>844.91</v>
      </c>
      <c r="Q482" t="s">
        <v>1330</v>
      </c>
      <c r="R482" t="b">
        <f t="shared" si="22"/>
        <v>0</v>
      </c>
      <c r="S482" t="b">
        <f t="shared" si="23"/>
        <v>0</v>
      </c>
      <c r="T482" t="b">
        <f t="shared" si="24"/>
        <v>0</v>
      </c>
    </row>
    <row r="483" spans="1:20" x14ac:dyDescent="0.3">
      <c r="A483">
        <v>482</v>
      </c>
      <c r="B483" t="s">
        <v>498</v>
      </c>
      <c r="C483" s="2">
        <v>45800</v>
      </c>
      <c r="D483" s="2">
        <v>45804</v>
      </c>
      <c r="E483" t="s">
        <v>1017</v>
      </c>
      <c r="F483" t="s">
        <v>1209</v>
      </c>
      <c r="G483" t="s">
        <v>1272</v>
      </c>
      <c r="H483" t="s">
        <v>1287</v>
      </c>
      <c r="I483" t="s">
        <v>1290</v>
      </c>
      <c r="J483" t="s">
        <v>1302</v>
      </c>
      <c r="K483" t="s">
        <v>1306</v>
      </c>
      <c r="L483" t="s">
        <v>1324</v>
      </c>
      <c r="M483">
        <v>3</v>
      </c>
      <c r="N483">
        <v>0</v>
      </c>
      <c r="O483">
        <v>262.08</v>
      </c>
      <c r="P483">
        <v>44.73</v>
      </c>
      <c r="Q483" t="s">
        <v>1331</v>
      </c>
      <c r="R483" t="b">
        <f t="shared" si="22"/>
        <v>0</v>
      </c>
      <c r="S483" t="b">
        <f t="shared" si="23"/>
        <v>0</v>
      </c>
      <c r="T483" t="b">
        <f t="shared" si="24"/>
        <v>0</v>
      </c>
    </row>
    <row r="484" spans="1:20" x14ac:dyDescent="0.3">
      <c r="A484">
        <v>483</v>
      </c>
      <c r="B484" t="s">
        <v>499</v>
      </c>
      <c r="C484" s="2">
        <v>45991</v>
      </c>
      <c r="D484" s="2">
        <v>45992</v>
      </c>
      <c r="E484" t="s">
        <v>1018</v>
      </c>
      <c r="F484" t="s">
        <v>1088</v>
      </c>
      <c r="G484" t="s">
        <v>1279</v>
      </c>
      <c r="H484" t="s">
        <v>1288</v>
      </c>
      <c r="I484" t="s">
        <v>1300</v>
      </c>
      <c r="J484" t="s">
        <v>1305</v>
      </c>
      <c r="K484" t="s">
        <v>1308</v>
      </c>
      <c r="L484" t="s">
        <v>1319</v>
      </c>
      <c r="M484">
        <v>1</v>
      </c>
      <c r="N484">
        <v>0</v>
      </c>
      <c r="O484">
        <v>4383.54</v>
      </c>
      <c r="P484">
        <v>1420.31</v>
      </c>
      <c r="Q484" t="s">
        <v>1331</v>
      </c>
      <c r="R484" t="b">
        <f t="shared" si="22"/>
        <v>0</v>
      </c>
      <c r="S484" t="b">
        <f t="shared" si="23"/>
        <v>0</v>
      </c>
      <c r="T484" t="b">
        <f t="shared" si="24"/>
        <v>0</v>
      </c>
    </row>
    <row r="485" spans="1:20" x14ac:dyDescent="0.3">
      <c r="A485">
        <v>484</v>
      </c>
      <c r="B485" t="s">
        <v>500</v>
      </c>
      <c r="C485" s="2">
        <v>45701</v>
      </c>
      <c r="D485" s="2">
        <v>45705</v>
      </c>
      <c r="E485" t="s">
        <v>1018</v>
      </c>
      <c r="F485" t="s">
        <v>1041</v>
      </c>
      <c r="G485" t="s">
        <v>1276</v>
      </c>
      <c r="H485" t="s">
        <v>1287</v>
      </c>
      <c r="I485" t="s">
        <v>1295</v>
      </c>
      <c r="J485" t="s">
        <v>1305</v>
      </c>
      <c r="K485" t="s">
        <v>1309</v>
      </c>
      <c r="L485" t="s">
        <v>1329</v>
      </c>
      <c r="M485">
        <v>1</v>
      </c>
      <c r="N485">
        <v>0.1</v>
      </c>
      <c r="O485">
        <v>1637.43</v>
      </c>
      <c r="P485">
        <v>204.69</v>
      </c>
      <c r="Q485" t="s">
        <v>1334</v>
      </c>
      <c r="R485" t="b">
        <f t="shared" si="22"/>
        <v>0</v>
      </c>
      <c r="S485" t="b">
        <f t="shared" si="23"/>
        <v>0</v>
      </c>
      <c r="T485" t="b">
        <f t="shared" si="24"/>
        <v>0</v>
      </c>
    </row>
    <row r="486" spans="1:20" x14ac:dyDescent="0.3">
      <c r="A486">
        <v>485</v>
      </c>
      <c r="B486" t="s">
        <v>501</v>
      </c>
      <c r="C486" s="2">
        <v>46004</v>
      </c>
      <c r="D486" s="2">
        <v>46005</v>
      </c>
      <c r="E486" t="s">
        <v>1017</v>
      </c>
      <c r="F486" t="s">
        <v>1125</v>
      </c>
      <c r="G486" t="s">
        <v>1273</v>
      </c>
      <c r="H486" t="s">
        <v>1289</v>
      </c>
      <c r="I486" t="s">
        <v>1294</v>
      </c>
      <c r="J486" t="s">
        <v>1305</v>
      </c>
      <c r="K486" t="s">
        <v>1309</v>
      </c>
      <c r="L486" t="s">
        <v>1320</v>
      </c>
      <c r="M486">
        <v>4</v>
      </c>
      <c r="N486">
        <v>0</v>
      </c>
      <c r="O486">
        <v>4737.01</v>
      </c>
      <c r="P486">
        <v>837.93</v>
      </c>
      <c r="Q486" t="s">
        <v>1333</v>
      </c>
      <c r="R486" t="b">
        <f t="shared" si="22"/>
        <v>0</v>
      </c>
      <c r="S486" t="b">
        <f t="shared" si="23"/>
        <v>0</v>
      </c>
      <c r="T486" t="b">
        <f t="shared" si="24"/>
        <v>0</v>
      </c>
    </row>
    <row r="487" spans="1:20" x14ac:dyDescent="0.3">
      <c r="A487">
        <v>486</v>
      </c>
      <c r="B487" t="s">
        <v>502</v>
      </c>
      <c r="C487" s="2">
        <v>45659</v>
      </c>
      <c r="D487" s="2">
        <v>45664</v>
      </c>
      <c r="E487" t="s">
        <v>1017</v>
      </c>
      <c r="F487" t="s">
        <v>1207</v>
      </c>
      <c r="G487" t="s">
        <v>1276</v>
      </c>
      <c r="H487" t="s">
        <v>1287</v>
      </c>
      <c r="I487" t="s">
        <v>1293</v>
      </c>
      <c r="J487" t="s">
        <v>1304</v>
      </c>
      <c r="K487" t="s">
        <v>1306</v>
      </c>
      <c r="L487" t="s">
        <v>1323</v>
      </c>
      <c r="M487">
        <v>3</v>
      </c>
      <c r="N487">
        <v>0</v>
      </c>
      <c r="O487">
        <v>557.41999999999996</v>
      </c>
      <c r="P487">
        <v>221.19</v>
      </c>
      <c r="Q487" t="s">
        <v>1331</v>
      </c>
      <c r="R487" t="b">
        <f t="shared" si="22"/>
        <v>0</v>
      </c>
      <c r="S487" t="b">
        <f t="shared" si="23"/>
        <v>0</v>
      </c>
      <c r="T487" t="b">
        <f t="shared" si="24"/>
        <v>0</v>
      </c>
    </row>
    <row r="488" spans="1:20" x14ac:dyDescent="0.3">
      <c r="A488">
        <v>487</v>
      </c>
      <c r="B488" t="s">
        <v>503</v>
      </c>
      <c r="C488" s="2">
        <v>45980</v>
      </c>
      <c r="D488" s="2">
        <v>45981</v>
      </c>
      <c r="E488" t="s">
        <v>1017</v>
      </c>
      <c r="F488" t="s">
        <v>1232</v>
      </c>
      <c r="G488" t="s">
        <v>1272</v>
      </c>
      <c r="H488" t="s">
        <v>1288</v>
      </c>
      <c r="I488" t="s">
        <v>1294</v>
      </c>
      <c r="J488" t="s">
        <v>1305</v>
      </c>
      <c r="K488" t="s">
        <v>1308</v>
      </c>
      <c r="L488" t="s">
        <v>1326</v>
      </c>
      <c r="M488">
        <v>3</v>
      </c>
      <c r="N488">
        <v>0.1</v>
      </c>
      <c r="O488">
        <v>18966.32</v>
      </c>
      <c r="P488">
        <v>2336.94</v>
      </c>
      <c r="Q488" t="s">
        <v>1332</v>
      </c>
      <c r="R488" t="b">
        <f t="shared" si="22"/>
        <v>0</v>
      </c>
      <c r="S488" t="b">
        <f t="shared" si="23"/>
        <v>0</v>
      </c>
      <c r="T488" t="b">
        <f t="shared" si="24"/>
        <v>0</v>
      </c>
    </row>
    <row r="489" spans="1:20" x14ac:dyDescent="0.3">
      <c r="A489">
        <v>488</v>
      </c>
      <c r="B489" t="s">
        <v>504</v>
      </c>
      <c r="C489" s="2">
        <v>45966</v>
      </c>
      <c r="D489" s="2">
        <v>45970</v>
      </c>
      <c r="E489" t="s">
        <v>1018</v>
      </c>
      <c r="F489" t="s">
        <v>1192</v>
      </c>
      <c r="G489" t="s">
        <v>1269</v>
      </c>
      <c r="H489" t="s">
        <v>1288</v>
      </c>
      <c r="I489" t="s">
        <v>1294</v>
      </c>
      <c r="J489" t="s">
        <v>1305</v>
      </c>
      <c r="K489" t="s">
        <v>1308</v>
      </c>
      <c r="L489" t="s">
        <v>1327</v>
      </c>
      <c r="M489">
        <v>3</v>
      </c>
      <c r="N489">
        <v>0.2</v>
      </c>
      <c r="O489">
        <v>4318.41</v>
      </c>
      <c r="P489">
        <v>481.19</v>
      </c>
      <c r="Q489" t="s">
        <v>1334</v>
      </c>
      <c r="R489" t="b">
        <f t="shared" si="22"/>
        <v>0</v>
      </c>
      <c r="S489" t="b">
        <f t="shared" si="23"/>
        <v>0</v>
      </c>
      <c r="T489" t="b">
        <f t="shared" si="24"/>
        <v>0</v>
      </c>
    </row>
    <row r="490" spans="1:20" x14ac:dyDescent="0.3">
      <c r="A490">
        <v>489</v>
      </c>
      <c r="B490" t="s">
        <v>505</v>
      </c>
      <c r="C490" s="2">
        <v>45911</v>
      </c>
      <c r="D490" s="2">
        <v>45915</v>
      </c>
      <c r="E490" t="s">
        <v>1017</v>
      </c>
      <c r="F490" t="s">
        <v>1188</v>
      </c>
      <c r="G490" t="s">
        <v>1269</v>
      </c>
      <c r="H490" t="s">
        <v>1288</v>
      </c>
      <c r="I490" t="s">
        <v>1295</v>
      </c>
      <c r="J490" t="s">
        <v>1305</v>
      </c>
      <c r="K490" t="s">
        <v>1309</v>
      </c>
      <c r="L490" t="s">
        <v>1320</v>
      </c>
      <c r="M490">
        <v>4</v>
      </c>
      <c r="N490">
        <v>0</v>
      </c>
      <c r="O490">
        <v>4618.0200000000004</v>
      </c>
      <c r="P490">
        <v>953.88</v>
      </c>
      <c r="Q490" t="s">
        <v>1331</v>
      </c>
      <c r="R490" t="b">
        <f t="shared" si="22"/>
        <v>0</v>
      </c>
      <c r="S490" t="b">
        <f t="shared" si="23"/>
        <v>0</v>
      </c>
      <c r="T490" t="b">
        <f t="shared" si="24"/>
        <v>0</v>
      </c>
    </row>
    <row r="491" spans="1:20" x14ac:dyDescent="0.3">
      <c r="A491">
        <v>490</v>
      </c>
      <c r="B491" t="s">
        <v>506</v>
      </c>
      <c r="C491" s="2">
        <v>45920</v>
      </c>
      <c r="D491" s="2">
        <v>45924</v>
      </c>
      <c r="E491" t="s">
        <v>1017</v>
      </c>
      <c r="F491" t="s">
        <v>1135</v>
      </c>
      <c r="G491" t="s">
        <v>1269</v>
      </c>
      <c r="H491" t="s">
        <v>1287</v>
      </c>
      <c r="I491" t="s">
        <v>1295</v>
      </c>
      <c r="J491" t="s">
        <v>1305</v>
      </c>
      <c r="K491" t="s">
        <v>1309</v>
      </c>
      <c r="L491" t="s">
        <v>1317</v>
      </c>
      <c r="M491">
        <v>4</v>
      </c>
      <c r="N491">
        <v>0</v>
      </c>
      <c r="O491">
        <v>3225.91</v>
      </c>
      <c r="P491">
        <v>1163.1400000000001</v>
      </c>
      <c r="Q491" t="s">
        <v>1334</v>
      </c>
      <c r="R491" t="b">
        <f t="shared" si="22"/>
        <v>0</v>
      </c>
      <c r="S491" t="b">
        <f t="shared" si="23"/>
        <v>0</v>
      </c>
      <c r="T491" t="b">
        <f t="shared" si="24"/>
        <v>0</v>
      </c>
    </row>
    <row r="492" spans="1:20" x14ac:dyDescent="0.3">
      <c r="A492">
        <v>491</v>
      </c>
      <c r="B492" t="s">
        <v>507</v>
      </c>
      <c r="C492" s="2">
        <v>45843</v>
      </c>
      <c r="D492" s="2">
        <v>45848</v>
      </c>
      <c r="E492" t="s">
        <v>1017</v>
      </c>
      <c r="F492" t="s">
        <v>1188</v>
      </c>
      <c r="G492" t="s">
        <v>1269</v>
      </c>
      <c r="H492" t="s">
        <v>1287</v>
      </c>
      <c r="I492" t="s">
        <v>1294</v>
      </c>
      <c r="J492" t="s">
        <v>1305</v>
      </c>
      <c r="K492" t="s">
        <v>1308</v>
      </c>
      <c r="L492" t="s">
        <v>1318</v>
      </c>
      <c r="M492">
        <v>1</v>
      </c>
      <c r="N492">
        <v>0.1</v>
      </c>
      <c r="O492">
        <v>4896.7299999999996</v>
      </c>
      <c r="P492">
        <v>554.5</v>
      </c>
      <c r="Q492" t="s">
        <v>1334</v>
      </c>
      <c r="R492" t="b">
        <f t="shared" si="22"/>
        <v>0</v>
      </c>
      <c r="S492" t="b">
        <f t="shared" si="23"/>
        <v>0</v>
      </c>
      <c r="T492" t="b">
        <f t="shared" si="24"/>
        <v>0</v>
      </c>
    </row>
    <row r="493" spans="1:20" x14ac:dyDescent="0.3">
      <c r="A493">
        <v>492</v>
      </c>
      <c r="B493" t="s">
        <v>508</v>
      </c>
      <c r="C493" s="2">
        <v>45674</v>
      </c>
      <c r="D493" s="2">
        <v>45677</v>
      </c>
      <c r="E493" t="s">
        <v>1017</v>
      </c>
      <c r="F493" t="s">
        <v>1233</v>
      </c>
      <c r="G493" t="s">
        <v>1283</v>
      </c>
      <c r="H493" t="s">
        <v>1289</v>
      </c>
      <c r="I493" t="s">
        <v>1294</v>
      </c>
      <c r="J493" t="s">
        <v>1305</v>
      </c>
      <c r="K493" t="s">
        <v>1307</v>
      </c>
      <c r="L493" t="s">
        <v>1311</v>
      </c>
      <c r="M493">
        <v>1</v>
      </c>
      <c r="N493">
        <v>0.1</v>
      </c>
      <c r="O493">
        <v>262.06</v>
      </c>
      <c r="P493">
        <v>29.2</v>
      </c>
      <c r="Q493" t="s">
        <v>1332</v>
      </c>
      <c r="R493" t="b">
        <f t="shared" si="22"/>
        <v>0</v>
      </c>
      <c r="S493" t="b">
        <f t="shared" si="23"/>
        <v>0</v>
      </c>
      <c r="T493" t="b">
        <f t="shared" si="24"/>
        <v>0</v>
      </c>
    </row>
    <row r="494" spans="1:20" x14ac:dyDescent="0.3">
      <c r="A494">
        <v>493</v>
      </c>
      <c r="B494" t="s">
        <v>509</v>
      </c>
      <c r="C494" s="2">
        <v>45673</v>
      </c>
      <c r="D494" s="2">
        <v>45677</v>
      </c>
      <c r="E494" t="s">
        <v>1017</v>
      </c>
      <c r="F494" t="s">
        <v>1234</v>
      </c>
      <c r="G494" t="s">
        <v>1275</v>
      </c>
      <c r="H494" t="s">
        <v>1287</v>
      </c>
      <c r="I494" t="s">
        <v>1299</v>
      </c>
      <c r="J494" t="s">
        <v>1304</v>
      </c>
      <c r="K494" t="s">
        <v>1309</v>
      </c>
      <c r="L494" t="s">
        <v>1325</v>
      </c>
      <c r="M494">
        <v>1</v>
      </c>
      <c r="N494">
        <v>0.05</v>
      </c>
      <c r="O494">
        <v>1209.18</v>
      </c>
      <c r="P494">
        <v>229.12</v>
      </c>
      <c r="Q494" t="s">
        <v>1333</v>
      </c>
      <c r="R494" t="b">
        <f t="shared" si="22"/>
        <v>0</v>
      </c>
      <c r="S494" t="b">
        <f t="shared" si="23"/>
        <v>0</v>
      </c>
      <c r="T494" t="b">
        <f t="shared" si="24"/>
        <v>0</v>
      </c>
    </row>
    <row r="495" spans="1:20" x14ac:dyDescent="0.3">
      <c r="A495">
        <v>494</v>
      </c>
      <c r="B495" t="s">
        <v>510</v>
      </c>
      <c r="C495" s="2">
        <v>45916</v>
      </c>
      <c r="D495" s="2">
        <v>45920</v>
      </c>
      <c r="E495" t="s">
        <v>1017</v>
      </c>
      <c r="F495" t="s">
        <v>1223</v>
      </c>
      <c r="G495" t="s">
        <v>1280</v>
      </c>
      <c r="H495" t="s">
        <v>1288</v>
      </c>
      <c r="I495" t="s">
        <v>1293</v>
      </c>
      <c r="J495" t="s">
        <v>1304</v>
      </c>
      <c r="K495" t="s">
        <v>1309</v>
      </c>
      <c r="L495" t="s">
        <v>1317</v>
      </c>
      <c r="M495">
        <v>1</v>
      </c>
      <c r="N495">
        <v>0.15</v>
      </c>
      <c r="O495">
        <v>697.89</v>
      </c>
      <c r="P495">
        <v>148.38</v>
      </c>
      <c r="Q495" t="s">
        <v>1331</v>
      </c>
      <c r="R495" t="b">
        <f t="shared" si="22"/>
        <v>0</v>
      </c>
      <c r="S495" t="b">
        <f t="shared" si="23"/>
        <v>0</v>
      </c>
      <c r="T495" t="b">
        <f t="shared" si="24"/>
        <v>0</v>
      </c>
    </row>
    <row r="496" spans="1:20" x14ac:dyDescent="0.3">
      <c r="A496">
        <v>495</v>
      </c>
      <c r="B496" t="s">
        <v>511</v>
      </c>
      <c r="C496" s="2">
        <v>45688</v>
      </c>
      <c r="D496" s="2">
        <v>45691</v>
      </c>
      <c r="E496" t="s">
        <v>1017</v>
      </c>
      <c r="F496" t="s">
        <v>1204</v>
      </c>
      <c r="G496" t="s">
        <v>1283</v>
      </c>
      <c r="H496" t="s">
        <v>1287</v>
      </c>
      <c r="I496" t="s">
        <v>1301</v>
      </c>
      <c r="J496" t="s">
        <v>1303</v>
      </c>
      <c r="K496" t="s">
        <v>1307</v>
      </c>
      <c r="L496" t="s">
        <v>1311</v>
      </c>
      <c r="M496">
        <v>1</v>
      </c>
      <c r="N496">
        <v>0.2</v>
      </c>
      <c r="O496">
        <v>248.91</v>
      </c>
      <c r="P496">
        <v>55.96</v>
      </c>
      <c r="Q496" t="s">
        <v>1331</v>
      </c>
      <c r="R496" t="b">
        <f t="shared" si="22"/>
        <v>0</v>
      </c>
      <c r="S496" t="b">
        <f t="shared" si="23"/>
        <v>0</v>
      </c>
      <c r="T496" t="b">
        <f t="shared" si="24"/>
        <v>0</v>
      </c>
    </row>
    <row r="497" spans="1:20" x14ac:dyDescent="0.3">
      <c r="A497">
        <v>496</v>
      </c>
      <c r="B497" t="s">
        <v>512</v>
      </c>
      <c r="C497" s="2">
        <v>45694</v>
      </c>
      <c r="D497" s="2">
        <v>45696</v>
      </c>
      <c r="E497" t="s">
        <v>1017</v>
      </c>
      <c r="F497" t="s">
        <v>1199</v>
      </c>
      <c r="G497" t="s">
        <v>1270</v>
      </c>
      <c r="H497" t="s">
        <v>1287</v>
      </c>
      <c r="I497" t="s">
        <v>1294</v>
      </c>
      <c r="J497" t="s">
        <v>1305</v>
      </c>
      <c r="K497" t="s">
        <v>1307</v>
      </c>
      <c r="L497" t="s">
        <v>1322</v>
      </c>
      <c r="M497">
        <v>1</v>
      </c>
      <c r="N497">
        <v>0</v>
      </c>
      <c r="O497">
        <v>698.55</v>
      </c>
      <c r="P497">
        <v>201.76</v>
      </c>
      <c r="Q497" t="s">
        <v>1331</v>
      </c>
      <c r="R497" t="b">
        <f t="shared" si="22"/>
        <v>0</v>
      </c>
      <c r="S497" t="b">
        <f t="shared" si="23"/>
        <v>0</v>
      </c>
      <c r="T497" t="b">
        <f t="shared" si="24"/>
        <v>0</v>
      </c>
    </row>
    <row r="498" spans="1:20" x14ac:dyDescent="0.3">
      <c r="A498">
        <v>497</v>
      </c>
      <c r="B498" t="s">
        <v>513</v>
      </c>
      <c r="C498" s="2">
        <v>45757</v>
      </c>
      <c r="D498" s="2">
        <v>45760</v>
      </c>
      <c r="E498" t="s">
        <v>1017</v>
      </c>
      <c r="F498" t="s">
        <v>1235</v>
      </c>
      <c r="G498" t="s">
        <v>1269</v>
      </c>
      <c r="H498" t="s">
        <v>1287</v>
      </c>
      <c r="I498" t="s">
        <v>1290</v>
      </c>
      <c r="J498" t="s">
        <v>1302</v>
      </c>
      <c r="K498" t="s">
        <v>1309</v>
      </c>
      <c r="L498" t="s">
        <v>1329</v>
      </c>
      <c r="M498">
        <v>3</v>
      </c>
      <c r="N498">
        <v>0.15</v>
      </c>
      <c r="O498">
        <v>4673.58</v>
      </c>
      <c r="P498">
        <v>817.08</v>
      </c>
      <c r="Q498" t="s">
        <v>1331</v>
      </c>
      <c r="R498" t="b">
        <f t="shared" si="22"/>
        <v>0</v>
      </c>
      <c r="S498" t="b">
        <f t="shared" si="23"/>
        <v>0</v>
      </c>
      <c r="T498" t="b">
        <f t="shared" si="24"/>
        <v>0</v>
      </c>
    </row>
    <row r="499" spans="1:20" x14ac:dyDescent="0.3">
      <c r="A499">
        <v>498</v>
      </c>
      <c r="B499" t="s">
        <v>514</v>
      </c>
      <c r="C499" s="2">
        <v>45716</v>
      </c>
      <c r="D499" s="2">
        <v>45718</v>
      </c>
      <c r="E499" t="s">
        <v>1019</v>
      </c>
      <c r="F499" t="s">
        <v>1114</v>
      </c>
      <c r="G499" t="s">
        <v>1281</v>
      </c>
      <c r="H499" t="s">
        <v>1288</v>
      </c>
      <c r="I499" t="s">
        <v>1297</v>
      </c>
      <c r="J499" t="s">
        <v>1304</v>
      </c>
      <c r="K499" t="s">
        <v>1308</v>
      </c>
      <c r="L499" t="s">
        <v>1312</v>
      </c>
      <c r="M499">
        <v>3</v>
      </c>
      <c r="N499">
        <v>0</v>
      </c>
      <c r="O499">
        <v>3909.8</v>
      </c>
      <c r="P499">
        <v>1126.31</v>
      </c>
      <c r="Q499" t="s">
        <v>1331</v>
      </c>
      <c r="R499" t="b">
        <f t="shared" si="22"/>
        <v>0</v>
      </c>
      <c r="S499" t="b">
        <f t="shared" si="23"/>
        <v>0</v>
      </c>
      <c r="T499" t="b">
        <f t="shared" si="24"/>
        <v>0</v>
      </c>
    </row>
    <row r="500" spans="1:20" x14ac:dyDescent="0.3">
      <c r="A500">
        <v>499</v>
      </c>
      <c r="B500" t="s">
        <v>515</v>
      </c>
      <c r="C500" s="2">
        <v>46021</v>
      </c>
      <c r="D500" s="2">
        <v>46025</v>
      </c>
      <c r="E500" t="s">
        <v>1017</v>
      </c>
      <c r="F500" t="s">
        <v>1191</v>
      </c>
      <c r="G500" t="s">
        <v>1274</v>
      </c>
      <c r="H500" t="s">
        <v>1287</v>
      </c>
      <c r="I500" t="s">
        <v>1296</v>
      </c>
      <c r="J500" t="s">
        <v>1304</v>
      </c>
      <c r="K500" t="s">
        <v>1306</v>
      </c>
      <c r="L500" t="s">
        <v>1328</v>
      </c>
      <c r="M500">
        <v>5</v>
      </c>
      <c r="N500">
        <v>0</v>
      </c>
      <c r="O500">
        <v>580.4</v>
      </c>
      <c r="P500">
        <v>121.43</v>
      </c>
      <c r="Q500" t="s">
        <v>1332</v>
      </c>
      <c r="R500" t="b">
        <f t="shared" si="22"/>
        <v>0</v>
      </c>
      <c r="S500" t="b">
        <f t="shared" si="23"/>
        <v>0</v>
      </c>
      <c r="T500" t="b">
        <f t="shared" si="24"/>
        <v>0</v>
      </c>
    </row>
    <row r="501" spans="1:20" x14ac:dyDescent="0.3">
      <c r="A501">
        <v>500</v>
      </c>
      <c r="B501" t="s">
        <v>516</v>
      </c>
      <c r="C501" s="2">
        <v>45808</v>
      </c>
      <c r="D501" s="2">
        <v>45813</v>
      </c>
      <c r="E501" t="s">
        <v>1017</v>
      </c>
      <c r="F501" t="s">
        <v>1215</v>
      </c>
      <c r="G501" t="s">
        <v>1272</v>
      </c>
      <c r="H501" t="s">
        <v>1288</v>
      </c>
      <c r="I501" t="s">
        <v>1291</v>
      </c>
      <c r="J501" t="s">
        <v>1302</v>
      </c>
      <c r="K501" t="s">
        <v>1307</v>
      </c>
      <c r="L501" t="s">
        <v>1315</v>
      </c>
      <c r="M501">
        <v>4</v>
      </c>
      <c r="N501">
        <v>0</v>
      </c>
      <c r="O501">
        <v>7475.74</v>
      </c>
      <c r="P501">
        <v>2925.46</v>
      </c>
      <c r="Q501" t="s">
        <v>1332</v>
      </c>
      <c r="R501" t="b">
        <f t="shared" si="22"/>
        <v>0</v>
      </c>
      <c r="S501" t="b">
        <f t="shared" si="23"/>
        <v>0</v>
      </c>
      <c r="T501" t="b">
        <f t="shared" si="24"/>
        <v>0</v>
      </c>
    </row>
    <row r="502" spans="1:20" x14ac:dyDescent="0.3">
      <c r="A502">
        <v>501</v>
      </c>
      <c r="B502" t="s">
        <v>517</v>
      </c>
      <c r="C502" s="2">
        <v>45883</v>
      </c>
      <c r="D502" s="2">
        <v>45886</v>
      </c>
      <c r="E502" t="s">
        <v>1017</v>
      </c>
      <c r="F502" t="s">
        <v>1103</v>
      </c>
      <c r="G502" t="s">
        <v>1275</v>
      </c>
      <c r="H502" t="s">
        <v>1287</v>
      </c>
      <c r="I502" t="s">
        <v>1299</v>
      </c>
      <c r="J502" t="s">
        <v>1304</v>
      </c>
      <c r="K502" t="s">
        <v>1306</v>
      </c>
      <c r="L502" t="s">
        <v>1321</v>
      </c>
      <c r="M502">
        <v>1</v>
      </c>
      <c r="N502">
        <v>0.2</v>
      </c>
      <c r="O502">
        <v>373.77</v>
      </c>
      <c r="P502">
        <v>43.32</v>
      </c>
      <c r="Q502" t="s">
        <v>1331</v>
      </c>
      <c r="R502" t="b">
        <f t="shared" si="22"/>
        <v>0</v>
      </c>
      <c r="S502" t="b">
        <f t="shared" si="23"/>
        <v>0</v>
      </c>
      <c r="T502" t="b">
        <f t="shared" si="24"/>
        <v>0</v>
      </c>
    </row>
    <row r="503" spans="1:20" x14ac:dyDescent="0.3">
      <c r="A503">
        <v>502</v>
      </c>
      <c r="B503" t="s">
        <v>518</v>
      </c>
      <c r="C503" s="2">
        <v>45995</v>
      </c>
      <c r="D503" s="2">
        <v>46000</v>
      </c>
      <c r="E503" t="s">
        <v>1019</v>
      </c>
      <c r="F503" t="s">
        <v>1235</v>
      </c>
      <c r="G503" t="s">
        <v>1281</v>
      </c>
      <c r="H503" t="s">
        <v>1288</v>
      </c>
      <c r="I503" t="s">
        <v>1301</v>
      </c>
      <c r="J503" t="s">
        <v>1303</v>
      </c>
      <c r="K503" t="s">
        <v>1306</v>
      </c>
      <c r="L503" t="s">
        <v>1323</v>
      </c>
      <c r="M503">
        <v>1</v>
      </c>
      <c r="N503">
        <v>0</v>
      </c>
      <c r="O503">
        <v>172.82</v>
      </c>
      <c r="P503">
        <v>54.06</v>
      </c>
      <c r="Q503" t="s">
        <v>1331</v>
      </c>
      <c r="R503" t="b">
        <f t="shared" si="22"/>
        <v>0</v>
      </c>
      <c r="S503" t="b">
        <f t="shared" si="23"/>
        <v>0</v>
      </c>
      <c r="T503" t="b">
        <f t="shared" si="24"/>
        <v>0</v>
      </c>
    </row>
    <row r="504" spans="1:20" x14ac:dyDescent="0.3">
      <c r="A504">
        <v>503</v>
      </c>
      <c r="B504" t="s">
        <v>519</v>
      </c>
      <c r="C504" s="2">
        <v>45856</v>
      </c>
      <c r="D504" s="2">
        <v>45861</v>
      </c>
      <c r="E504" t="s">
        <v>1017</v>
      </c>
      <c r="F504" t="s">
        <v>1207</v>
      </c>
      <c r="G504" t="s">
        <v>1270</v>
      </c>
      <c r="H504" t="s">
        <v>1287</v>
      </c>
      <c r="I504" t="s">
        <v>1294</v>
      </c>
      <c r="J504" t="s">
        <v>1305</v>
      </c>
      <c r="K504" t="s">
        <v>1307</v>
      </c>
      <c r="L504" t="s">
        <v>1314</v>
      </c>
      <c r="M504">
        <v>5</v>
      </c>
      <c r="N504">
        <v>0.1</v>
      </c>
      <c r="O504">
        <v>4215.43</v>
      </c>
      <c r="P504">
        <v>843.95</v>
      </c>
      <c r="Q504" t="s">
        <v>1331</v>
      </c>
      <c r="R504" t="b">
        <f t="shared" si="22"/>
        <v>0</v>
      </c>
      <c r="S504" t="b">
        <f t="shared" si="23"/>
        <v>0</v>
      </c>
      <c r="T504" t="b">
        <f t="shared" si="24"/>
        <v>0</v>
      </c>
    </row>
    <row r="505" spans="1:20" x14ac:dyDescent="0.3">
      <c r="A505">
        <v>504</v>
      </c>
      <c r="B505" t="s">
        <v>520</v>
      </c>
      <c r="C505" s="2">
        <v>45757</v>
      </c>
      <c r="D505" s="2">
        <v>45762</v>
      </c>
      <c r="E505" t="s">
        <v>1017</v>
      </c>
      <c r="F505" t="s">
        <v>1175</v>
      </c>
      <c r="G505" t="s">
        <v>1271</v>
      </c>
      <c r="H505" t="s">
        <v>1287</v>
      </c>
      <c r="I505" t="s">
        <v>1301</v>
      </c>
      <c r="J505" t="s">
        <v>1303</v>
      </c>
      <c r="K505" t="s">
        <v>1306</v>
      </c>
      <c r="L505" t="s">
        <v>1328</v>
      </c>
      <c r="M505">
        <v>1</v>
      </c>
      <c r="N505">
        <v>0.1</v>
      </c>
      <c r="O505">
        <v>103.73</v>
      </c>
      <c r="P505">
        <v>22.9</v>
      </c>
      <c r="Q505" t="s">
        <v>1332</v>
      </c>
      <c r="R505" t="b">
        <f t="shared" si="22"/>
        <v>0</v>
      </c>
      <c r="S505" t="b">
        <f t="shared" si="23"/>
        <v>0</v>
      </c>
      <c r="T505" t="b">
        <f t="shared" si="24"/>
        <v>0</v>
      </c>
    </row>
    <row r="506" spans="1:20" x14ac:dyDescent="0.3">
      <c r="A506">
        <v>505</v>
      </c>
      <c r="B506" t="s">
        <v>521</v>
      </c>
      <c r="C506" s="2">
        <v>45710</v>
      </c>
      <c r="D506" s="2">
        <v>45712</v>
      </c>
      <c r="E506" t="s">
        <v>1017</v>
      </c>
      <c r="F506" t="s">
        <v>1111</v>
      </c>
      <c r="G506" t="s">
        <v>1274</v>
      </c>
      <c r="H506" t="s">
        <v>1287</v>
      </c>
      <c r="I506" t="s">
        <v>1292</v>
      </c>
      <c r="J506" t="s">
        <v>1303</v>
      </c>
      <c r="K506" t="s">
        <v>1306</v>
      </c>
      <c r="L506" t="s">
        <v>1324</v>
      </c>
      <c r="M506">
        <v>2</v>
      </c>
      <c r="N506">
        <v>0</v>
      </c>
      <c r="O506">
        <v>188.21</v>
      </c>
      <c r="P506">
        <v>74.08</v>
      </c>
      <c r="Q506" t="s">
        <v>1331</v>
      </c>
      <c r="R506" t="b">
        <f t="shared" si="22"/>
        <v>0</v>
      </c>
      <c r="S506" t="b">
        <f t="shared" si="23"/>
        <v>0</v>
      </c>
      <c r="T506" t="b">
        <f t="shared" si="24"/>
        <v>0</v>
      </c>
    </row>
    <row r="507" spans="1:20" x14ac:dyDescent="0.3">
      <c r="A507">
        <v>506</v>
      </c>
      <c r="B507" t="s">
        <v>522</v>
      </c>
      <c r="C507" s="2">
        <v>46017</v>
      </c>
      <c r="D507" s="2">
        <v>46020</v>
      </c>
      <c r="E507" t="s">
        <v>1017</v>
      </c>
      <c r="F507" t="s">
        <v>1236</v>
      </c>
      <c r="G507" t="s">
        <v>1270</v>
      </c>
      <c r="H507" t="s">
        <v>1288</v>
      </c>
      <c r="I507" t="s">
        <v>1295</v>
      </c>
      <c r="J507" t="s">
        <v>1305</v>
      </c>
      <c r="K507" t="s">
        <v>1306</v>
      </c>
      <c r="L507" t="s">
        <v>1328</v>
      </c>
      <c r="M507">
        <v>4</v>
      </c>
      <c r="N507">
        <v>0.1</v>
      </c>
      <c r="O507">
        <v>427.28</v>
      </c>
      <c r="P507">
        <v>65.760000000000005</v>
      </c>
      <c r="Q507" t="s">
        <v>1333</v>
      </c>
      <c r="R507" t="b">
        <f t="shared" si="22"/>
        <v>0</v>
      </c>
      <c r="S507" t="b">
        <f t="shared" si="23"/>
        <v>0</v>
      </c>
      <c r="T507" t="b">
        <f t="shared" si="24"/>
        <v>0</v>
      </c>
    </row>
    <row r="508" spans="1:20" x14ac:dyDescent="0.3">
      <c r="A508">
        <v>507</v>
      </c>
      <c r="B508" t="s">
        <v>523</v>
      </c>
      <c r="C508" s="2">
        <v>45938</v>
      </c>
      <c r="D508" s="2">
        <v>45941</v>
      </c>
      <c r="E508" t="s">
        <v>1017</v>
      </c>
      <c r="F508" t="s">
        <v>1230</v>
      </c>
      <c r="G508" t="s">
        <v>1283</v>
      </c>
      <c r="H508" t="s">
        <v>1287</v>
      </c>
      <c r="I508" t="s">
        <v>1295</v>
      </c>
      <c r="J508" t="s">
        <v>1305</v>
      </c>
      <c r="K508" t="s">
        <v>1306</v>
      </c>
      <c r="L508" t="s">
        <v>1323</v>
      </c>
      <c r="M508">
        <v>1</v>
      </c>
      <c r="N508">
        <v>0</v>
      </c>
      <c r="O508">
        <v>187.05</v>
      </c>
      <c r="P508">
        <v>65.11</v>
      </c>
      <c r="Q508" t="s">
        <v>1332</v>
      </c>
      <c r="R508" t="b">
        <f t="shared" si="22"/>
        <v>0</v>
      </c>
      <c r="S508" t="b">
        <f t="shared" si="23"/>
        <v>0</v>
      </c>
      <c r="T508" t="b">
        <f t="shared" si="24"/>
        <v>0</v>
      </c>
    </row>
    <row r="509" spans="1:20" x14ac:dyDescent="0.3">
      <c r="A509">
        <v>508</v>
      </c>
      <c r="B509" t="s">
        <v>524</v>
      </c>
      <c r="C509" s="2">
        <v>46014</v>
      </c>
      <c r="D509" s="2">
        <v>46015</v>
      </c>
      <c r="E509" t="s">
        <v>1017</v>
      </c>
      <c r="F509" t="s">
        <v>1182</v>
      </c>
      <c r="G509" t="s">
        <v>1281</v>
      </c>
      <c r="H509" t="s">
        <v>1287</v>
      </c>
      <c r="I509" t="s">
        <v>1295</v>
      </c>
      <c r="J509" t="s">
        <v>1305</v>
      </c>
      <c r="K509" t="s">
        <v>1308</v>
      </c>
      <c r="L509" t="s">
        <v>1318</v>
      </c>
      <c r="M509">
        <v>2</v>
      </c>
      <c r="N509">
        <v>0.1</v>
      </c>
      <c r="O509">
        <v>9860.6299999999992</v>
      </c>
      <c r="P509">
        <v>1055.57</v>
      </c>
      <c r="Q509" t="s">
        <v>1330</v>
      </c>
      <c r="R509" t="b">
        <f t="shared" si="22"/>
        <v>0</v>
      </c>
      <c r="S509" t="b">
        <f t="shared" si="23"/>
        <v>0</v>
      </c>
      <c r="T509" t="b">
        <f t="shared" si="24"/>
        <v>0</v>
      </c>
    </row>
    <row r="510" spans="1:20" x14ac:dyDescent="0.3">
      <c r="A510">
        <v>509</v>
      </c>
      <c r="B510" t="s">
        <v>525</v>
      </c>
      <c r="C510" s="2">
        <v>45859</v>
      </c>
      <c r="D510" s="2">
        <v>45861</v>
      </c>
      <c r="E510" t="s">
        <v>1018</v>
      </c>
      <c r="F510" t="s">
        <v>1214</v>
      </c>
      <c r="G510" t="s">
        <v>1271</v>
      </c>
      <c r="H510" t="s">
        <v>1289</v>
      </c>
      <c r="I510" t="s">
        <v>1294</v>
      </c>
      <c r="J510" t="s">
        <v>1305</v>
      </c>
      <c r="K510" t="s">
        <v>1307</v>
      </c>
      <c r="L510" t="s">
        <v>1311</v>
      </c>
      <c r="M510">
        <v>3</v>
      </c>
      <c r="N510">
        <v>0.1</v>
      </c>
      <c r="O510">
        <v>844.57</v>
      </c>
      <c r="P510">
        <v>149.38</v>
      </c>
      <c r="Q510" t="s">
        <v>1333</v>
      </c>
      <c r="R510" t="b">
        <f t="shared" si="22"/>
        <v>0</v>
      </c>
      <c r="S510" t="b">
        <f t="shared" si="23"/>
        <v>0</v>
      </c>
      <c r="T510" t="b">
        <f t="shared" si="24"/>
        <v>0</v>
      </c>
    </row>
    <row r="511" spans="1:20" x14ac:dyDescent="0.3">
      <c r="A511">
        <v>510</v>
      </c>
      <c r="B511" t="s">
        <v>526</v>
      </c>
      <c r="C511" s="2">
        <v>45697</v>
      </c>
      <c r="D511" s="2">
        <v>45702</v>
      </c>
      <c r="E511" t="s">
        <v>1017</v>
      </c>
      <c r="F511" t="s">
        <v>1027</v>
      </c>
      <c r="G511" t="s">
        <v>1267</v>
      </c>
      <c r="H511" t="s">
        <v>1289</v>
      </c>
      <c r="I511" t="s">
        <v>1299</v>
      </c>
      <c r="J511" t="s">
        <v>1304</v>
      </c>
      <c r="K511" t="s">
        <v>1307</v>
      </c>
      <c r="L511" t="s">
        <v>1322</v>
      </c>
      <c r="M511">
        <v>3</v>
      </c>
      <c r="N511">
        <v>0</v>
      </c>
      <c r="O511">
        <v>2013.64</v>
      </c>
      <c r="P511">
        <v>488.93</v>
      </c>
      <c r="Q511" t="s">
        <v>1332</v>
      </c>
      <c r="R511" t="b">
        <f t="shared" si="22"/>
        <v>0</v>
      </c>
      <c r="S511" t="b">
        <f t="shared" si="23"/>
        <v>0</v>
      </c>
      <c r="T511" t="b">
        <f t="shared" si="24"/>
        <v>0</v>
      </c>
    </row>
    <row r="512" spans="1:20" x14ac:dyDescent="0.3">
      <c r="A512">
        <v>511</v>
      </c>
      <c r="B512" t="s">
        <v>527</v>
      </c>
      <c r="C512" s="2">
        <v>45809</v>
      </c>
      <c r="D512" s="2">
        <v>45811</v>
      </c>
      <c r="E512" t="s">
        <v>1017</v>
      </c>
      <c r="F512" t="s">
        <v>1081</v>
      </c>
      <c r="G512" t="s">
        <v>1267</v>
      </c>
      <c r="H512" t="s">
        <v>1288</v>
      </c>
      <c r="I512" t="s">
        <v>1294</v>
      </c>
      <c r="J512" t="s">
        <v>1305</v>
      </c>
      <c r="K512" t="s">
        <v>1307</v>
      </c>
      <c r="L512" t="s">
        <v>1311</v>
      </c>
      <c r="M512">
        <v>1</v>
      </c>
      <c r="N512">
        <v>0.15</v>
      </c>
      <c r="O512">
        <v>249.36</v>
      </c>
      <c r="P512">
        <v>17.16</v>
      </c>
      <c r="Q512" t="s">
        <v>1331</v>
      </c>
      <c r="R512" t="b">
        <f t="shared" si="22"/>
        <v>0</v>
      </c>
      <c r="S512" t="b">
        <f t="shared" si="23"/>
        <v>0</v>
      </c>
      <c r="T512" t="b">
        <f t="shared" si="24"/>
        <v>0</v>
      </c>
    </row>
    <row r="513" spans="1:20" x14ac:dyDescent="0.3">
      <c r="A513">
        <v>512</v>
      </c>
      <c r="B513" t="s">
        <v>528</v>
      </c>
      <c r="C513" s="2">
        <v>45893</v>
      </c>
      <c r="D513" s="2">
        <v>45894</v>
      </c>
      <c r="E513" t="s">
        <v>1018</v>
      </c>
      <c r="F513" t="s">
        <v>1237</v>
      </c>
      <c r="G513" t="s">
        <v>1279</v>
      </c>
      <c r="H513" t="s">
        <v>1287</v>
      </c>
      <c r="I513" t="s">
        <v>1291</v>
      </c>
      <c r="J513" t="s">
        <v>1302</v>
      </c>
      <c r="K513" t="s">
        <v>1306</v>
      </c>
      <c r="L513" t="s">
        <v>1321</v>
      </c>
      <c r="M513">
        <v>2</v>
      </c>
      <c r="N513">
        <v>0.1</v>
      </c>
      <c r="O513">
        <v>841.48</v>
      </c>
      <c r="P513">
        <v>196.39</v>
      </c>
      <c r="Q513" t="s">
        <v>1331</v>
      </c>
      <c r="R513" t="b">
        <f t="shared" si="22"/>
        <v>0</v>
      </c>
      <c r="S513" t="b">
        <f t="shared" si="23"/>
        <v>0</v>
      </c>
      <c r="T513" t="b">
        <f t="shared" si="24"/>
        <v>0</v>
      </c>
    </row>
    <row r="514" spans="1:20" x14ac:dyDescent="0.3">
      <c r="A514">
        <v>513</v>
      </c>
      <c r="B514" t="s">
        <v>529</v>
      </c>
      <c r="C514" s="2">
        <v>45772</v>
      </c>
      <c r="D514" s="2">
        <v>45773</v>
      </c>
      <c r="E514" t="s">
        <v>1017</v>
      </c>
      <c r="F514" t="s">
        <v>1114</v>
      </c>
      <c r="G514" t="s">
        <v>1270</v>
      </c>
      <c r="H514" t="s">
        <v>1288</v>
      </c>
      <c r="I514" t="s">
        <v>1298</v>
      </c>
      <c r="J514" t="s">
        <v>1303</v>
      </c>
      <c r="K514" t="s">
        <v>1308</v>
      </c>
      <c r="L514" t="s">
        <v>1326</v>
      </c>
      <c r="M514">
        <v>1</v>
      </c>
      <c r="N514">
        <v>0.15</v>
      </c>
      <c r="O514">
        <v>5865.86</v>
      </c>
      <c r="P514">
        <v>1419.08</v>
      </c>
      <c r="Q514" t="s">
        <v>1331</v>
      </c>
      <c r="R514" t="b">
        <f t="shared" si="22"/>
        <v>0</v>
      </c>
      <c r="S514" t="b">
        <f t="shared" si="23"/>
        <v>0</v>
      </c>
      <c r="T514" t="b">
        <f t="shared" si="24"/>
        <v>0</v>
      </c>
    </row>
    <row r="515" spans="1:20" x14ac:dyDescent="0.3">
      <c r="A515">
        <v>514</v>
      </c>
      <c r="B515" t="s">
        <v>530</v>
      </c>
      <c r="C515" s="2">
        <v>45775</v>
      </c>
      <c r="D515" s="2">
        <v>45779</v>
      </c>
      <c r="E515" t="s">
        <v>1018</v>
      </c>
      <c r="F515" t="s">
        <v>1020</v>
      </c>
      <c r="G515" t="s">
        <v>1277</v>
      </c>
      <c r="H515" t="s">
        <v>1287</v>
      </c>
      <c r="I515" t="s">
        <v>1294</v>
      </c>
      <c r="J515" t="s">
        <v>1305</v>
      </c>
      <c r="K515" t="s">
        <v>1308</v>
      </c>
      <c r="L515" t="s">
        <v>1326</v>
      </c>
      <c r="M515">
        <v>1</v>
      </c>
      <c r="N515">
        <v>0.25</v>
      </c>
      <c r="O515">
        <v>5253.82</v>
      </c>
      <c r="P515">
        <v>574.11</v>
      </c>
      <c r="Q515" t="s">
        <v>1333</v>
      </c>
      <c r="R515" t="b">
        <f t="shared" ref="R515:R578" si="25">D515&lt;C515</f>
        <v>0</v>
      </c>
      <c r="S515" t="b">
        <f t="shared" ref="S515:S578" si="26">M515&lt;=0</f>
        <v>0</v>
      </c>
      <c r="T515" t="b">
        <f t="shared" ref="T515:T578" si="27">OR(N515&lt;0,N515&gt;1)</f>
        <v>0</v>
      </c>
    </row>
    <row r="516" spans="1:20" x14ac:dyDescent="0.3">
      <c r="A516">
        <v>515</v>
      </c>
      <c r="B516" t="s">
        <v>531</v>
      </c>
      <c r="C516" s="2">
        <v>45853</v>
      </c>
      <c r="D516" s="2">
        <v>45857</v>
      </c>
      <c r="E516" t="s">
        <v>1019</v>
      </c>
      <c r="F516" t="s">
        <v>1039</v>
      </c>
      <c r="G516" t="s">
        <v>1274</v>
      </c>
      <c r="H516" t="s">
        <v>1287</v>
      </c>
      <c r="I516" t="s">
        <v>1297</v>
      </c>
      <c r="J516" t="s">
        <v>1304</v>
      </c>
      <c r="K516" t="s">
        <v>1309</v>
      </c>
      <c r="L516" t="s">
        <v>1329</v>
      </c>
      <c r="M516">
        <v>3</v>
      </c>
      <c r="N516">
        <v>0.2</v>
      </c>
      <c r="O516">
        <v>4363.03</v>
      </c>
      <c r="P516">
        <v>519.07000000000005</v>
      </c>
      <c r="Q516" t="s">
        <v>1331</v>
      </c>
      <c r="R516" t="b">
        <f t="shared" si="25"/>
        <v>0</v>
      </c>
      <c r="S516" t="b">
        <f t="shared" si="26"/>
        <v>0</v>
      </c>
      <c r="T516" t="b">
        <f t="shared" si="27"/>
        <v>0</v>
      </c>
    </row>
    <row r="517" spans="1:20" x14ac:dyDescent="0.3">
      <c r="A517">
        <v>516</v>
      </c>
      <c r="B517" t="s">
        <v>532</v>
      </c>
      <c r="C517" s="2">
        <v>45990</v>
      </c>
      <c r="D517" s="2">
        <v>45994</v>
      </c>
      <c r="E517" t="s">
        <v>1017</v>
      </c>
      <c r="F517" t="s">
        <v>1155</v>
      </c>
      <c r="G517" t="s">
        <v>1269</v>
      </c>
      <c r="H517" t="s">
        <v>1288</v>
      </c>
      <c r="I517" t="s">
        <v>1295</v>
      </c>
      <c r="J517" t="s">
        <v>1305</v>
      </c>
      <c r="K517" t="s">
        <v>1308</v>
      </c>
      <c r="L517" t="s">
        <v>1326</v>
      </c>
      <c r="M517">
        <v>2</v>
      </c>
      <c r="N517">
        <v>0.1</v>
      </c>
      <c r="O517">
        <v>13037.22</v>
      </c>
      <c r="P517">
        <v>1821.97</v>
      </c>
      <c r="Q517" t="s">
        <v>1331</v>
      </c>
      <c r="R517" t="b">
        <f t="shared" si="25"/>
        <v>0</v>
      </c>
      <c r="S517" t="b">
        <f t="shared" si="26"/>
        <v>0</v>
      </c>
      <c r="T517" t="b">
        <f t="shared" si="27"/>
        <v>0</v>
      </c>
    </row>
    <row r="518" spans="1:20" x14ac:dyDescent="0.3">
      <c r="A518">
        <v>517</v>
      </c>
      <c r="B518" t="s">
        <v>533</v>
      </c>
      <c r="C518" s="2">
        <v>45680</v>
      </c>
      <c r="D518" s="2">
        <v>45683</v>
      </c>
      <c r="E518" t="s">
        <v>1017</v>
      </c>
      <c r="F518" t="s">
        <v>1238</v>
      </c>
      <c r="G518" t="s">
        <v>1268</v>
      </c>
      <c r="H518" t="s">
        <v>1287</v>
      </c>
      <c r="I518" t="s">
        <v>1297</v>
      </c>
      <c r="J518" t="s">
        <v>1304</v>
      </c>
      <c r="K518" t="s">
        <v>1309</v>
      </c>
      <c r="L518" t="s">
        <v>1317</v>
      </c>
      <c r="M518">
        <v>4</v>
      </c>
      <c r="N518">
        <v>0.1</v>
      </c>
      <c r="O518">
        <v>2883.81</v>
      </c>
      <c r="P518">
        <v>443.28</v>
      </c>
      <c r="Q518" t="s">
        <v>1331</v>
      </c>
      <c r="R518" t="b">
        <f t="shared" si="25"/>
        <v>0</v>
      </c>
      <c r="S518" t="b">
        <f t="shared" si="26"/>
        <v>0</v>
      </c>
      <c r="T518" t="b">
        <f t="shared" si="27"/>
        <v>0</v>
      </c>
    </row>
    <row r="519" spans="1:20" x14ac:dyDescent="0.3">
      <c r="A519">
        <v>518</v>
      </c>
      <c r="B519" t="s">
        <v>534</v>
      </c>
      <c r="C519" s="2">
        <v>45984</v>
      </c>
      <c r="D519" s="2">
        <v>45987</v>
      </c>
      <c r="E519" t="s">
        <v>1018</v>
      </c>
      <c r="F519" t="s">
        <v>1040</v>
      </c>
      <c r="G519" t="s">
        <v>1282</v>
      </c>
      <c r="H519" t="s">
        <v>1287</v>
      </c>
      <c r="I519" t="s">
        <v>1294</v>
      </c>
      <c r="J519" t="s">
        <v>1305</v>
      </c>
      <c r="K519" t="s">
        <v>1309</v>
      </c>
      <c r="L519" t="s">
        <v>1329</v>
      </c>
      <c r="M519">
        <v>2</v>
      </c>
      <c r="N519">
        <v>0.2</v>
      </c>
      <c r="O519">
        <v>3187.84</v>
      </c>
      <c r="P519">
        <v>630.94000000000005</v>
      </c>
      <c r="Q519" t="s">
        <v>1332</v>
      </c>
      <c r="R519" t="b">
        <f t="shared" si="25"/>
        <v>0</v>
      </c>
      <c r="S519" t="b">
        <f t="shared" si="26"/>
        <v>0</v>
      </c>
      <c r="T519" t="b">
        <f t="shared" si="27"/>
        <v>0</v>
      </c>
    </row>
    <row r="520" spans="1:20" x14ac:dyDescent="0.3">
      <c r="A520">
        <v>519</v>
      </c>
      <c r="B520" t="s">
        <v>535</v>
      </c>
      <c r="C520" s="2">
        <v>45897</v>
      </c>
      <c r="D520" s="2">
        <v>45901</v>
      </c>
      <c r="E520" t="s">
        <v>1018</v>
      </c>
      <c r="F520" t="s">
        <v>1237</v>
      </c>
      <c r="G520" t="s">
        <v>1269</v>
      </c>
      <c r="H520" t="s">
        <v>1289</v>
      </c>
      <c r="I520" t="s">
        <v>1291</v>
      </c>
      <c r="J520" t="s">
        <v>1302</v>
      </c>
      <c r="K520" t="s">
        <v>1308</v>
      </c>
      <c r="L520" t="s">
        <v>1326</v>
      </c>
      <c r="M520">
        <v>1</v>
      </c>
      <c r="N520">
        <v>0.1</v>
      </c>
      <c r="O520">
        <v>6523.95</v>
      </c>
      <c r="P520">
        <v>1226.81</v>
      </c>
      <c r="Q520" t="s">
        <v>1331</v>
      </c>
      <c r="R520" t="b">
        <f t="shared" si="25"/>
        <v>0</v>
      </c>
      <c r="S520" t="b">
        <f t="shared" si="26"/>
        <v>0</v>
      </c>
      <c r="T520" t="b">
        <f t="shared" si="27"/>
        <v>0</v>
      </c>
    </row>
    <row r="521" spans="1:20" x14ac:dyDescent="0.3">
      <c r="A521">
        <v>520</v>
      </c>
      <c r="B521" t="s">
        <v>536</v>
      </c>
      <c r="C521" s="2">
        <v>45989</v>
      </c>
      <c r="D521" s="2">
        <v>45990</v>
      </c>
      <c r="E521" t="s">
        <v>1018</v>
      </c>
      <c r="F521" t="s">
        <v>1218</v>
      </c>
      <c r="G521" t="s">
        <v>1274</v>
      </c>
      <c r="H521" t="s">
        <v>1288</v>
      </c>
      <c r="I521" t="s">
        <v>1294</v>
      </c>
      <c r="J521" t="s">
        <v>1305</v>
      </c>
      <c r="K521" t="s">
        <v>1307</v>
      </c>
      <c r="L521" t="s">
        <v>1315</v>
      </c>
      <c r="M521">
        <v>3</v>
      </c>
      <c r="N521">
        <v>0</v>
      </c>
      <c r="O521">
        <v>5194.9399999999996</v>
      </c>
      <c r="P521">
        <v>1513.1</v>
      </c>
      <c r="Q521" t="s">
        <v>1333</v>
      </c>
      <c r="R521" t="b">
        <f t="shared" si="25"/>
        <v>0</v>
      </c>
      <c r="S521" t="b">
        <f t="shared" si="26"/>
        <v>0</v>
      </c>
      <c r="T521" t="b">
        <f t="shared" si="27"/>
        <v>0</v>
      </c>
    </row>
    <row r="522" spans="1:20" x14ac:dyDescent="0.3">
      <c r="A522">
        <v>521</v>
      </c>
      <c r="B522" t="s">
        <v>537</v>
      </c>
      <c r="C522" s="2">
        <v>45839</v>
      </c>
      <c r="D522" s="2">
        <v>45840</v>
      </c>
      <c r="E522" t="s">
        <v>1018</v>
      </c>
      <c r="F522" t="s">
        <v>1218</v>
      </c>
      <c r="G522" t="s">
        <v>1276</v>
      </c>
      <c r="H522" t="s">
        <v>1288</v>
      </c>
      <c r="I522" t="s">
        <v>1297</v>
      </c>
      <c r="J522" t="s">
        <v>1304</v>
      </c>
      <c r="K522" t="s">
        <v>1307</v>
      </c>
      <c r="L522" t="s">
        <v>1322</v>
      </c>
      <c r="M522">
        <v>1</v>
      </c>
      <c r="N522">
        <v>0.05</v>
      </c>
      <c r="O522">
        <v>641.27</v>
      </c>
      <c r="P522">
        <v>75.42</v>
      </c>
      <c r="Q522" t="s">
        <v>1330</v>
      </c>
      <c r="R522" t="b">
        <f t="shared" si="25"/>
        <v>0</v>
      </c>
      <c r="S522" t="b">
        <f t="shared" si="26"/>
        <v>0</v>
      </c>
      <c r="T522" t="b">
        <f t="shared" si="27"/>
        <v>0</v>
      </c>
    </row>
    <row r="523" spans="1:20" x14ac:dyDescent="0.3">
      <c r="A523">
        <v>522</v>
      </c>
      <c r="B523" t="s">
        <v>538</v>
      </c>
      <c r="C523" s="2">
        <v>45790</v>
      </c>
      <c r="D523" s="2">
        <v>45791</v>
      </c>
      <c r="E523" t="s">
        <v>1018</v>
      </c>
      <c r="F523" t="s">
        <v>1167</v>
      </c>
      <c r="G523" t="s">
        <v>1282</v>
      </c>
      <c r="H523" t="s">
        <v>1288</v>
      </c>
      <c r="I523" t="s">
        <v>1298</v>
      </c>
      <c r="J523" t="s">
        <v>1303</v>
      </c>
      <c r="K523" t="s">
        <v>1307</v>
      </c>
      <c r="L523" t="s">
        <v>1314</v>
      </c>
      <c r="M523">
        <v>3</v>
      </c>
      <c r="N523">
        <v>0.1</v>
      </c>
      <c r="O523">
        <v>2537.6</v>
      </c>
      <c r="P523">
        <v>393.93</v>
      </c>
      <c r="Q523" t="s">
        <v>1331</v>
      </c>
      <c r="R523" t="b">
        <f t="shared" si="25"/>
        <v>0</v>
      </c>
      <c r="S523" t="b">
        <f t="shared" si="26"/>
        <v>0</v>
      </c>
      <c r="T523" t="b">
        <f t="shared" si="27"/>
        <v>0</v>
      </c>
    </row>
    <row r="524" spans="1:20" x14ac:dyDescent="0.3">
      <c r="A524">
        <v>523</v>
      </c>
      <c r="B524" t="s">
        <v>539</v>
      </c>
      <c r="C524" s="2">
        <v>45944</v>
      </c>
      <c r="D524" s="2">
        <v>45942</v>
      </c>
      <c r="E524" t="s">
        <v>1019</v>
      </c>
      <c r="F524" t="s">
        <v>1239</v>
      </c>
      <c r="G524" t="s">
        <v>1284</v>
      </c>
      <c r="H524" t="s">
        <v>1288</v>
      </c>
      <c r="I524" t="s">
        <v>1293</v>
      </c>
      <c r="J524" t="s">
        <v>1304</v>
      </c>
      <c r="K524" t="s">
        <v>1308</v>
      </c>
      <c r="L524" t="s">
        <v>1326</v>
      </c>
      <c r="M524">
        <v>5</v>
      </c>
      <c r="N524">
        <v>0.1</v>
      </c>
      <c r="O524">
        <v>31658.29</v>
      </c>
      <c r="P524">
        <v>4074.56</v>
      </c>
      <c r="Q524" t="s">
        <v>1331</v>
      </c>
      <c r="R524" t="b">
        <f t="shared" si="25"/>
        <v>1</v>
      </c>
      <c r="S524" t="b">
        <f t="shared" si="26"/>
        <v>0</v>
      </c>
      <c r="T524" t="b">
        <f t="shared" si="27"/>
        <v>0</v>
      </c>
    </row>
    <row r="525" spans="1:20" x14ac:dyDescent="0.3">
      <c r="A525">
        <v>524</v>
      </c>
      <c r="B525" t="s">
        <v>540</v>
      </c>
      <c r="C525" s="2">
        <v>45785</v>
      </c>
      <c r="D525" s="2">
        <v>45789</v>
      </c>
      <c r="E525" t="s">
        <v>1017</v>
      </c>
      <c r="F525" t="s">
        <v>1088</v>
      </c>
      <c r="G525" t="s">
        <v>1280</v>
      </c>
      <c r="H525" t="s">
        <v>1287</v>
      </c>
      <c r="I525" t="s">
        <v>1301</v>
      </c>
      <c r="J525" t="s">
        <v>1303</v>
      </c>
      <c r="K525" t="s">
        <v>1308</v>
      </c>
      <c r="L525" t="s">
        <v>1319</v>
      </c>
      <c r="M525">
        <v>3</v>
      </c>
      <c r="N525">
        <v>0.25</v>
      </c>
      <c r="O525">
        <v>10744.27</v>
      </c>
      <c r="P525">
        <v>-426.33</v>
      </c>
      <c r="Q525" t="s">
        <v>1331</v>
      </c>
      <c r="R525" t="b">
        <f t="shared" si="25"/>
        <v>0</v>
      </c>
      <c r="S525" t="b">
        <f t="shared" si="26"/>
        <v>0</v>
      </c>
      <c r="T525" t="b">
        <f t="shared" si="27"/>
        <v>0</v>
      </c>
    </row>
    <row r="526" spans="1:20" x14ac:dyDescent="0.3">
      <c r="A526">
        <v>525</v>
      </c>
      <c r="B526" t="s">
        <v>541</v>
      </c>
      <c r="C526" s="2">
        <v>45983</v>
      </c>
      <c r="D526" s="2">
        <v>45986</v>
      </c>
      <c r="E526" t="s">
        <v>1018</v>
      </c>
      <c r="F526" t="s">
        <v>1240</v>
      </c>
      <c r="G526" t="s">
        <v>1282</v>
      </c>
      <c r="H526" t="s">
        <v>1287</v>
      </c>
      <c r="I526" t="s">
        <v>1292</v>
      </c>
      <c r="J526" t="s">
        <v>1303</v>
      </c>
      <c r="K526" t="s">
        <v>1307</v>
      </c>
      <c r="L526" t="s">
        <v>1314</v>
      </c>
      <c r="M526">
        <v>1</v>
      </c>
      <c r="N526">
        <v>0.1</v>
      </c>
      <c r="O526">
        <v>812.91</v>
      </c>
      <c r="P526">
        <v>138.66999999999999</v>
      </c>
      <c r="Q526" t="s">
        <v>1332</v>
      </c>
      <c r="R526" t="b">
        <f t="shared" si="25"/>
        <v>0</v>
      </c>
      <c r="S526" t="b">
        <f t="shared" si="26"/>
        <v>0</v>
      </c>
      <c r="T526" t="b">
        <f t="shared" si="27"/>
        <v>0</v>
      </c>
    </row>
    <row r="527" spans="1:20" x14ac:dyDescent="0.3">
      <c r="A527">
        <v>526</v>
      </c>
      <c r="B527" t="s">
        <v>542</v>
      </c>
      <c r="C527" s="2">
        <v>45960</v>
      </c>
      <c r="D527" s="2">
        <v>45962</v>
      </c>
      <c r="E527" t="s">
        <v>1017</v>
      </c>
      <c r="F527" t="s">
        <v>1239</v>
      </c>
      <c r="G527" t="s">
        <v>1285</v>
      </c>
      <c r="H527" t="s">
        <v>1287</v>
      </c>
      <c r="I527" t="s">
        <v>1293</v>
      </c>
      <c r="J527" t="s">
        <v>1304</v>
      </c>
      <c r="K527" t="s">
        <v>1308</v>
      </c>
      <c r="L527" t="s">
        <v>1319</v>
      </c>
      <c r="M527">
        <v>2</v>
      </c>
      <c r="N527">
        <v>0.1</v>
      </c>
      <c r="O527">
        <v>8271.91</v>
      </c>
      <c r="P527">
        <v>1029.9000000000001</v>
      </c>
      <c r="Q527" t="s">
        <v>1332</v>
      </c>
      <c r="R527" t="b">
        <f t="shared" si="25"/>
        <v>0</v>
      </c>
      <c r="S527" t="b">
        <f t="shared" si="26"/>
        <v>0</v>
      </c>
      <c r="T527" t="b">
        <f t="shared" si="27"/>
        <v>0</v>
      </c>
    </row>
    <row r="528" spans="1:20" x14ac:dyDescent="0.3">
      <c r="A528">
        <v>527</v>
      </c>
      <c r="B528" t="s">
        <v>543</v>
      </c>
      <c r="C528" s="2">
        <v>45968</v>
      </c>
      <c r="D528" s="2">
        <v>45969</v>
      </c>
      <c r="E528" t="s">
        <v>1019</v>
      </c>
      <c r="F528" t="s">
        <v>1028</v>
      </c>
      <c r="G528" t="s">
        <v>1277</v>
      </c>
      <c r="H528" t="s">
        <v>1289</v>
      </c>
      <c r="I528" t="s">
        <v>1297</v>
      </c>
      <c r="J528" t="s">
        <v>1304</v>
      </c>
      <c r="K528" t="s">
        <v>1309</v>
      </c>
      <c r="L528" t="s">
        <v>1317</v>
      </c>
      <c r="M528">
        <v>2</v>
      </c>
      <c r="N528">
        <v>0.2</v>
      </c>
      <c r="O528">
        <v>1233.05</v>
      </c>
      <c r="P528">
        <v>74.72</v>
      </c>
      <c r="Q528" t="s">
        <v>1334</v>
      </c>
      <c r="R528" t="b">
        <f t="shared" si="25"/>
        <v>0</v>
      </c>
      <c r="S528" t="b">
        <f t="shared" si="26"/>
        <v>0</v>
      </c>
      <c r="T528" t="b">
        <f t="shared" si="27"/>
        <v>0</v>
      </c>
    </row>
    <row r="529" spans="1:20" x14ac:dyDescent="0.3">
      <c r="A529">
        <v>528</v>
      </c>
      <c r="B529" t="s">
        <v>544</v>
      </c>
      <c r="C529" s="2">
        <v>45680</v>
      </c>
      <c r="D529" s="2">
        <v>45683</v>
      </c>
      <c r="E529" t="s">
        <v>1018</v>
      </c>
      <c r="F529" t="s">
        <v>1241</v>
      </c>
      <c r="G529" t="s">
        <v>1278</v>
      </c>
      <c r="H529" t="s">
        <v>1288</v>
      </c>
      <c r="I529" t="s">
        <v>1297</v>
      </c>
      <c r="J529" t="s">
        <v>1304</v>
      </c>
      <c r="K529" t="s">
        <v>1309</v>
      </c>
      <c r="L529" t="s">
        <v>1329</v>
      </c>
      <c r="M529">
        <v>3</v>
      </c>
      <c r="N529">
        <v>0.2</v>
      </c>
      <c r="O529">
        <v>4641.08</v>
      </c>
      <c r="P529">
        <v>1049.31</v>
      </c>
      <c r="Q529" t="s">
        <v>1333</v>
      </c>
      <c r="R529" t="b">
        <f t="shared" si="25"/>
        <v>0</v>
      </c>
      <c r="S529" t="b">
        <f t="shared" si="26"/>
        <v>0</v>
      </c>
      <c r="T529" t="b">
        <f t="shared" si="27"/>
        <v>0</v>
      </c>
    </row>
    <row r="530" spans="1:20" x14ac:dyDescent="0.3">
      <c r="A530">
        <v>529</v>
      </c>
      <c r="B530" t="s">
        <v>545</v>
      </c>
      <c r="C530" s="2">
        <v>45691</v>
      </c>
      <c r="D530" s="2">
        <v>45695</v>
      </c>
      <c r="E530" t="s">
        <v>1017</v>
      </c>
      <c r="F530" t="s">
        <v>1188</v>
      </c>
      <c r="G530" t="s">
        <v>1273</v>
      </c>
      <c r="H530" t="s">
        <v>1289</v>
      </c>
      <c r="I530" t="s">
        <v>1293</v>
      </c>
      <c r="J530" t="s">
        <v>1304</v>
      </c>
      <c r="K530" t="s">
        <v>1309</v>
      </c>
      <c r="L530" t="s">
        <v>1320</v>
      </c>
      <c r="M530">
        <v>1</v>
      </c>
      <c r="N530">
        <v>0.1</v>
      </c>
      <c r="O530">
        <v>1048</v>
      </c>
      <c r="P530">
        <v>114.57</v>
      </c>
      <c r="Q530" t="s">
        <v>1331</v>
      </c>
      <c r="R530" t="b">
        <f t="shared" si="25"/>
        <v>0</v>
      </c>
      <c r="S530" t="b">
        <f t="shared" si="26"/>
        <v>0</v>
      </c>
      <c r="T530" t="b">
        <f t="shared" si="27"/>
        <v>0</v>
      </c>
    </row>
    <row r="531" spans="1:20" x14ac:dyDescent="0.3">
      <c r="A531">
        <v>530</v>
      </c>
      <c r="B531" t="s">
        <v>546</v>
      </c>
      <c r="C531" s="2">
        <v>45718</v>
      </c>
      <c r="D531" s="2">
        <v>45720</v>
      </c>
      <c r="E531" t="s">
        <v>1018</v>
      </c>
      <c r="F531" t="s">
        <v>1072</v>
      </c>
      <c r="G531" t="s">
        <v>1281</v>
      </c>
      <c r="H531" t="s">
        <v>1287</v>
      </c>
      <c r="I531" t="s">
        <v>1298</v>
      </c>
      <c r="J531" t="s">
        <v>1303</v>
      </c>
      <c r="K531" t="s">
        <v>1307</v>
      </c>
      <c r="L531" t="s">
        <v>1315</v>
      </c>
      <c r="M531">
        <v>2</v>
      </c>
      <c r="N531">
        <v>0.2</v>
      </c>
      <c r="O531">
        <v>2756.19</v>
      </c>
      <c r="P531">
        <v>345.27</v>
      </c>
      <c r="Q531" t="s">
        <v>1332</v>
      </c>
      <c r="R531" t="b">
        <f t="shared" si="25"/>
        <v>0</v>
      </c>
      <c r="S531" t="b">
        <f t="shared" si="26"/>
        <v>0</v>
      </c>
      <c r="T531" t="b">
        <f t="shared" si="27"/>
        <v>0</v>
      </c>
    </row>
    <row r="532" spans="1:20" x14ac:dyDescent="0.3">
      <c r="A532">
        <v>531</v>
      </c>
      <c r="B532" t="s">
        <v>547</v>
      </c>
      <c r="C532" s="2">
        <v>45810</v>
      </c>
      <c r="D532" s="2">
        <v>45811</v>
      </c>
      <c r="E532" t="s">
        <v>1017</v>
      </c>
      <c r="F532" t="s">
        <v>1029</v>
      </c>
      <c r="G532" t="s">
        <v>1281</v>
      </c>
      <c r="H532" t="s">
        <v>1287</v>
      </c>
      <c r="I532" t="s">
        <v>1294</v>
      </c>
      <c r="J532" t="s">
        <v>1305</v>
      </c>
      <c r="K532" t="s">
        <v>1309</v>
      </c>
      <c r="L532" t="s">
        <v>1317</v>
      </c>
      <c r="M532">
        <v>5</v>
      </c>
      <c r="N532">
        <v>0.05</v>
      </c>
      <c r="O532">
        <v>3817.69</v>
      </c>
      <c r="P532">
        <v>939.07</v>
      </c>
      <c r="Q532" t="s">
        <v>1333</v>
      </c>
      <c r="R532" t="b">
        <f t="shared" si="25"/>
        <v>0</v>
      </c>
      <c r="S532" t="b">
        <f t="shared" si="26"/>
        <v>0</v>
      </c>
      <c r="T532" t="b">
        <f t="shared" si="27"/>
        <v>0</v>
      </c>
    </row>
    <row r="533" spans="1:20" x14ac:dyDescent="0.3">
      <c r="A533">
        <v>532</v>
      </c>
      <c r="B533" t="s">
        <v>548</v>
      </c>
      <c r="C533" s="2">
        <v>45750</v>
      </c>
      <c r="D533" s="2">
        <v>45754</v>
      </c>
      <c r="E533" t="s">
        <v>1017</v>
      </c>
      <c r="F533" t="s">
        <v>1111</v>
      </c>
      <c r="G533" t="s">
        <v>1278</v>
      </c>
      <c r="H533" t="s">
        <v>1288</v>
      </c>
      <c r="I533" t="s">
        <v>1296</v>
      </c>
      <c r="J533" t="s">
        <v>1304</v>
      </c>
      <c r="K533" t="s">
        <v>1308</v>
      </c>
      <c r="L533" t="s">
        <v>1312</v>
      </c>
      <c r="M533">
        <v>3</v>
      </c>
      <c r="N533">
        <v>0.15</v>
      </c>
      <c r="O533">
        <v>3463.22</v>
      </c>
      <c r="P533">
        <v>859.91</v>
      </c>
      <c r="Q533" t="s">
        <v>1331</v>
      </c>
      <c r="R533" t="b">
        <f t="shared" si="25"/>
        <v>0</v>
      </c>
      <c r="S533" t="b">
        <f t="shared" si="26"/>
        <v>0</v>
      </c>
      <c r="T533" t="b">
        <f t="shared" si="27"/>
        <v>0</v>
      </c>
    </row>
    <row r="534" spans="1:20" x14ac:dyDescent="0.3">
      <c r="A534">
        <v>533</v>
      </c>
      <c r="B534" t="s">
        <v>549</v>
      </c>
      <c r="C534" s="2">
        <v>45746</v>
      </c>
      <c r="D534" s="2">
        <v>45748</v>
      </c>
      <c r="E534" t="s">
        <v>1017</v>
      </c>
      <c r="F534" t="s">
        <v>1073</v>
      </c>
      <c r="G534" t="s">
        <v>1275</v>
      </c>
      <c r="H534" t="s">
        <v>1287</v>
      </c>
      <c r="I534" t="s">
        <v>1298</v>
      </c>
      <c r="J534" t="s">
        <v>1303</v>
      </c>
      <c r="K534" t="s">
        <v>1306</v>
      </c>
      <c r="L534" t="s">
        <v>1324</v>
      </c>
      <c r="M534">
        <v>2</v>
      </c>
      <c r="N534">
        <v>0.05</v>
      </c>
      <c r="O534">
        <v>172.06</v>
      </c>
      <c r="P534">
        <v>60.25</v>
      </c>
      <c r="Q534" t="s">
        <v>1332</v>
      </c>
      <c r="R534" t="b">
        <f t="shared" si="25"/>
        <v>0</v>
      </c>
      <c r="S534" t="b">
        <f t="shared" si="26"/>
        <v>0</v>
      </c>
      <c r="T534" t="b">
        <f t="shared" si="27"/>
        <v>0</v>
      </c>
    </row>
    <row r="535" spans="1:20" x14ac:dyDescent="0.3">
      <c r="A535">
        <v>534</v>
      </c>
      <c r="B535" t="s">
        <v>550</v>
      </c>
      <c r="C535" s="2">
        <v>45932</v>
      </c>
      <c r="D535" s="2">
        <v>45933</v>
      </c>
      <c r="E535" t="s">
        <v>1017</v>
      </c>
      <c r="F535" t="s">
        <v>1115</v>
      </c>
      <c r="G535" t="s">
        <v>1284</v>
      </c>
      <c r="H535" t="s">
        <v>1287</v>
      </c>
      <c r="I535" t="s">
        <v>1291</v>
      </c>
      <c r="J535" t="s">
        <v>1302</v>
      </c>
      <c r="K535" t="s">
        <v>1307</v>
      </c>
      <c r="L535" t="s">
        <v>1314</v>
      </c>
      <c r="M535">
        <v>4</v>
      </c>
      <c r="N535">
        <v>0.1</v>
      </c>
      <c r="O535">
        <v>3369.93</v>
      </c>
      <c r="P535">
        <v>511.98</v>
      </c>
      <c r="Q535" t="s">
        <v>1332</v>
      </c>
      <c r="R535" t="b">
        <f t="shared" si="25"/>
        <v>0</v>
      </c>
      <c r="S535" t="b">
        <f t="shared" si="26"/>
        <v>0</v>
      </c>
      <c r="T535" t="b">
        <f t="shared" si="27"/>
        <v>0</v>
      </c>
    </row>
    <row r="536" spans="1:20" x14ac:dyDescent="0.3">
      <c r="A536">
        <v>535</v>
      </c>
      <c r="B536" t="s">
        <v>551</v>
      </c>
      <c r="C536" s="2">
        <v>45980</v>
      </c>
      <c r="D536" s="2">
        <v>45983</v>
      </c>
      <c r="E536" t="s">
        <v>1017</v>
      </c>
      <c r="F536" t="s">
        <v>1181</v>
      </c>
      <c r="G536" t="s">
        <v>1285</v>
      </c>
      <c r="H536" t="s">
        <v>1287</v>
      </c>
      <c r="I536" t="s">
        <v>1290</v>
      </c>
      <c r="J536" t="s">
        <v>1302</v>
      </c>
      <c r="K536" t="s">
        <v>1309</v>
      </c>
      <c r="L536" t="s">
        <v>1320</v>
      </c>
      <c r="M536">
        <v>2</v>
      </c>
      <c r="N536">
        <v>0</v>
      </c>
      <c r="O536">
        <v>2482.9899999999998</v>
      </c>
      <c r="P536">
        <v>637.01</v>
      </c>
      <c r="Q536" t="s">
        <v>1330</v>
      </c>
      <c r="R536" t="b">
        <f t="shared" si="25"/>
        <v>0</v>
      </c>
      <c r="S536" t="b">
        <f t="shared" si="26"/>
        <v>0</v>
      </c>
      <c r="T536" t="b">
        <f t="shared" si="27"/>
        <v>0</v>
      </c>
    </row>
    <row r="537" spans="1:20" x14ac:dyDescent="0.3">
      <c r="A537">
        <v>536</v>
      </c>
      <c r="B537" t="s">
        <v>552</v>
      </c>
      <c r="C537" s="2">
        <v>45860</v>
      </c>
      <c r="D537" s="2">
        <v>45861</v>
      </c>
      <c r="E537" t="s">
        <v>1017</v>
      </c>
      <c r="F537" t="s">
        <v>1223</v>
      </c>
      <c r="G537" t="s">
        <v>1283</v>
      </c>
      <c r="H537" t="s">
        <v>1289</v>
      </c>
      <c r="I537" t="s">
        <v>1298</v>
      </c>
      <c r="J537" t="s">
        <v>1303</v>
      </c>
      <c r="K537" t="s">
        <v>1308</v>
      </c>
      <c r="L537" t="s">
        <v>1318</v>
      </c>
      <c r="M537">
        <v>2</v>
      </c>
      <c r="N537">
        <v>0.05</v>
      </c>
      <c r="O537">
        <v>10472.43</v>
      </c>
      <c r="P537">
        <v>3396.87</v>
      </c>
      <c r="Q537" t="s">
        <v>1331</v>
      </c>
      <c r="R537" t="b">
        <f t="shared" si="25"/>
        <v>0</v>
      </c>
      <c r="S537" t="b">
        <f t="shared" si="26"/>
        <v>0</v>
      </c>
      <c r="T537" t="b">
        <f t="shared" si="27"/>
        <v>0</v>
      </c>
    </row>
    <row r="538" spans="1:20" x14ac:dyDescent="0.3">
      <c r="A538">
        <v>537</v>
      </c>
      <c r="B538" t="s">
        <v>553</v>
      </c>
      <c r="C538" s="2">
        <v>45679</v>
      </c>
      <c r="D538" s="2">
        <v>45680</v>
      </c>
      <c r="E538" t="s">
        <v>1017</v>
      </c>
      <c r="F538" t="s">
        <v>1062</v>
      </c>
      <c r="G538" t="s">
        <v>1268</v>
      </c>
      <c r="H538" t="s">
        <v>1287</v>
      </c>
      <c r="I538" t="s">
        <v>1294</v>
      </c>
      <c r="J538" t="s">
        <v>1305</v>
      </c>
      <c r="K538" t="s">
        <v>1307</v>
      </c>
      <c r="L538" t="s">
        <v>1311</v>
      </c>
      <c r="M538">
        <v>1</v>
      </c>
      <c r="N538">
        <v>0</v>
      </c>
      <c r="O538">
        <v>290.02</v>
      </c>
      <c r="P538">
        <v>82.44</v>
      </c>
      <c r="Q538" t="s">
        <v>1332</v>
      </c>
      <c r="R538" t="b">
        <f t="shared" si="25"/>
        <v>0</v>
      </c>
      <c r="S538" t="b">
        <f t="shared" si="26"/>
        <v>0</v>
      </c>
      <c r="T538" t="b">
        <f t="shared" si="27"/>
        <v>0</v>
      </c>
    </row>
    <row r="539" spans="1:20" x14ac:dyDescent="0.3">
      <c r="A539">
        <v>538</v>
      </c>
      <c r="B539" t="s">
        <v>554</v>
      </c>
      <c r="C539" s="2">
        <v>45924</v>
      </c>
      <c r="D539" s="2">
        <v>45928</v>
      </c>
      <c r="E539" t="s">
        <v>1017</v>
      </c>
      <c r="F539" t="s">
        <v>1242</v>
      </c>
      <c r="G539" t="s">
        <v>1277</v>
      </c>
      <c r="H539" t="s">
        <v>1289</v>
      </c>
      <c r="I539" t="s">
        <v>1291</v>
      </c>
      <c r="J539" t="s">
        <v>1302</v>
      </c>
      <c r="K539" t="s">
        <v>1307</v>
      </c>
      <c r="L539" t="s">
        <v>1316</v>
      </c>
      <c r="M539">
        <v>5</v>
      </c>
      <c r="N539">
        <v>0.05</v>
      </c>
      <c r="O539">
        <v>2383.4899999999998</v>
      </c>
      <c r="P539">
        <v>487.53</v>
      </c>
      <c r="Q539" t="s">
        <v>1330</v>
      </c>
      <c r="R539" t="b">
        <f t="shared" si="25"/>
        <v>0</v>
      </c>
      <c r="S539" t="b">
        <f t="shared" si="26"/>
        <v>0</v>
      </c>
      <c r="T539" t="b">
        <f t="shared" si="27"/>
        <v>0</v>
      </c>
    </row>
    <row r="540" spans="1:20" x14ac:dyDescent="0.3">
      <c r="A540">
        <v>539</v>
      </c>
      <c r="B540" t="s">
        <v>555</v>
      </c>
      <c r="C540" s="2">
        <v>45887</v>
      </c>
      <c r="D540" s="2">
        <v>45890</v>
      </c>
      <c r="E540" t="s">
        <v>1017</v>
      </c>
      <c r="F540" t="s">
        <v>1032</v>
      </c>
      <c r="G540" t="s">
        <v>1271</v>
      </c>
      <c r="H540" t="s">
        <v>1287</v>
      </c>
      <c r="I540" t="s">
        <v>1292</v>
      </c>
      <c r="J540" t="s">
        <v>1303</v>
      </c>
      <c r="K540" t="s">
        <v>1309</v>
      </c>
      <c r="L540" t="s">
        <v>1317</v>
      </c>
      <c r="M540">
        <v>1</v>
      </c>
      <c r="N540">
        <v>0.1</v>
      </c>
      <c r="O540">
        <v>726.43</v>
      </c>
      <c r="P540">
        <v>119.6</v>
      </c>
      <c r="Q540" t="s">
        <v>1332</v>
      </c>
      <c r="R540" t="b">
        <f t="shared" si="25"/>
        <v>0</v>
      </c>
      <c r="S540" t="b">
        <f t="shared" si="26"/>
        <v>0</v>
      </c>
      <c r="T540" t="b">
        <f t="shared" si="27"/>
        <v>0</v>
      </c>
    </row>
    <row r="541" spans="1:20" x14ac:dyDescent="0.3">
      <c r="A541">
        <v>540</v>
      </c>
      <c r="B541" t="s">
        <v>556</v>
      </c>
      <c r="C541" s="2">
        <v>45739</v>
      </c>
      <c r="D541" s="2">
        <v>45743</v>
      </c>
      <c r="E541" t="s">
        <v>1017</v>
      </c>
      <c r="F541" t="s">
        <v>1243</v>
      </c>
      <c r="G541" t="s">
        <v>1274</v>
      </c>
      <c r="H541" t="s">
        <v>1287</v>
      </c>
      <c r="I541" t="s">
        <v>1293</v>
      </c>
      <c r="J541" t="s">
        <v>1304</v>
      </c>
      <c r="K541" t="s">
        <v>1309</v>
      </c>
      <c r="L541" t="s">
        <v>1317</v>
      </c>
      <c r="M541">
        <v>2</v>
      </c>
      <c r="N541">
        <v>0</v>
      </c>
      <c r="O541">
        <v>1583.42</v>
      </c>
      <c r="P541">
        <v>455.58</v>
      </c>
      <c r="Q541" t="s">
        <v>1331</v>
      </c>
      <c r="R541" t="b">
        <f t="shared" si="25"/>
        <v>0</v>
      </c>
      <c r="S541" t="b">
        <f t="shared" si="26"/>
        <v>0</v>
      </c>
      <c r="T541" t="b">
        <f t="shared" si="27"/>
        <v>0</v>
      </c>
    </row>
    <row r="542" spans="1:20" x14ac:dyDescent="0.3">
      <c r="A542">
        <v>541</v>
      </c>
      <c r="B542" t="s">
        <v>557</v>
      </c>
      <c r="C542" s="2">
        <v>45805</v>
      </c>
      <c r="D542" s="2">
        <v>45810</v>
      </c>
      <c r="E542" t="s">
        <v>1017</v>
      </c>
      <c r="F542" t="s">
        <v>1167</v>
      </c>
      <c r="G542" t="s">
        <v>1276</v>
      </c>
      <c r="H542" t="s">
        <v>1287</v>
      </c>
      <c r="I542" t="s">
        <v>1300</v>
      </c>
      <c r="J542" t="s">
        <v>1305</v>
      </c>
      <c r="K542" t="s">
        <v>1309</v>
      </c>
      <c r="L542" t="s">
        <v>1325</v>
      </c>
      <c r="M542">
        <v>2</v>
      </c>
      <c r="N542">
        <v>0.05</v>
      </c>
      <c r="O542">
        <v>2565.2199999999998</v>
      </c>
      <c r="P542">
        <v>561.23</v>
      </c>
      <c r="Q542" t="s">
        <v>1331</v>
      </c>
      <c r="R542" t="b">
        <f t="shared" si="25"/>
        <v>0</v>
      </c>
      <c r="S542" t="b">
        <f t="shared" si="26"/>
        <v>0</v>
      </c>
      <c r="T542" t="b">
        <f t="shared" si="27"/>
        <v>0</v>
      </c>
    </row>
    <row r="543" spans="1:20" x14ac:dyDescent="0.3">
      <c r="A543">
        <v>542</v>
      </c>
      <c r="B543" t="s">
        <v>558</v>
      </c>
      <c r="C543" s="2">
        <v>45968</v>
      </c>
      <c r="D543" s="2">
        <v>45973</v>
      </c>
      <c r="E543" t="s">
        <v>1018</v>
      </c>
      <c r="F543" t="s">
        <v>1053</v>
      </c>
      <c r="G543" t="s">
        <v>1268</v>
      </c>
      <c r="H543" t="s">
        <v>1287</v>
      </c>
      <c r="I543" t="s">
        <v>1298</v>
      </c>
      <c r="J543" t="s">
        <v>1303</v>
      </c>
      <c r="K543" t="s">
        <v>1306</v>
      </c>
      <c r="L543" t="s">
        <v>1324</v>
      </c>
      <c r="M543">
        <v>1</v>
      </c>
      <c r="N543">
        <v>0.2</v>
      </c>
      <c r="O543">
        <v>72.77</v>
      </c>
      <c r="P543">
        <v>7.55</v>
      </c>
      <c r="Q543" t="s">
        <v>1334</v>
      </c>
      <c r="R543" t="b">
        <f t="shared" si="25"/>
        <v>0</v>
      </c>
      <c r="S543" t="b">
        <f t="shared" si="26"/>
        <v>0</v>
      </c>
      <c r="T543" t="b">
        <f t="shared" si="27"/>
        <v>0</v>
      </c>
    </row>
    <row r="544" spans="1:20" x14ac:dyDescent="0.3">
      <c r="A544">
        <v>543</v>
      </c>
      <c r="B544" t="s">
        <v>559</v>
      </c>
      <c r="C544" s="2">
        <v>45711</v>
      </c>
      <c r="D544" s="2">
        <v>45713</v>
      </c>
      <c r="E544" t="s">
        <v>1017</v>
      </c>
      <c r="F544" t="s">
        <v>1031</v>
      </c>
      <c r="G544" t="s">
        <v>1270</v>
      </c>
      <c r="H544" t="s">
        <v>1287</v>
      </c>
      <c r="I544" t="s">
        <v>1290</v>
      </c>
      <c r="J544" t="s">
        <v>1302</v>
      </c>
      <c r="K544" t="s">
        <v>1307</v>
      </c>
      <c r="L544" t="s">
        <v>1322</v>
      </c>
      <c r="M544">
        <v>2</v>
      </c>
      <c r="N544">
        <v>0.1</v>
      </c>
      <c r="O544">
        <v>1239.54</v>
      </c>
      <c r="P544">
        <v>220.82</v>
      </c>
      <c r="Q544" t="s">
        <v>1332</v>
      </c>
      <c r="R544" t="b">
        <f t="shared" si="25"/>
        <v>0</v>
      </c>
      <c r="S544" t="b">
        <f t="shared" si="26"/>
        <v>0</v>
      </c>
      <c r="T544" t="b">
        <f t="shared" si="27"/>
        <v>0</v>
      </c>
    </row>
    <row r="545" spans="1:20" x14ac:dyDescent="0.3">
      <c r="A545">
        <v>544</v>
      </c>
      <c r="B545" t="s">
        <v>560</v>
      </c>
      <c r="C545" s="2">
        <v>45779</v>
      </c>
      <c r="D545" s="2">
        <v>45781</v>
      </c>
      <c r="E545" t="s">
        <v>1018</v>
      </c>
      <c r="F545" t="s">
        <v>1242</v>
      </c>
      <c r="G545" t="s">
        <v>1279</v>
      </c>
      <c r="H545" t="s">
        <v>1287</v>
      </c>
      <c r="I545" t="s">
        <v>1295</v>
      </c>
      <c r="J545" t="s">
        <v>1305</v>
      </c>
      <c r="K545" t="s">
        <v>1307</v>
      </c>
      <c r="L545" t="s">
        <v>1311</v>
      </c>
      <c r="M545">
        <v>3</v>
      </c>
      <c r="N545">
        <v>0.05</v>
      </c>
      <c r="O545">
        <v>834.66</v>
      </c>
      <c r="P545">
        <v>176.04</v>
      </c>
      <c r="Q545" t="s">
        <v>1334</v>
      </c>
      <c r="R545" t="b">
        <f t="shared" si="25"/>
        <v>0</v>
      </c>
      <c r="S545" t="b">
        <f t="shared" si="26"/>
        <v>0</v>
      </c>
      <c r="T545" t="b">
        <f t="shared" si="27"/>
        <v>0</v>
      </c>
    </row>
    <row r="546" spans="1:20" x14ac:dyDescent="0.3">
      <c r="A546">
        <v>545</v>
      </c>
      <c r="B546" t="s">
        <v>561</v>
      </c>
      <c r="C546" s="2">
        <v>45702</v>
      </c>
      <c r="D546" s="2">
        <v>45706</v>
      </c>
      <c r="E546" t="s">
        <v>1017</v>
      </c>
      <c r="F546" t="s">
        <v>1244</v>
      </c>
      <c r="G546" t="s">
        <v>1281</v>
      </c>
      <c r="H546" t="s">
        <v>1287</v>
      </c>
      <c r="I546" t="s">
        <v>1298</v>
      </c>
      <c r="J546" t="s">
        <v>1303</v>
      </c>
      <c r="K546" t="s">
        <v>1307</v>
      </c>
      <c r="L546" t="s">
        <v>1314</v>
      </c>
      <c r="M546">
        <v>1</v>
      </c>
      <c r="N546">
        <v>0</v>
      </c>
      <c r="O546">
        <v>898.84</v>
      </c>
      <c r="P546">
        <v>262.58999999999997</v>
      </c>
      <c r="Q546" t="s">
        <v>1331</v>
      </c>
      <c r="R546" t="b">
        <f t="shared" si="25"/>
        <v>0</v>
      </c>
      <c r="S546" t="b">
        <f t="shared" si="26"/>
        <v>0</v>
      </c>
      <c r="T546" t="b">
        <f t="shared" si="27"/>
        <v>0</v>
      </c>
    </row>
    <row r="547" spans="1:20" x14ac:dyDescent="0.3">
      <c r="A547">
        <v>546</v>
      </c>
      <c r="B547" t="s">
        <v>562</v>
      </c>
      <c r="C547" s="2">
        <v>45822</v>
      </c>
      <c r="D547" s="2">
        <v>45827</v>
      </c>
      <c r="E547" t="s">
        <v>1017</v>
      </c>
      <c r="F547" t="s">
        <v>1101</v>
      </c>
      <c r="G547" t="s">
        <v>1277</v>
      </c>
      <c r="H547" t="s">
        <v>1289</v>
      </c>
      <c r="I547" t="s">
        <v>1299</v>
      </c>
      <c r="J547" t="s">
        <v>1304</v>
      </c>
      <c r="K547" t="s">
        <v>1308</v>
      </c>
      <c r="L547" t="s">
        <v>1327</v>
      </c>
      <c r="M547">
        <v>4</v>
      </c>
      <c r="N547">
        <v>0.2</v>
      </c>
      <c r="O547">
        <v>5812.1</v>
      </c>
      <c r="P547">
        <v>1221.55</v>
      </c>
      <c r="Q547" t="s">
        <v>1333</v>
      </c>
      <c r="R547" t="b">
        <f t="shared" si="25"/>
        <v>0</v>
      </c>
      <c r="S547" t="b">
        <f t="shared" si="26"/>
        <v>0</v>
      </c>
      <c r="T547" t="b">
        <f t="shared" si="27"/>
        <v>0</v>
      </c>
    </row>
    <row r="548" spans="1:20" x14ac:dyDescent="0.3">
      <c r="A548">
        <v>547</v>
      </c>
      <c r="B548" t="s">
        <v>563</v>
      </c>
      <c r="C548" s="2">
        <v>45694</v>
      </c>
      <c r="D548" s="2">
        <v>45698</v>
      </c>
      <c r="E548" t="s">
        <v>1018</v>
      </c>
      <c r="F548" t="s">
        <v>1205</v>
      </c>
      <c r="G548" t="s">
        <v>1278</v>
      </c>
      <c r="H548" t="s">
        <v>1287</v>
      </c>
      <c r="I548" t="s">
        <v>1294</v>
      </c>
      <c r="J548" t="s">
        <v>1305</v>
      </c>
      <c r="K548" t="s">
        <v>1309</v>
      </c>
      <c r="L548" t="s">
        <v>1329</v>
      </c>
      <c r="M548">
        <v>2</v>
      </c>
      <c r="N548">
        <v>0</v>
      </c>
      <c r="O548">
        <v>3877.3</v>
      </c>
      <c r="P548">
        <v>1387.42</v>
      </c>
      <c r="Q548" t="s">
        <v>1332</v>
      </c>
      <c r="R548" t="b">
        <f t="shared" si="25"/>
        <v>0</v>
      </c>
      <c r="S548" t="b">
        <f t="shared" si="26"/>
        <v>0</v>
      </c>
      <c r="T548" t="b">
        <f t="shared" si="27"/>
        <v>0</v>
      </c>
    </row>
    <row r="549" spans="1:20" x14ac:dyDescent="0.3">
      <c r="A549">
        <v>548</v>
      </c>
      <c r="B549" t="s">
        <v>564</v>
      </c>
      <c r="C549" s="2">
        <v>45699</v>
      </c>
      <c r="D549" s="2">
        <v>45704</v>
      </c>
      <c r="E549" t="s">
        <v>1019</v>
      </c>
      <c r="F549" t="s">
        <v>1047</v>
      </c>
      <c r="G549" t="s">
        <v>1279</v>
      </c>
      <c r="H549" t="s">
        <v>1287</v>
      </c>
      <c r="I549" t="s">
        <v>1294</v>
      </c>
      <c r="J549" t="s">
        <v>1305</v>
      </c>
      <c r="K549" t="s">
        <v>1307</v>
      </c>
      <c r="L549" t="s">
        <v>1322</v>
      </c>
      <c r="M549">
        <v>4</v>
      </c>
      <c r="N549">
        <v>0.15</v>
      </c>
      <c r="O549">
        <v>2360.89</v>
      </c>
      <c r="P549">
        <v>209.31</v>
      </c>
      <c r="Q549" t="s">
        <v>1333</v>
      </c>
      <c r="R549" t="b">
        <f t="shared" si="25"/>
        <v>0</v>
      </c>
      <c r="S549" t="b">
        <f t="shared" si="26"/>
        <v>0</v>
      </c>
      <c r="T549" t="b">
        <f t="shared" si="27"/>
        <v>0</v>
      </c>
    </row>
    <row r="550" spans="1:20" x14ac:dyDescent="0.3">
      <c r="A550">
        <v>549</v>
      </c>
      <c r="B550" t="s">
        <v>565</v>
      </c>
      <c r="C550" s="2">
        <v>45819</v>
      </c>
      <c r="D550" s="2">
        <v>45820</v>
      </c>
      <c r="E550" t="s">
        <v>1017</v>
      </c>
      <c r="F550" t="s">
        <v>1203</v>
      </c>
      <c r="G550" t="s">
        <v>1273</v>
      </c>
      <c r="H550" t="s">
        <v>1287</v>
      </c>
      <c r="I550" t="s">
        <v>1294</v>
      </c>
      <c r="J550" t="s">
        <v>1305</v>
      </c>
      <c r="K550" t="s">
        <v>1308</v>
      </c>
      <c r="L550" t="s">
        <v>1312</v>
      </c>
      <c r="M550">
        <v>1</v>
      </c>
      <c r="N550">
        <v>0</v>
      </c>
      <c r="O550">
        <v>1271.31</v>
      </c>
      <c r="P550">
        <v>393.07</v>
      </c>
      <c r="Q550" t="s">
        <v>1332</v>
      </c>
      <c r="R550" t="b">
        <f t="shared" si="25"/>
        <v>0</v>
      </c>
      <c r="S550" t="b">
        <f t="shared" si="26"/>
        <v>0</v>
      </c>
      <c r="T550" t="b">
        <f t="shared" si="27"/>
        <v>0</v>
      </c>
    </row>
    <row r="551" spans="1:20" x14ac:dyDescent="0.3">
      <c r="A551">
        <v>550</v>
      </c>
      <c r="B551" t="s">
        <v>566</v>
      </c>
      <c r="C551" s="2">
        <v>45693</v>
      </c>
      <c r="D551" s="2">
        <v>45698</v>
      </c>
      <c r="E551" t="s">
        <v>1017</v>
      </c>
      <c r="F551" t="s">
        <v>1227</v>
      </c>
      <c r="G551" t="s">
        <v>1272</v>
      </c>
      <c r="H551" t="s">
        <v>1287</v>
      </c>
      <c r="I551" t="s">
        <v>1297</v>
      </c>
      <c r="J551" t="s">
        <v>1304</v>
      </c>
      <c r="K551" t="s">
        <v>1307</v>
      </c>
      <c r="L551" t="s">
        <v>1314</v>
      </c>
      <c r="M551">
        <v>2</v>
      </c>
      <c r="N551">
        <v>0.05</v>
      </c>
      <c r="O551">
        <v>1771.3</v>
      </c>
      <c r="P551">
        <v>427.8</v>
      </c>
      <c r="Q551" t="s">
        <v>1332</v>
      </c>
      <c r="R551" t="b">
        <f t="shared" si="25"/>
        <v>0</v>
      </c>
      <c r="S551" t="b">
        <f t="shared" si="26"/>
        <v>0</v>
      </c>
      <c r="T551" t="b">
        <f t="shared" si="27"/>
        <v>0</v>
      </c>
    </row>
    <row r="552" spans="1:20" x14ac:dyDescent="0.3">
      <c r="A552">
        <v>551</v>
      </c>
      <c r="B552" t="s">
        <v>567</v>
      </c>
      <c r="C552" s="2">
        <v>45952</v>
      </c>
      <c r="D552" s="2">
        <v>45957</v>
      </c>
      <c r="E552" t="s">
        <v>1018</v>
      </c>
      <c r="F552" t="s">
        <v>1245</v>
      </c>
      <c r="G552" t="s">
        <v>1279</v>
      </c>
      <c r="H552" t="s">
        <v>1289</v>
      </c>
      <c r="I552" t="s">
        <v>1295</v>
      </c>
      <c r="J552" t="s">
        <v>1305</v>
      </c>
      <c r="K552" t="s">
        <v>1306</v>
      </c>
      <c r="L552" t="s">
        <v>1328</v>
      </c>
      <c r="M552">
        <v>1</v>
      </c>
      <c r="N552">
        <v>0.05</v>
      </c>
      <c r="O552">
        <v>114.04</v>
      </c>
      <c r="P552">
        <v>32.06</v>
      </c>
      <c r="Q552" t="s">
        <v>1334</v>
      </c>
      <c r="R552" t="b">
        <f t="shared" si="25"/>
        <v>0</v>
      </c>
      <c r="S552" t="b">
        <f t="shared" si="26"/>
        <v>0</v>
      </c>
      <c r="T552" t="b">
        <f t="shared" si="27"/>
        <v>0</v>
      </c>
    </row>
    <row r="553" spans="1:20" x14ac:dyDescent="0.3">
      <c r="A553">
        <v>552</v>
      </c>
      <c r="B553" t="s">
        <v>568</v>
      </c>
      <c r="C553" s="2">
        <v>45658</v>
      </c>
      <c r="D553" s="2">
        <v>45663</v>
      </c>
      <c r="E553" t="s">
        <v>1019</v>
      </c>
      <c r="F553" t="s">
        <v>1234</v>
      </c>
      <c r="G553" t="s">
        <v>1280</v>
      </c>
      <c r="H553" t="s">
        <v>1287</v>
      </c>
      <c r="I553" t="s">
        <v>1295</v>
      </c>
      <c r="J553" t="s">
        <v>1305</v>
      </c>
      <c r="K553" t="s">
        <v>1308</v>
      </c>
      <c r="L553" t="s">
        <v>1327</v>
      </c>
      <c r="M553">
        <v>1</v>
      </c>
      <c r="N553">
        <v>0.05</v>
      </c>
      <c r="O553">
        <v>1703.48</v>
      </c>
      <c r="P553">
        <v>485.35</v>
      </c>
      <c r="Q553" t="s">
        <v>1333</v>
      </c>
      <c r="R553" t="b">
        <f t="shared" si="25"/>
        <v>0</v>
      </c>
      <c r="S553" t="b">
        <f t="shared" si="26"/>
        <v>0</v>
      </c>
      <c r="T553" t="b">
        <f t="shared" si="27"/>
        <v>0</v>
      </c>
    </row>
    <row r="554" spans="1:20" x14ac:dyDescent="0.3">
      <c r="A554">
        <v>553</v>
      </c>
      <c r="B554" t="s">
        <v>569</v>
      </c>
      <c r="C554" s="2">
        <v>45780</v>
      </c>
      <c r="D554" s="2">
        <v>45781</v>
      </c>
      <c r="E554" t="s">
        <v>1017</v>
      </c>
      <c r="F554" t="s">
        <v>1212</v>
      </c>
      <c r="G554" t="s">
        <v>1269</v>
      </c>
      <c r="H554" t="s">
        <v>1288</v>
      </c>
      <c r="I554" t="s">
        <v>1291</v>
      </c>
      <c r="J554" t="s">
        <v>1302</v>
      </c>
      <c r="K554" t="s">
        <v>1309</v>
      </c>
      <c r="L554" t="s">
        <v>1329</v>
      </c>
      <c r="M554">
        <v>1</v>
      </c>
      <c r="N554">
        <v>0.1</v>
      </c>
      <c r="O554">
        <v>1750.03</v>
      </c>
      <c r="P554">
        <v>410.73</v>
      </c>
      <c r="Q554" t="s">
        <v>1331</v>
      </c>
      <c r="R554" t="b">
        <f t="shared" si="25"/>
        <v>0</v>
      </c>
      <c r="S554" t="b">
        <f t="shared" si="26"/>
        <v>0</v>
      </c>
      <c r="T554" t="b">
        <f t="shared" si="27"/>
        <v>0</v>
      </c>
    </row>
    <row r="555" spans="1:20" x14ac:dyDescent="0.3">
      <c r="A555">
        <v>554</v>
      </c>
      <c r="B555" t="s">
        <v>570</v>
      </c>
      <c r="C555" s="2">
        <v>46013</v>
      </c>
      <c r="D555" s="2">
        <v>46015</v>
      </c>
      <c r="E555" t="s">
        <v>1017</v>
      </c>
      <c r="F555" t="s">
        <v>1226</v>
      </c>
      <c r="G555" t="s">
        <v>1278</v>
      </c>
      <c r="H555" t="s">
        <v>1289</v>
      </c>
      <c r="I555" t="s">
        <v>1294</v>
      </c>
      <c r="J555" t="s">
        <v>1305</v>
      </c>
      <c r="K555" t="s">
        <v>1309</v>
      </c>
      <c r="L555" t="s">
        <v>1313</v>
      </c>
      <c r="M555">
        <v>2</v>
      </c>
      <c r="N555">
        <v>0</v>
      </c>
      <c r="O555">
        <v>3105.78</v>
      </c>
      <c r="P555">
        <v>821.43</v>
      </c>
      <c r="Q555" t="s">
        <v>1330</v>
      </c>
      <c r="R555" t="b">
        <f t="shared" si="25"/>
        <v>0</v>
      </c>
      <c r="S555" t="b">
        <f t="shared" si="26"/>
        <v>0</v>
      </c>
      <c r="T555" t="b">
        <f t="shared" si="27"/>
        <v>0</v>
      </c>
    </row>
    <row r="556" spans="1:20" x14ac:dyDescent="0.3">
      <c r="A556">
        <v>555</v>
      </c>
      <c r="B556" t="s">
        <v>571</v>
      </c>
      <c r="C556" s="2">
        <v>45658</v>
      </c>
      <c r="D556" s="2">
        <v>45663</v>
      </c>
      <c r="E556" t="s">
        <v>1017</v>
      </c>
      <c r="F556" t="s">
        <v>1030</v>
      </c>
      <c r="G556" t="s">
        <v>1282</v>
      </c>
      <c r="H556" t="s">
        <v>1289</v>
      </c>
      <c r="I556" t="s">
        <v>1293</v>
      </c>
      <c r="J556" t="s">
        <v>1304</v>
      </c>
      <c r="K556" t="s">
        <v>1309</v>
      </c>
      <c r="L556" t="s">
        <v>1325</v>
      </c>
      <c r="M556">
        <v>2</v>
      </c>
      <c r="N556">
        <v>0</v>
      </c>
      <c r="O556">
        <v>2543.42</v>
      </c>
      <c r="P556">
        <v>489.47</v>
      </c>
      <c r="Q556" t="s">
        <v>1331</v>
      </c>
      <c r="R556" t="b">
        <f t="shared" si="25"/>
        <v>0</v>
      </c>
      <c r="S556" t="b">
        <f t="shared" si="26"/>
        <v>0</v>
      </c>
      <c r="T556" t="b">
        <f t="shared" si="27"/>
        <v>0</v>
      </c>
    </row>
    <row r="557" spans="1:20" x14ac:dyDescent="0.3">
      <c r="A557">
        <v>556</v>
      </c>
      <c r="B557" t="s">
        <v>572</v>
      </c>
      <c r="C557" s="2">
        <v>45934</v>
      </c>
      <c r="D557" s="2">
        <v>45936</v>
      </c>
      <c r="E557" t="s">
        <v>1017</v>
      </c>
      <c r="F557" t="s">
        <v>1059</v>
      </c>
      <c r="G557" t="s">
        <v>1284</v>
      </c>
      <c r="H557" t="s">
        <v>1287</v>
      </c>
      <c r="I557" t="s">
        <v>1290</v>
      </c>
      <c r="J557" t="s">
        <v>1302</v>
      </c>
      <c r="K557" t="s">
        <v>1306</v>
      </c>
      <c r="L557" t="s">
        <v>1321</v>
      </c>
      <c r="M557">
        <v>1</v>
      </c>
      <c r="N557">
        <v>0.25</v>
      </c>
      <c r="O557">
        <v>326.26</v>
      </c>
      <c r="P557">
        <v>36.36</v>
      </c>
      <c r="Q557" t="s">
        <v>1333</v>
      </c>
      <c r="R557" t="b">
        <f t="shared" si="25"/>
        <v>0</v>
      </c>
      <c r="S557" t="b">
        <f t="shared" si="26"/>
        <v>0</v>
      </c>
      <c r="T557" t="b">
        <f t="shared" si="27"/>
        <v>0</v>
      </c>
    </row>
    <row r="558" spans="1:20" x14ac:dyDescent="0.3">
      <c r="A558">
        <v>557</v>
      </c>
      <c r="B558" t="s">
        <v>573</v>
      </c>
      <c r="C558" s="2">
        <v>46016</v>
      </c>
      <c r="D558" s="2">
        <v>46017</v>
      </c>
      <c r="E558" t="s">
        <v>1017</v>
      </c>
      <c r="F558" t="s">
        <v>1237</v>
      </c>
      <c r="G558" t="s">
        <v>1281</v>
      </c>
      <c r="H558" t="s">
        <v>1288</v>
      </c>
      <c r="I558" t="s">
        <v>1301</v>
      </c>
      <c r="J558" t="s">
        <v>1303</v>
      </c>
      <c r="K558" t="s">
        <v>1306</v>
      </c>
      <c r="L558" t="s">
        <v>1310</v>
      </c>
      <c r="M558">
        <v>1</v>
      </c>
      <c r="N558">
        <v>0</v>
      </c>
      <c r="O558">
        <v>662.34</v>
      </c>
      <c r="P558">
        <v>181.02</v>
      </c>
      <c r="Q558" t="s">
        <v>1330</v>
      </c>
      <c r="R558" t="b">
        <f t="shared" si="25"/>
        <v>0</v>
      </c>
      <c r="S558" t="b">
        <f t="shared" si="26"/>
        <v>0</v>
      </c>
      <c r="T558" t="b">
        <f t="shared" si="27"/>
        <v>0</v>
      </c>
    </row>
    <row r="559" spans="1:20" x14ac:dyDescent="0.3">
      <c r="A559">
        <v>558</v>
      </c>
      <c r="B559" t="s">
        <v>574</v>
      </c>
      <c r="C559" s="2">
        <v>45683</v>
      </c>
      <c r="D559" s="2">
        <v>45685</v>
      </c>
      <c r="E559" t="s">
        <v>1017</v>
      </c>
      <c r="F559" t="s">
        <v>1186</v>
      </c>
      <c r="G559" t="s">
        <v>1278</v>
      </c>
      <c r="H559" t="s">
        <v>1288</v>
      </c>
      <c r="I559" t="s">
        <v>1300</v>
      </c>
      <c r="J559" t="s">
        <v>1305</v>
      </c>
      <c r="K559" t="s">
        <v>1308</v>
      </c>
      <c r="L559" t="s">
        <v>1326</v>
      </c>
      <c r="M559">
        <v>4</v>
      </c>
      <c r="N559">
        <v>0.25</v>
      </c>
      <c r="O559">
        <v>21064.95</v>
      </c>
      <c r="P559">
        <v>2008.83</v>
      </c>
      <c r="Q559" t="s">
        <v>1330</v>
      </c>
      <c r="R559" t="b">
        <f t="shared" si="25"/>
        <v>0</v>
      </c>
      <c r="S559" t="b">
        <f t="shared" si="26"/>
        <v>0</v>
      </c>
      <c r="T559" t="b">
        <f t="shared" si="27"/>
        <v>0</v>
      </c>
    </row>
    <row r="560" spans="1:20" x14ac:dyDescent="0.3">
      <c r="A560">
        <v>559</v>
      </c>
      <c r="B560" t="s">
        <v>575</v>
      </c>
      <c r="C560" s="2">
        <v>45972</v>
      </c>
      <c r="D560" s="2">
        <v>45973</v>
      </c>
      <c r="E560" t="s">
        <v>1017</v>
      </c>
      <c r="F560" t="s">
        <v>1184</v>
      </c>
      <c r="G560" t="s">
        <v>1273</v>
      </c>
      <c r="H560" t="s">
        <v>1288</v>
      </c>
      <c r="I560" t="s">
        <v>1298</v>
      </c>
      <c r="J560" t="s">
        <v>1303</v>
      </c>
      <c r="K560" t="s">
        <v>1306</v>
      </c>
      <c r="L560" t="s">
        <v>1310</v>
      </c>
      <c r="M560">
        <v>1</v>
      </c>
      <c r="N560">
        <v>0.05</v>
      </c>
      <c r="O560">
        <v>616.16</v>
      </c>
      <c r="P560">
        <v>189.68</v>
      </c>
      <c r="Q560" t="s">
        <v>1331</v>
      </c>
      <c r="R560" t="b">
        <f t="shared" si="25"/>
        <v>0</v>
      </c>
      <c r="S560" t="b">
        <f t="shared" si="26"/>
        <v>0</v>
      </c>
      <c r="T560" t="b">
        <f t="shared" si="27"/>
        <v>0</v>
      </c>
    </row>
    <row r="561" spans="1:20" x14ac:dyDescent="0.3">
      <c r="A561">
        <v>560</v>
      </c>
      <c r="B561" t="s">
        <v>576</v>
      </c>
      <c r="C561" s="2">
        <v>45702</v>
      </c>
      <c r="D561" s="2">
        <v>45703</v>
      </c>
      <c r="E561" t="s">
        <v>1017</v>
      </c>
      <c r="F561" t="s">
        <v>1033</v>
      </c>
      <c r="G561" t="s">
        <v>1269</v>
      </c>
      <c r="H561" t="s">
        <v>1289</v>
      </c>
      <c r="I561" t="s">
        <v>1295</v>
      </c>
      <c r="J561" t="s">
        <v>1305</v>
      </c>
      <c r="K561" t="s">
        <v>1306</v>
      </c>
      <c r="L561" t="s">
        <v>1321</v>
      </c>
      <c r="M561">
        <v>1</v>
      </c>
      <c r="N561">
        <v>0.2</v>
      </c>
      <c r="O561">
        <v>347.38</v>
      </c>
      <c r="P561">
        <v>22.48</v>
      </c>
      <c r="Q561" t="s">
        <v>1332</v>
      </c>
      <c r="R561" t="b">
        <f t="shared" si="25"/>
        <v>0</v>
      </c>
      <c r="S561" t="b">
        <f t="shared" si="26"/>
        <v>0</v>
      </c>
      <c r="T561" t="b">
        <f t="shared" si="27"/>
        <v>0</v>
      </c>
    </row>
    <row r="562" spans="1:20" x14ac:dyDescent="0.3">
      <c r="A562">
        <v>561</v>
      </c>
      <c r="B562" t="s">
        <v>577</v>
      </c>
      <c r="C562" s="2">
        <v>45938</v>
      </c>
      <c r="D562" s="2">
        <v>45943</v>
      </c>
      <c r="E562" t="s">
        <v>1018</v>
      </c>
      <c r="F562" t="s">
        <v>1033</v>
      </c>
      <c r="G562" t="s">
        <v>1285</v>
      </c>
      <c r="H562" t="s">
        <v>1287</v>
      </c>
      <c r="I562" t="s">
        <v>1300</v>
      </c>
      <c r="J562" t="s">
        <v>1305</v>
      </c>
      <c r="K562" t="s">
        <v>1306</v>
      </c>
      <c r="L562" t="s">
        <v>1328</v>
      </c>
      <c r="M562">
        <v>1</v>
      </c>
      <c r="N562">
        <v>0.05</v>
      </c>
      <c r="O562">
        <v>110.58</v>
      </c>
      <c r="P562">
        <v>35.270000000000003</v>
      </c>
      <c r="Q562" t="s">
        <v>1331</v>
      </c>
      <c r="R562" t="b">
        <f t="shared" si="25"/>
        <v>0</v>
      </c>
      <c r="S562" t="b">
        <f t="shared" si="26"/>
        <v>0</v>
      </c>
      <c r="T562" t="b">
        <f t="shared" si="27"/>
        <v>0</v>
      </c>
    </row>
    <row r="563" spans="1:20" x14ac:dyDescent="0.3">
      <c r="A563">
        <v>562</v>
      </c>
      <c r="B563" t="s">
        <v>578</v>
      </c>
      <c r="C563" s="2">
        <v>45822</v>
      </c>
      <c r="D563" s="2">
        <v>45825</v>
      </c>
      <c r="E563" t="s">
        <v>1017</v>
      </c>
      <c r="F563" t="s">
        <v>1246</v>
      </c>
      <c r="G563" t="s">
        <v>1282</v>
      </c>
      <c r="H563" t="s">
        <v>1288</v>
      </c>
      <c r="I563" t="s">
        <v>1294</v>
      </c>
      <c r="J563" t="s">
        <v>1305</v>
      </c>
      <c r="K563" t="s">
        <v>1307</v>
      </c>
      <c r="L563" t="s">
        <v>1322</v>
      </c>
      <c r="M563">
        <v>2</v>
      </c>
      <c r="N563">
        <v>0.1</v>
      </c>
      <c r="O563">
        <v>1311.93</v>
      </c>
      <c r="P563">
        <v>263.86</v>
      </c>
      <c r="Q563" t="s">
        <v>1333</v>
      </c>
      <c r="R563" t="b">
        <f t="shared" si="25"/>
        <v>0</v>
      </c>
      <c r="S563" t="b">
        <f t="shared" si="26"/>
        <v>0</v>
      </c>
      <c r="T563" t="b">
        <f t="shared" si="27"/>
        <v>0</v>
      </c>
    </row>
    <row r="564" spans="1:20" x14ac:dyDescent="0.3">
      <c r="A564">
        <v>563</v>
      </c>
      <c r="B564" t="s">
        <v>579</v>
      </c>
      <c r="C564" s="2">
        <v>45981</v>
      </c>
      <c r="D564" s="2">
        <v>45984</v>
      </c>
      <c r="E564" t="s">
        <v>1018</v>
      </c>
      <c r="F564" t="s">
        <v>1188</v>
      </c>
      <c r="G564" t="s">
        <v>1268</v>
      </c>
      <c r="H564" t="s">
        <v>1288</v>
      </c>
      <c r="I564" t="s">
        <v>1290</v>
      </c>
      <c r="J564" t="s">
        <v>1302</v>
      </c>
      <c r="K564" t="s">
        <v>1309</v>
      </c>
      <c r="L564" t="s">
        <v>1313</v>
      </c>
      <c r="M564">
        <v>1</v>
      </c>
      <c r="N564">
        <v>0.1</v>
      </c>
      <c r="O564">
        <v>1286.98</v>
      </c>
      <c r="P564">
        <v>236.77</v>
      </c>
      <c r="Q564" t="s">
        <v>1331</v>
      </c>
      <c r="R564" t="b">
        <f t="shared" si="25"/>
        <v>0</v>
      </c>
      <c r="S564" t="b">
        <f t="shared" si="26"/>
        <v>0</v>
      </c>
      <c r="T564" t="b">
        <f t="shared" si="27"/>
        <v>0</v>
      </c>
    </row>
    <row r="565" spans="1:20" x14ac:dyDescent="0.3">
      <c r="A565">
        <v>564</v>
      </c>
      <c r="B565" t="s">
        <v>580</v>
      </c>
      <c r="C565" s="2">
        <v>45734</v>
      </c>
      <c r="D565" s="2">
        <v>45739</v>
      </c>
      <c r="E565" t="s">
        <v>1017</v>
      </c>
      <c r="F565" t="s">
        <v>1037</v>
      </c>
      <c r="G565" t="s">
        <v>1280</v>
      </c>
      <c r="H565" t="s">
        <v>1289</v>
      </c>
      <c r="I565" t="s">
        <v>1295</v>
      </c>
      <c r="J565" t="s">
        <v>1305</v>
      </c>
      <c r="K565" t="s">
        <v>1309</v>
      </c>
      <c r="L565" t="s">
        <v>1313</v>
      </c>
      <c r="M565">
        <v>1</v>
      </c>
      <c r="N565">
        <v>0.2</v>
      </c>
      <c r="O565">
        <v>1177.29</v>
      </c>
      <c r="P565">
        <v>18.170000000000002</v>
      </c>
      <c r="Q565" t="s">
        <v>1334</v>
      </c>
      <c r="R565" t="b">
        <f t="shared" si="25"/>
        <v>0</v>
      </c>
      <c r="S565" t="b">
        <f t="shared" si="26"/>
        <v>0</v>
      </c>
      <c r="T565" t="b">
        <f t="shared" si="27"/>
        <v>0</v>
      </c>
    </row>
    <row r="566" spans="1:20" x14ac:dyDescent="0.3">
      <c r="A566">
        <v>565</v>
      </c>
      <c r="B566" t="s">
        <v>581</v>
      </c>
      <c r="C566" s="2">
        <v>45798</v>
      </c>
      <c r="D566" s="2">
        <v>45801</v>
      </c>
      <c r="E566" t="s">
        <v>1017</v>
      </c>
      <c r="F566" t="s">
        <v>1243</v>
      </c>
      <c r="G566" t="s">
        <v>1282</v>
      </c>
      <c r="H566" t="s">
        <v>1287</v>
      </c>
      <c r="I566" t="s">
        <v>1299</v>
      </c>
      <c r="J566" t="s">
        <v>1304</v>
      </c>
      <c r="K566" t="s">
        <v>1308</v>
      </c>
      <c r="L566" t="s">
        <v>1312</v>
      </c>
      <c r="M566">
        <v>3</v>
      </c>
      <c r="N566">
        <v>0</v>
      </c>
      <c r="O566">
        <v>4081.47</v>
      </c>
      <c r="P566">
        <v>1049.1600000000001</v>
      </c>
      <c r="Q566" t="s">
        <v>1333</v>
      </c>
      <c r="R566" t="b">
        <f t="shared" si="25"/>
        <v>0</v>
      </c>
      <c r="S566" t="b">
        <f t="shared" si="26"/>
        <v>0</v>
      </c>
      <c r="T566" t="b">
        <f t="shared" si="27"/>
        <v>0</v>
      </c>
    </row>
    <row r="567" spans="1:20" x14ac:dyDescent="0.3">
      <c r="A567">
        <v>566</v>
      </c>
      <c r="B567" t="s">
        <v>582</v>
      </c>
      <c r="C567" s="2">
        <v>45706</v>
      </c>
      <c r="D567" s="2">
        <v>45709</v>
      </c>
      <c r="E567" t="s">
        <v>1019</v>
      </c>
      <c r="F567" t="s">
        <v>1024</v>
      </c>
      <c r="G567" t="s">
        <v>1284</v>
      </c>
      <c r="H567" t="s">
        <v>1289</v>
      </c>
      <c r="I567" t="s">
        <v>1298</v>
      </c>
      <c r="J567" t="s">
        <v>1303</v>
      </c>
      <c r="K567" t="s">
        <v>1307</v>
      </c>
      <c r="L567" t="s">
        <v>1322</v>
      </c>
      <c r="M567">
        <v>1</v>
      </c>
      <c r="N567">
        <v>0.05</v>
      </c>
      <c r="O567">
        <v>652.03</v>
      </c>
      <c r="P567">
        <v>83.19</v>
      </c>
      <c r="Q567" t="s">
        <v>1334</v>
      </c>
      <c r="R567" t="b">
        <f t="shared" si="25"/>
        <v>0</v>
      </c>
      <c r="S567" t="b">
        <f t="shared" si="26"/>
        <v>0</v>
      </c>
      <c r="T567" t="b">
        <f t="shared" si="27"/>
        <v>0</v>
      </c>
    </row>
    <row r="568" spans="1:20" x14ac:dyDescent="0.3">
      <c r="A568">
        <v>567</v>
      </c>
      <c r="B568" t="s">
        <v>583</v>
      </c>
      <c r="C568" s="2">
        <v>45906</v>
      </c>
      <c r="D568" s="2">
        <v>45910</v>
      </c>
      <c r="E568" t="s">
        <v>1018</v>
      </c>
      <c r="F568" t="s">
        <v>1199</v>
      </c>
      <c r="G568" t="s">
        <v>1272</v>
      </c>
      <c r="H568" t="s">
        <v>1287</v>
      </c>
      <c r="I568" t="s">
        <v>1295</v>
      </c>
      <c r="J568" t="s">
        <v>1305</v>
      </c>
      <c r="K568" t="s">
        <v>1306</v>
      </c>
      <c r="L568" t="s">
        <v>1324</v>
      </c>
      <c r="M568">
        <v>2</v>
      </c>
      <c r="N568">
        <v>0</v>
      </c>
      <c r="O568">
        <v>178.85</v>
      </c>
      <c r="P568">
        <v>40.299999999999997</v>
      </c>
      <c r="Q568" t="s">
        <v>1333</v>
      </c>
      <c r="R568" t="b">
        <f t="shared" si="25"/>
        <v>0</v>
      </c>
      <c r="S568" t="b">
        <f t="shared" si="26"/>
        <v>0</v>
      </c>
      <c r="T568" t="b">
        <f t="shared" si="27"/>
        <v>0</v>
      </c>
    </row>
    <row r="569" spans="1:20" x14ac:dyDescent="0.3">
      <c r="A569">
        <v>568</v>
      </c>
      <c r="B569" t="s">
        <v>584</v>
      </c>
      <c r="C569" s="2">
        <v>45718</v>
      </c>
      <c r="D569" s="2">
        <v>45719</v>
      </c>
      <c r="E569" t="s">
        <v>1018</v>
      </c>
      <c r="F569" t="s">
        <v>1197</v>
      </c>
      <c r="G569" t="s">
        <v>1271</v>
      </c>
      <c r="H569" t="s">
        <v>1287</v>
      </c>
      <c r="I569" t="s">
        <v>1293</v>
      </c>
      <c r="J569" t="s">
        <v>1304</v>
      </c>
      <c r="K569" t="s">
        <v>1307</v>
      </c>
      <c r="L569" t="s">
        <v>1316</v>
      </c>
      <c r="M569">
        <v>2</v>
      </c>
      <c r="N569">
        <v>0.2</v>
      </c>
      <c r="O569">
        <v>822.74</v>
      </c>
      <c r="P569">
        <v>130.33000000000001</v>
      </c>
      <c r="Q569" t="s">
        <v>1332</v>
      </c>
      <c r="R569" t="b">
        <f t="shared" si="25"/>
        <v>0</v>
      </c>
      <c r="S569" t="b">
        <f t="shared" si="26"/>
        <v>0</v>
      </c>
      <c r="T569" t="b">
        <f t="shared" si="27"/>
        <v>0</v>
      </c>
    </row>
    <row r="570" spans="1:20" x14ac:dyDescent="0.3">
      <c r="A570">
        <v>569</v>
      </c>
      <c r="B570" t="s">
        <v>585</v>
      </c>
      <c r="C570" s="2">
        <v>45667</v>
      </c>
      <c r="D570" s="2">
        <v>45668</v>
      </c>
      <c r="E570" t="s">
        <v>1018</v>
      </c>
      <c r="F570" t="s">
        <v>1032</v>
      </c>
      <c r="G570" t="s">
        <v>1275</v>
      </c>
      <c r="H570" t="s">
        <v>1287</v>
      </c>
      <c r="I570" t="s">
        <v>1293</v>
      </c>
      <c r="J570" t="s">
        <v>1304</v>
      </c>
      <c r="K570" t="s">
        <v>1309</v>
      </c>
      <c r="L570" t="s">
        <v>1313</v>
      </c>
      <c r="M570">
        <v>2</v>
      </c>
      <c r="N570">
        <v>0.1</v>
      </c>
      <c r="O570">
        <v>2784.77</v>
      </c>
      <c r="P570">
        <v>784.3</v>
      </c>
      <c r="Q570" t="s">
        <v>1332</v>
      </c>
      <c r="R570" t="b">
        <f t="shared" si="25"/>
        <v>0</v>
      </c>
      <c r="S570" t="b">
        <f t="shared" si="26"/>
        <v>0</v>
      </c>
      <c r="T570" t="b">
        <f t="shared" si="27"/>
        <v>0</v>
      </c>
    </row>
    <row r="571" spans="1:20" x14ac:dyDescent="0.3">
      <c r="A571">
        <v>570</v>
      </c>
      <c r="B571" t="s">
        <v>586</v>
      </c>
      <c r="C571" s="2">
        <v>45788</v>
      </c>
      <c r="D571" s="2">
        <v>45789</v>
      </c>
      <c r="E571" t="s">
        <v>1017</v>
      </c>
      <c r="F571" t="s">
        <v>1206</v>
      </c>
      <c r="G571" t="s">
        <v>1268</v>
      </c>
      <c r="H571" t="s">
        <v>1287</v>
      </c>
      <c r="I571" t="s">
        <v>1298</v>
      </c>
      <c r="J571" t="s">
        <v>1303</v>
      </c>
      <c r="K571" t="s">
        <v>1306</v>
      </c>
      <c r="L571" t="s">
        <v>1321</v>
      </c>
      <c r="M571">
        <v>1</v>
      </c>
      <c r="N571">
        <v>0.15</v>
      </c>
      <c r="O571">
        <v>394.2</v>
      </c>
      <c r="P571">
        <v>90.03</v>
      </c>
      <c r="Q571" t="s">
        <v>1331</v>
      </c>
      <c r="R571" t="b">
        <f t="shared" si="25"/>
        <v>0</v>
      </c>
      <c r="S571" t="b">
        <f t="shared" si="26"/>
        <v>0</v>
      </c>
      <c r="T571" t="b">
        <f t="shared" si="27"/>
        <v>0</v>
      </c>
    </row>
    <row r="572" spans="1:20" x14ac:dyDescent="0.3">
      <c r="A572">
        <v>571</v>
      </c>
      <c r="B572" t="s">
        <v>587</v>
      </c>
      <c r="C572" s="2">
        <v>45848</v>
      </c>
      <c r="D572" s="2">
        <v>45851</v>
      </c>
      <c r="E572" t="s">
        <v>1017</v>
      </c>
      <c r="F572" t="s">
        <v>1164</v>
      </c>
      <c r="G572" t="s">
        <v>1285</v>
      </c>
      <c r="H572" t="s">
        <v>1289</v>
      </c>
      <c r="I572" t="s">
        <v>1299</v>
      </c>
      <c r="J572" t="s">
        <v>1304</v>
      </c>
      <c r="K572" t="s">
        <v>1306</v>
      </c>
      <c r="L572" t="s">
        <v>1324</v>
      </c>
      <c r="M572">
        <v>2</v>
      </c>
      <c r="N572">
        <v>0.2</v>
      </c>
      <c r="O572">
        <v>148.21</v>
      </c>
      <c r="P572">
        <v>14.87</v>
      </c>
      <c r="Q572" t="s">
        <v>1331</v>
      </c>
      <c r="R572" t="b">
        <f t="shared" si="25"/>
        <v>0</v>
      </c>
      <c r="S572" t="b">
        <f t="shared" si="26"/>
        <v>0</v>
      </c>
      <c r="T572" t="b">
        <f t="shared" si="27"/>
        <v>0</v>
      </c>
    </row>
    <row r="573" spans="1:20" x14ac:dyDescent="0.3">
      <c r="A573">
        <v>572</v>
      </c>
      <c r="B573" t="s">
        <v>588</v>
      </c>
      <c r="C573" s="2">
        <v>46022</v>
      </c>
      <c r="D573" s="2">
        <v>46026</v>
      </c>
      <c r="E573" t="s">
        <v>1019</v>
      </c>
      <c r="F573" t="s">
        <v>1234</v>
      </c>
      <c r="G573" t="s">
        <v>1273</v>
      </c>
      <c r="H573" t="s">
        <v>1289</v>
      </c>
      <c r="I573" t="s">
        <v>1295</v>
      </c>
      <c r="J573" t="s">
        <v>1305</v>
      </c>
      <c r="K573" t="s">
        <v>1309</v>
      </c>
      <c r="L573" t="s">
        <v>1317</v>
      </c>
      <c r="M573">
        <v>1</v>
      </c>
      <c r="N573">
        <v>0.1</v>
      </c>
      <c r="O573">
        <v>745.23</v>
      </c>
      <c r="P573">
        <v>103.32</v>
      </c>
      <c r="Q573" t="s">
        <v>1331</v>
      </c>
      <c r="R573" t="b">
        <f t="shared" si="25"/>
        <v>0</v>
      </c>
      <c r="S573" t="b">
        <f t="shared" si="26"/>
        <v>0</v>
      </c>
      <c r="T573" t="b">
        <f t="shared" si="27"/>
        <v>0</v>
      </c>
    </row>
    <row r="574" spans="1:20" x14ac:dyDescent="0.3">
      <c r="A574">
        <v>573</v>
      </c>
      <c r="B574" t="s">
        <v>589</v>
      </c>
      <c r="C574" s="2">
        <v>45746</v>
      </c>
      <c r="D574" s="2">
        <v>45749</v>
      </c>
      <c r="E574" t="s">
        <v>1017</v>
      </c>
      <c r="F574" t="s">
        <v>1066</v>
      </c>
      <c r="G574" t="s">
        <v>1282</v>
      </c>
      <c r="H574" t="s">
        <v>1289</v>
      </c>
      <c r="I574" t="s">
        <v>1294</v>
      </c>
      <c r="J574" t="s">
        <v>1305</v>
      </c>
      <c r="K574" t="s">
        <v>1308</v>
      </c>
      <c r="L574" t="s">
        <v>1319</v>
      </c>
      <c r="M574">
        <v>1</v>
      </c>
      <c r="N574">
        <v>0.2</v>
      </c>
      <c r="O574">
        <v>3763.65</v>
      </c>
      <c r="P574">
        <v>893.56</v>
      </c>
      <c r="Q574" t="s">
        <v>1331</v>
      </c>
      <c r="R574" t="b">
        <f t="shared" si="25"/>
        <v>0</v>
      </c>
      <c r="S574" t="b">
        <f t="shared" si="26"/>
        <v>0</v>
      </c>
      <c r="T574" t="b">
        <f t="shared" si="27"/>
        <v>0</v>
      </c>
    </row>
    <row r="575" spans="1:20" x14ac:dyDescent="0.3">
      <c r="A575">
        <v>574</v>
      </c>
      <c r="B575" t="s">
        <v>590</v>
      </c>
      <c r="C575" s="2">
        <v>45671</v>
      </c>
      <c r="D575" s="2">
        <v>45672</v>
      </c>
      <c r="E575" t="s">
        <v>1017</v>
      </c>
      <c r="F575" t="s">
        <v>1093</v>
      </c>
      <c r="G575" t="s">
        <v>1285</v>
      </c>
      <c r="H575" t="s">
        <v>1287</v>
      </c>
      <c r="I575" t="s">
        <v>1301</v>
      </c>
      <c r="J575" t="s">
        <v>1303</v>
      </c>
      <c r="K575" t="s">
        <v>1306</v>
      </c>
      <c r="L575" t="s">
        <v>1323</v>
      </c>
      <c r="M575">
        <v>2</v>
      </c>
      <c r="N575">
        <v>0.2</v>
      </c>
      <c r="O575">
        <v>285.23</v>
      </c>
      <c r="P575">
        <v>28.9</v>
      </c>
      <c r="Q575" t="s">
        <v>1332</v>
      </c>
      <c r="R575" t="b">
        <f t="shared" si="25"/>
        <v>0</v>
      </c>
      <c r="S575" t="b">
        <f t="shared" si="26"/>
        <v>0</v>
      </c>
      <c r="T575" t="b">
        <f t="shared" si="27"/>
        <v>0</v>
      </c>
    </row>
    <row r="576" spans="1:20" x14ac:dyDescent="0.3">
      <c r="A576">
        <v>575</v>
      </c>
      <c r="B576" t="s">
        <v>591</v>
      </c>
      <c r="C576" s="2">
        <v>46012</v>
      </c>
      <c r="D576" s="2">
        <v>46013</v>
      </c>
      <c r="E576" t="s">
        <v>1019</v>
      </c>
      <c r="F576" t="s">
        <v>1044</v>
      </c>
      <c r="G576" t="s">
        <v>1270</v>
      </c>
      <c r="H576" t="s">
        <v>1289</v>
      </c>
      <c r="I576" t="s">
        <v>1300</v>
      </c>
      <c r="J576" t="s">
        <v>1305</v>
      </c>
      <c r="K576" t="s">
        <v>1306</v>
      </c>
      <c r="L576" t="s">
        <v>1321</v>
      </c>
      <c r="M576">
        <v>2</v>
      </c>
      <c r="N576">
        <v>0</v>
      </c>
      <c r="O576">
        <v>856.21</v>
      </c>
      <c r="P576">
        <v>294.70999999999998</v>
      </c>
      <c r="Q576" t="s">
        <v>1331</v>
      </c>
      <c r="R576" t="b">
        <f t="shared" si="25"/>
        <v>0</v>
      </c>
      <c r="S576" t="b">
        <f t="shared" si="26"/>
        <v>0</v>
      </c>
      <c r="T576" t="b">
        <f t="shared" si="27"/>
        <v>0</v>
      </c>
    </row>
    <row r="577" spans="1:20" x14ac:dyDescent="0.3">
      <c r="A577">
        <v>576</v>
      </c>
      <c r="B577" t="s">
        <v>592</v>
      </c>
      <c r="C577" s="2">
        <v>45849</v>
      </c>
      <c r="D577" s="2">
        <v>45853</v>
      </c>
      <c r="E577" t="s">
        <v>1018</v>
      </c>
      <c r="F577" t="s">
        <v>1035</v>
      </c>
      <c r="G577" t="s">
        <v>1280</v>
      </c>
      <c r="H577" t="s">
        <v>1288</v>
      </c>
      <c r="I577" t="s">
        <v>1299</v>
      </c>
      <c r="J577" t="s">
        <v>1304</v>
      </c>
      <c r="K577" t="s">
        <v>1307</v>
      </c>
      <c r="L577" t="s">
        <v>1316</v>
      </c>
      <c r="M577">
        <v>2</v>
      </c>
      <c r="N577">
        <v>0</v>
      </c>
      <c r="O577">
        <v>991.29</v>
      </c>
      <c r="P577">
        <v>275.89</v>
      </c>
      <c r="Q577" t="s">
        <v>1332</v>
      </c>
      <c r="R577" t="b">
        <f t="shared" si="25"/>
        <v>0</v>
      </c>
      <c r="S577" t="b">
        <f t="shared" si="26"/>
        <v>0</v>
      </c>
      <c r="T577" t="b">
        <f t="shared" si="27"/>
        <v>0</v>
      </c>
    </row>
    <row r="578" spans="1:20" x14ac:dyDescent="0.3">
      <c r="A578">
        <v>577</v>
      </c>
      <c r="B578" t="s">
        <v>593</v>
      </c>
      <c r="C578" s="2">
        <v>45685</v>
      </c>
      <c r="D578" s="2">
        <v>45686</v>
      </c>
      <c r="E578" t="s">
        <v>1017</v>
      </c>
      <c r="F578" t="s">
        <v>1237</v>
      </c>
      <c r="G578" t="s">
        <v>1269</v>
      </c>
      <c r="H578" t="s">
        <v>1288</v>
      </c>
      <c r="I578" t="s">
        <v>1290</v>
      </c>
      <c r="J578" t="s">
        <v>1302</v>
      </c>
      <c r="K578" t="s">
        <v>1306</v>
      </c>
      <c r="L578" t="s">
        <v>1323</v>
      </c>
      <c r="M578">
        <v>1</v>
      </c>
      <c r="N578">
        <v>0.2</v>
      </c>
      <c r="O578">
        <v>138.63</v>
      </c>
      <c r="P578">
        <v>14.19</v>
      </c>
      <c r="Q578" t="s">
        <v>1331</v>
      </c>
      <c r="R578" t="b">
        <f t="shared" si="25"/>
        <v>0</v>
      </c>
      <c r="S578" t="b">
        <f t="shared" si="26"/>
        <v>0</v>
      </c>
      <c r="T578" t="b">
        <f t="shared" si="27"/>
        <v>0</v>
      </c>
    </row>
    <row r="579" spans="1:20" x14ac:dyDescent="0.3">
      <c r="A579">
        <v>578</v>
      </c>
      <c r="B579" t="s">
        <v>594</v>
      </c>
      <c r="C579" s="2">
        <v>45711</v>
      </c>
      <c r="D579" s="2">
        <v>45715</v>
      </c>
      <c r="E579" t="s">
        <v>1018</v>
      </c>
      <c r="F579" t="s">
        <v>1198</v>
      </c>
      <c r="G579" t="s">
        <v>1268</v>
      </c>
      <c r="H579" t="s">
        <v>1289</v>
      </c>
      <c r="I579" t="s">
        <v>1298</v>
      </c>
      <c r="J579" t="s">
        <v>1303</v>
      </c>
      <c r="K579" t="s">
        <v>1307</v>
      </c>
      <c r="L579" t="s">
        <v>1314</v>
      </c>
      <c r="M579">
        <v>5</v>
      </c>
      <c r="N579">
        <v>0.25</v>
      </c>
      <c r="O579">
        <v>3308.12</v>
      </c>
      <c r="P579">
        <v>84.27</v>
      </c>
      <c r="Q579" t="s">
        <v>1332</v>
      </c>
      <c r="R579" t="b">
        <f t="shared" ref="R579:R642" si="28">D579&lt;C579</f>
        <v>0</v>
      </c>
      <c r="S579" t="b">
        <f t="shared" ref="S579:S642" si="29">M579&lt;=0</f>
        <v>0</v>
      </c>
      <c r="T579" t="b">
        <f t="shared" ref="T579:T642" si="30">OR(N579&lt;0,N579&gt;1)</f>
        <v>0</v>
      </c>
    </row>
    <row r="580" spans="1:20" x14ac:dyDescent="0.3">
      <c r="A580">
        <v>579</v>
      </c>
      <c r="B580" t="s">
        <v>595</v>
      </c>
      <c r="C580" s="2">
        <v>45758</v>
      </c>
      <c r="D580" s="2">
        <v>45762</v>
      </c>
      <c r="E580" t="s">
        <v>1018</v>
      </c>
      <c r="F580" t="s">
        <v>1029</v>
      </c>
      <c r="G580" t="s">
        <v>1280</v>
      </c>
      <c r="H580" t="s">
        <v>1287</v>
      </c>
      <c r="I580" t="s">
        <v>1293</v>
      </c>
      <c r="J580" t="s">
        <v>1304</v>
      </c>
      <c r="K580" t="s">
        <v>1309</v>
      </c>
      <c r="L580" t="s">
        <v>1329</v>
      </c>
      <c r="M580">
        <v>3</v>
      </c>
      <c r="N580">
        <v>0</v>
      </c>
      <c r="O580">
        <v>5870.4</v>
      </c>
      <c r="P580">
        <v>2263.25</v>
      </c>
      <c r="Q580" t="s">
        <v>1333</v>
      </c>
      <c r="R580" t="b">
        <f t="shared" si="28"/>
        <v>0</v>
      </c>
      <c r="S580" t="b">
        <f t="shared" si="29"/>
        <v>0</v>
      </c>
      <c r="T580" t="b">
        <f t="shared" si="30"/>
        <v>0</v>
      </c>
    </row>
    <row r="581" spans="1:20" x14ac:dyDescent="0.3">
      <c r="A581">
        <v>580</v>
      </c>
      <c r="B581" t="s">
        <v>596</v>
      </c>
      <c r="C581" s="2">
        <v>45714</v>
      </c>
      <c r="D581" s="2">
        <v>45716</v>
      </c>
      <c r="E581" t="s">
        <v>1017</v>
      </c>
      <c r="F581" t="s">
        <v>1203</v>
      </c>
      <c r="G581" t="s">
        <v>1274</v>
      </c>
      <c r="H581" t="s">
        <v>1288</v>
      </c>
      <c r="I581" t="s">
        <v>1295</v>
      </c>
      <c r="J581" t="s">
        <v>1305</v>
      </c>
      <c r="K581" t="s">
        <v>1307</v>
      </c>
      <c r="L581" t="s">
        <v>1311</v>
      </c>
      <c r="M581">
        <v>2</v>
      </c>
      <c r="N581">
        <v>0</v>
      </c>
      <c r="O581">
        <v>624.62</v>
      </c>
      <c r="P581">
        <v>220.05</v>
      </c>
      <c r="Q581" t="s">
        <v>1331</v>
      </c>
      <c r="R581" t="b">
        <f t="shared" si="28"/>
        <v>0</v>
      </c>
      <c r="S581" t="b">
        <f t="shared" si="29"/>
        <v>0</v>
      </c>
      <c r="T581" t="b">
        <f t="shared" si="30"/>
        <v>0</v>
      </c>
    </row>
    <row r="582" spans="1:20" x14ac:dyDescent="0.3">
      <c r="A582">
        <v>581</v>
      </c>
      <c r="B582" t="s">
        <v>597</v>
      </c>
      <c r="C582" s="2">
        <v>45843</v>
      </c>
      <c r="D582" s="2">
        <v>45846</v>
      </c>
      <c r="E582" t="s">
        <v>1017</v>
      </c>
      <c r="F582" t="s">
        <v>1236</v>
      </c>
      <c r="G582" t="s">
        <v>1267</v>
      </c>
      <c r="H582" t="s">
        <v>1288</v>
      </c>
      <c r="I582" t="s">
        <v>1294</v>
      </c>
      <c r="J582" t="s">
        <v>1305</v>
      </c>
      <c r="K582" t="s">
        <v>1307</v>
      </c>
      <c r="L582" t="s">
        <v>1315</v>
      </c>
      <c r="M582">
        <v>5</v>
      </c>
      <c r="N582">
        <v>0.15</v>
      </c>
      <c r="O582">
        <v>7765.18</v>
      </c>
      <c r="P582">
        <v>1339.76</v>
      </c>
      <c r="Q582" t="s">
        <v>1330</v>
      </c>
      <c r="R582" t="b">
        <f t="shared" si="28"/>
        <v>0</v>
      </c>
      <c r="S582" t="b">
        <f t="shared" si="29"/>
        <v>0</v>
      </c>
      <c r="T582" t="b">
        <f t="shared" si="30"/>
        <v>0</v>
      </c>
    </row>
    <row r="583" spans="1:20" x14ac:dyDescent="0.3">
      <c r="A583">
        <v>582</v>
      </c>
      <c r="B583" t="s">
        <v>598</v>
      </c>
      <c r="C583" s="2">
        <v>45880</v>
      </c>
      <c r="D583" s="2">
        <v>45885</v>
      </c>
      <c r="E583" t="s">
        <v>1018</v>
      </c>
      <c r="F583" t="s">
        <v>1176</v>
      </c>
      <c r="G583" t="s">
        <v>1271</v>
      </c>
      <c r="H583" t="s">
        <v>1288</v>
      </c>
      <c r="I583" t="s">
        <v>1299</v>
      </c>
      <c r="J583" t="s">
        <v>1304</v>
      </c>
      <c r="K583" t="s">
        <v>1306</v>
      </c>
      <c r="L583" t="s">
        <v>1310</v>
      </c>
      <c r="M583">
        <v>1</v>
      </c>
      <c r="N583">
        <v>0.15</v>
      </c>
      <c r="O583">
        <v>574.05999999999995</v>
      </c>
      <c r="P583">
        <v>135.91</v>
      </c>
      <c r="Q583" t="s">
        <v>1331</v>
      </c>
      <c r="R583" t="b">
        <f t="shared" si="28"/>
        <v>0</v>
      </c>
      <c r="S583" t="b">
        <f t="shared" si="29"/>
        <v>0</v>
      </c>
      <c r="T583" t="b">
        <f t="shared" si="30"/>
        <v>0</v>
      </c>
    </row>
    <row r="584" spans="1:20" x14ac:dyDescent="0.3">
      <c r="A584">
        <v>583</v>
      </c>
      <c r="B584" t="s">
        <v>599</v>
      </c>
      <c r="C584" s="2">
        <v>45730</v>
      </c>
      <c r="D584" s="2">
        <v>45733</v>
      </c>
      <c r="E584" t="s">
        <v>1018</v>
      </c>
      <c r="F584" t="s">
        <v>1130</v>
      </c>
      <c r="G584" t="s">
        <v>1280</v>
      </c>
      <c r="H584" t="s">
        <v>1289</v>
      </c>
      <c r="I584" t="s">
        <v>1293</v>
      </c>
      <c r="J584" t="s">
        <v>1304</v>
      </c>
      <c r="K584" t="s">
        <v>1308</v>
      </c>
      <c r="L584" t="s">
        <v>1326</v>
      </c>
      <c r="M584">
        <v>2</v>
      </c>
      <c r="N584">
        <v>0.15</v>
      </c>
      <c r="O584">
        <v>12046.07</v>
      </c>
      <c r="P584">
        <v>2997.66</v>
      </c>
      <c r="Q584" t="s">
        <v>1331</v>
      </c>
      <c r="R584" t="b">
        <f t="shared" si="28"/>
        <v>0</v>
      </c>
      <c r="S584" t="b">
        <f t="shared" si="29"/>
        <v>0</v>
      </c>
      <c r="T584" t="b">
        <f t="shared" si="30"/>
        <v>0</v>
      </c>
    </row>
    <row r="585" spans="1:20" x14ac:dyDescent="0.3">
      <c r="A585">
        <v>584</v>
      </c>
      <c r="B585" t="s">
        <v>600</v>
      </c>
      <c r="C585" s="2">
        <v>45895</v>
      </c>
      <c r="D585" s="2">
        <v>45897</v>
      </c>
      <c r="E585" t="s">
        <v>1017</v>
      </c>
      <c r="F585" t="s">
        <v>1247</v>
      </c>
      <c r="G585" t="s">
        <v>1280</v>
      </c>
      <c r="H585" t="s">
        <v>1288</v>
      </c>
      <c r="I585" t="s">
        <v>1296</v>
      </c>
      <c r="J585" t="s">
        <v>1304</v>
      </c>
      <c r="K585" t="s">
        <v>1307</v>
      </c>
      <c r="L585" t="s">
        <v>1311</v>
      </c>
      <c r="M585">
        <v>1</v>
      </c>
      <c r="N585">
        <v>0.25</v>
      </c>
      <c r="O585">
        <v>217.76</v>
      </c>
      <c r="P585">
        <v>2.39</v>
      </c>
      <c r="Q585" t="s">
        <v>1332</v>
      </c>
      <c r="R585" t="b">
        <f t="shared" si="28"/>
        <v>0</v>
      </c>
      <c r="S585" t="b">
        <f t="shared" si="29"/>
        <v>0</v>
      </c>
      <c r="T585" t="b">
        <f t="shared" si="30"/>
        <v>0</v>
      </c>
    </row>
    <row r="586" spans="1:20" x14ac:dyDescent="0.3">
      <c r="A586">
        <v>585</v>
      </c>
      <c r="B586" t="s">
        <v>601</v>
      </c>
      <c r="C586" s="2">
        <v>45939</v>
      </c>
      <c r="D586" s="2">
        <v>45942</v>
      </c>
      <c r="E586" t="s">
        <v>1018</v>
      </c>
      <c r="F586" t="s">
        <v>1234</v>
      </c>
      <c r="G586" t="s">
        <v>1274</v>
      </c>
      <c r="H586" t="s">
        <v>1289</v>
      </c>
      <c r="I586" t="s">
        <v>1293</v>
      </c>
      <c r="J586" t="s">
        <v>1304</v>
      </c>
      <c r="K586" t="s">
        <v>1309</v>
      </c>
      <c r="L586" t="s">
        <v>1329</v>
      </c>
      <c r="M586">
        <v>2</v>
      </c>
      <c r="N586">
        <v>0.1</v>
      </c>
      <c r="O586">
        <v>3285.93</v>
      </c>
      <c r="P586">
        <v>355.83</v>
      </c>
      <c r="Q586" t="s">
        <v>1331</v>
      </c>
      <c r="R586" t="b">
        <f t="shared" si="28"/>
        <v>0</v>
      </c>
      <c r="S586" t="b">
        <f t="shared" si="29"/>
        <v>0</v>
      </c>
      <c r="T586" t="b">
        <f t="shared" si="30"/>
        <v>0</v>
      </c>
    </row>
    <row r="587" spans="1:20" x14ac:dyDescent="0.3">
      <c r="A587">
        <v>586</v>
      </c>
      <c r="B587" t="s">
        <v>602</v>
      </c>
      <c r="C587" s="2">
        <v>45795</v>
      </c>
      <c r="D587" s="2">
        <v>45796</v>
      </c>
      <c r="E587" t="s">
        <v>1017</v>
      </c>
      <c r="F587" t="s">
        <v>1228</v>
      </c>
      <c r="G587" t="s">
        <v>1272</v>
      </c>
      <c r="H587" t="s">
        <v>1287</v>
      </c>
      <c r="I587" t="s">
        <v>1296</v>
      </c>
      <c r="J587" t="s">
        <v>1304</v>
      </c>
      <c r="K587" t="s">
        <v>1309</v>
      </c>
      <c r="L587" t="s">
        <v>1325</v>
      </c>
      <c r="M587">
        <v>2</v>
      </c>
      <c r="N587">
        <v>0</v>
      </c>
      <c r="O587">
        <v>2710.75</v>
      </c>
      <c r="P587">
        <v>1004.6</v>
      </c>
      <c r="Q587" t="s">
        <v>1332</v>
      </c>
      <c r="R587" t="b">
        <f t="shared" si="28"/>
        <v>0</v>
      </c>
      <c r="S587" t="b">
        <f t="shared" si="29"/>
        <v>0</v>
      </c>
      <c r="T587" t="b">
        <f t="shared" si="30"/>
        <v>0</v>
      </c>
    </row>
    <row r="588" spans="1:20" x14ac:dyDescent="0.3">
      <c r="A588">
        <v>587</v>
      </c>
      <c r="B588" t="s">
        <v>603</v>
      </c>
      <c r="C588" s="2">
        <v>45695</v>
      </c>
      <c r="D588" s="2">
        <v>45696</v>
      </c>
      <c r="E588" t="s">
        <v>1018</v>
      </c>
      <c r="F588" t="s">
        <v>1129</v>
      </c>
      <c r="G588" t="s">
        <v>1274</v>
      </c>
      <c r="H588" t="s">
        <v>1289</v>
      </c>
      <c r="I588" t="s">
        <v>1292</v>
      </c>
      <c r="J588" t="s">
        <v>1303</v>
      </c>
      <c r="K588" t="s">
        <v>1306</v>
      </c>
      <c r="L588" t="s">
        <v>1323</v>
      </c>
      <c r="M588">
        <v>1</v>
      </c>
      <c r="N588">
        <v>0.1</v>
      </c>
      <c r="O588">
        <v>163.81</v>
      </c>
      <c r="P588">
        <v>31.84</v>
      </c>
      <c r="Q588" t="s">
        <v>1330</v>
      </c>
      <c r="R588" t="b">
        <f t="shared" si="28"/>
        <v>0</v>
      </c>
      <c r="S588" t="b">
        <f t="shared" si="29"/>
        <v>0</v>
      </c>
      <c r="T588" t="b">
        <f t="shared" si="30"/>
        <v>0</v>
      </c>
    </row>
    <row r="589" spans="1:20" x14ac:dyDescent="0.3">
      <c r="A589">
        <v>588</v>
      </c>
      <c r="B589" t="s">
        <v>604</v>
      </c>
      <c r="C589" s="2">
        <v>45937</v>
      </c>
      <c r="D589" s="2">
        <v>45942</v>
      </c>
      <c r="E589" t="s">
        <v>1019</v>
      </c>
      <c r="F589" t="s">
        <v>1165</v>
      </c>
      <c r="G589" t="s">
        <v>1281</v>
      </c>
      <c r="H589" t="s">
        <v>1287</v>
      </c>
      <c r="I589" t="s">
        <v>1291</v>
      </c>
      <c r="J589" t="s">
        <v>1302</v>
      </c>
      <c r="K589" t="s">
        <v>1309</v>
      </c>
      <c r="L589" t="s">
        <v>1329</v>
      </c>
      <c r="M589">
        <v>1</v>
      </c>
      <c r="N589">
        <v>0.2</v>
      </c>
      <c r="O589">
        <v>1573.79</v>
      </c>
      <c r="P589">
        <v>354.63</v>
      </c>
      <c r="Q589" t="s">
        <v>1333</v>
      </c>
      <c r="R589" t="b">
        <f t="shared" si="28"/>
        <v>0</v>
      </c>
      <c r="S589" t="b">
        <f t="shared" si="29"/>
        <v>0</v>
      </c>
      <c r="T589" t="b">
        <f t="shared" si="30"/>
        <v>0</v>
      </c>
    </row>
    <row r="590" spans="1:20" x14ac:dyDescent="0.3">
      <c r="A590">
        <v>589</v>
      </c>
      <c r="B590" t="s">
        <v>605</v>
      </c>
      <c r="C590" s="2">
        <v>45927</v>
      </c>
      <c r="D590" s="2">
        <v>45929</v>
      </c>
      <c r="E590" t="s">
        <v>1018</v>
      </c>
      <c r="F590" t="s">
        <v>1234</v>
      </c>
      <c r="G590" t="s">
        <v>1274</v>
      </c>
      <c r="H590" t="s">
        <v>1288</v>
      </c>
      <c r="I590" t="s">
        <v>1290</v>
      </c>
      <c r="J590" t="s">
        <v>1302</v>
      </c>
      <c r="K590" t="s">
        <v>1309</v>
      </c>
      <c r="L590" t="s">
        <v>1317</v>
      </c>
      <c r="M590">
        <v>1</v>
      </c>
      <c r="N590">
        <v>0.1</v>
      </c>
      <c r="O590">
        <v>737.34</v>
      </c>
      <c r="P590">
        <v>87.26</v>
      </c>
      <c r="Q590" t="s">
        <v>1332</v>
      </c>
      <c r="R590" t="b">
        <f t="shared" si="28"/>
        <v>0</v>
      </c>
      <c r="S590" t="b">
        <f t="shared" si="29"/>
        <v>0</v>
      </c>
      <c r="T590" t="b">
        <f t="shared" si="30"/>
        <v>0</v>
      </c>
    </row>
    <row r="591" spans="1:20" x14ac:dyDescent="0.3">
      <c r="A591">
        <v>590</v>
      </c>
      <c r="B591" t="s">
        <v>606</v>
      </c>
      <c r="C591" s="2">
        <v>45661</v>
      </c>
      <c r="D591" s="2">
        <v>45666</v>
      </c>
      <c r="E591" t="s">
        <v>1019</v>
      </c>
      <c r="F591" t="s">
        <v>1025</v>
      </c>
      <c r="G591" t="s">
        <v>1270</v>
      </c>
      <c r="H591" t="s">
        <v>1287</v>
      </c>
      <c r="I591" t="s">
        <v>1292</v>
      </c>
      <c r="J591" t="s">
        <v>1303</v>
      </c>
      <c r="K591" t="s">
        <v>1307</v>
      </c>
      <c r="L591" t="s">
        <v>1322</v>
      </c>
      <c r="M591">
        <v>4</v>
      </c>
      <c r="N591">
        <v>0</v>
      </c>
      <c r="O591">
        <v>2779.29</v>
      </c>
      <c r="P591">
        <v>579.84</v>
      </c>
      <c r="Q591" t="s">
        <v>1331</v>
      </c>
      <c r="R591" t="b">
        <f t="shared" si="28"/>
        <v>0</v>
      </c>
      <c r="S591" t="b">
        <f t="shared" si="29"/>
        <v>0</v>
      </c>
      <c r="T591" t="b">
        <f t="shared" si="30"/>
        <v>0</v>
      </c>
    </row>
    <row r="592" spans="1:20" x14ac:dyDescent="0.3">
      <c r="A592">
        <v>591</v>
      </c>
      <c r="B592" t="s">
        <v>607</v>
      </c>
      <c r="C592" s="2">
        <v>45727</v>
      </c>
      <c r="D592" s="2">
        <v>45728</v>
      </c>
      <c r="E592" t="s">
        <v>1018</v>
      </c>
      <c r="F592" t="s">
        <v>1037</v>
      </c>
      <c r="G592" t="s">
        <v>1273</v>
      </c>
      <c r="H592" t="s">
        <v>1287</v>
      </c>
      <c r="I592" t="s">
        <v>1298</v>
      </c>
      <c r="J592" t="s">
        <v>1303</v>
      </c>
      <c r="K592" t="s">
        <v>1307</v>
      </c>
      <c r="L592" t="s">
        <v>1311</v>
      </c>
      <c r="M592">
        <v>2</v>
      </c>
      <c r="N592">
        <v>0.05</v>
      </c>
      <c r="O592">
        <v>577.76</v>
      </c>
      <c r="P592">
        <v>206.95</v>
      </c>
      <c r="Q592" t="s">
        <v>1331</v>
      </c>
      <c r="R592" t="b">
        <f t="shared" si="28"/>
        <v>0</v>
      </c>
      <c r="S592" t="b">
        <f t="shared" si="29"/>
        <v>0</v>
      </c>
      <c r="T592" t="b">
        <f t="shared" si="30"/>
        <v>0</v>
      </c>
    </row>
    <row r="593" spans="1:20" x14ac:dyDescent="0.3">
      <c r="A593">
        <v>592</v>
      </c>
      <c r="B593" t="s">
        <v>608</v>
      </c>
      <c r="C593" s="2">
        <v>45721</v>
      </c>
      <c r="D593" s="2">
        <v>45723</v>
      </c>
      <c r="E593" t="s">
        <v>1017</v>
      </c>
      <c r="F593" t="s">
        <v>1090</v>
      </c>
      <c r="G593" t="s">
        <v>1280</v>
      </c>
      <c r="H593" t="s">
        <v>1288</v>
      </c>
      <c r="I593" t="s">
        <v>1298</v>
      </c>
      <c r="J593" t="s">
        <v>1303</v>
      </c>
      <c r="K593" t="s">
        <v>1306</v>
      </c>
      <c r="L593" t="s">
        <v>1328</v>
      </c>
      <c r="M593">
        <v>1</v>
      </c>
      <c r="N593">
        <v>0</v>
      </c>
      <c r="O593">
        <v>119.16</v>
      </c>
      <c r="P593">
        <v>23.76</v>
      </c>
      <c r="Q593" t="s">
        <v>1332</v>
      </c>
      <c r="R593" t="b">
        <f t="shared" si="28"/>
        <v>0</v>
      </c>
      <c r="S593" t="b">
        <f t="shared" si="29"/>
        <v>0</v>
      </c>
      <c r="T593" t="b">
        <f t="shared" si="30"/>
        <v>0</v>
      </c>
    </row>
    <row r="594" spans="1:20" x14ac:dyDescent="0.3">
      <c r="A594">
        <v>593</v>
      </c>
      <c r="B594" t="s">
        <v>609</v>
      </c>
      <c r="C594" s="2">
        <v>45954</v>
      </c>
      <c r="D594" s="2">
        <v>45955</v>
      </c>
      <c r="E594" t="s">
        <v>1019</v>
      </c>
      <c r="F594" t="s">
        <v>1158</v>
      </c>
      <c r="G594" t="s">
        <v>1285</v>
      </c>
      <c r="H594" t="s">
        <v>1288</v>
      </c>
      <c r="I594" t="s">
        <v>1290</v>
      </c>
      <c r="J594" t="s">
        <v>1302</v>
      </c>
      <c r="K594" t="s">
        <v>1308</v>
      </c>
      <c r="L594" t="s">
        <v>1326</v>
      </c>
      <c r="M594">
        <v>4</v>
      </c>
      <c r="N594">
        <v>0.1</v>
      </c>
      <c r="O594">
        <v>25309.49</v>
      </c>
      <c r="P594">
        <v>6364.56</v>
      </c>
      <c r="Q594" t="s">
        <v>1331</v>
      </c>
      <c r="R594" t="b">
        <f t="shared" si="28"/>
        <v>0</v>
      </c>
      <c r="S594" t="b">
        <f t="shared" si="29"/>
        <v>0</v>
      </c>
      <c r="T594" t="b">
        <f t="shared" si="30"/>
        <v>0</v>
      </c>
    </row>
    <row r="595" spans="1:20" x14ac:dyDescent="0.3">
      <c r="A595">
        <v>594</v>
      </c>
      <c r="B595" t="s">
        <v>610</v>
      </c>
      <c r="C595" s="2">
        <v>45706</v>
      </c>
      <c r="D595" s="2">
        <v>45709</v>
      </c>
      <c r="E595" t="s">
        <v>1018</v>
      </c>
      <c r="F595" t="s">
        <v>1127</v>
      </c>
      <c r="G595" t="s">
        <v>1275</v>
      </c>
      <c r="H595" t="s">
        <v>1287</v>
      </c>
      <c r="I595" t="s">
        <v>1299</v>
      </c>
      <c r="J595" t="s">
        <v>1304</v>
      </c>
      <c r="K595" t="s">
        <v>1309</v>
      </c>
      <c r="L595" t="s">
        <v>1317</v>
      </c>
      <c r="M595">
        <v>1</v>
      </c>
      <c r="N595">
        <v>0.25</v>
      </c>
      <c r="O595">
        <v>598.5</v>
      </c>
      <c r="P595">
        <v>44.93</v>
      </c>
      <c r="Q595" t="s">
        <v>1331</v>
      </c>
      <c r="R595" t="b">
        <f t="shared" si="28"/>
        <v>0</v>
      </c>
      <c r="S595" t="b">
        <f t="shared" si="29"/>
        <v>0</v>
      </c>
      <c r="T595" t="b">
        <f t="shared" si="30"/>
        <v>0</v>
      </c>
    </row>
    <row r="596" spans="1:20" x14ac:dyDescent="0.3">
      <c r="A596">
        <v>595</v>
      </c>
      <c r="B596" t="s">
        <v>611</v>
      </c>
      <c r="C596" s="2">
        <v>45714</v>
      </c>
      <c r="D596" s="2">
        <v>45716</v>
      </c>
      <c r="E596" t="s">
        <v>1019</v>
      </c>
      <c r="F596" t="s">
        <v>1248</v>
      </c>
      <c r="G596" t="s">
        <v>1277</v>
      </c>
      <c r="H596" t="s">
        <v>1287</v>
      </c>
      <c r="I596" t="s">
        <v>1291</v>
      </c>
      <c r="J596" t="s">
        <v>1302</v>
      </c>
      <c r="K596" t="s">
        <v>1307</v>
      </c>
      <c r="L596" t="s">
        <v>1314</v>
      </c>
      <c r="M596">
        <v>4</v>
      </c>
      <c r="N596">
        <v>0.2</v>
      </c>
      <c r="O596">
        <v>2960.02</v>
      </c>
      <c r="P596">
        <v>708.05</v>
      </c>
      <c r="Q596" t="s">
        <v>1331</v>
      </c>
      <c r="R596" t="b">
        <f t="shared" si="28"/>
        <v>0</v>
      </c>
      <c r="S596" t="b">
        <f t="shared" si="29"/>
        <v>0</v>
      </c>
      <c r="T596" t="b">
        <f t="shared" si="30"/>
        <v>0</v>
      </c>
    </row>
    <row r="597" spans="1:20" x14ac:dyDescent="0.3">
      <c r="A597">
        <v>596</v>
      </c>
      <c r="B597" t="s">
        <v>612</v>
      </c>
      <c r="C597" s="2">
        <v>45745</v>
      </c>
      <c r="D597" s="2">
        <v>45746</v>
      </c>
      <c r="E597" t="s">
        <v>1017</v>
      </c>
      <c r="F597" t="s">
        <v>1197</v>
      </c>
      <c r="G597" t="s">
        <v>1271</v>
      </c>
      <c r="H597" t="s">
        <v>1287</v>
      </c>
      <c r="I597" t="s">
        <v>1301</v>
      </c>
      <c r="J597" t="s">
        <v>1303</v>
      </c>
      <c r="K597" t="s">
        <v>1309</v>
      </c>
      <c r="L597" t="s">
        <v>1320</v>
      </c>
      <c r="M597">
        <v>2</v>
      </c>
      <c r="N597">
        <v>0</v>
      </c>
      <c r="O597">
        <v>2337.09</v>
      </c>
      <c r="P597">
        <v>595.14</v>
      </c>
      <c r="Q597" t="s">
        <v>1331</v>
      </c>
      <c r="R597" t="b">
        <f t="shared" si="28"/>
        <v>0</v>
      </c>
      <c r="S597" t="b">
        <f t="shared" si="29"/>
        <v>0</v>
      </c>
      <c r="T597" t="b">
        <f t="shared" si="30"/>
        <v>0</v>
      </c>
    </row>
    <row r="598" spans="1:20" x14ac:dyDescent="0.3">
      <c r="A598">
        <v>597</v>
      </c>
      <c r="B598" t="s">
        <v>613</v>
      </c>
      <c r="C598" s="2">
        <v>45817</v>
      </c>
      <c r="D598" s="2">
        <v>45818</v>
      </c>
      <c r="E598" t="s">
        <v>1017</v>
      </c>
      <c r="F598" t="s">
        <v>1046</v>
      </c>
      <c r="G598" t="s">
        <v>1270</v>
      </c>
      <c r="H598" t="s">
        <v>1288</v>
      </c>
      <c r="I598" t="s">
        <v>1290</v>
      </c>
      <c r="J598" t="s">
        <v>1302</v>
      </c>
      <c r="K598" t="s">
        <v>1309</v>
      </c>
      <c r="L598" t="s">
        <v>1325</v>
      </c>
      <c r="M598">
        <v>1</v>
      </c>
      <c r="N598">
        <v>0.1</v>
      </c>
      <c r="O598">
        <v>1132.67</v>
      </c>
      <c r="P598">
        <v>312.68</v>
      </c>
      <c r="Q598" t="s">
        <v>1330</v>
      </c>
      <c r="R598" t="b">
        <f t="shared" si="28"/>
        <v>0</v>
      </c>
      <c r="S598" t="b">
        <f t="shared" si="29"/>
        <v>0</v>
      </c>
      <c r="T598" t="b">
        <f t="shared" si="30"/>
        <v>0</v>
      </c>
    </row>
    <row r="599" spans="1:20" x14ac:dyDescent="0.3">
      <c r="A599">
        <v>598</v>
      </c>
      <c r="B599" t="s">
        <v>614</v>
      </c>
      <c r="C599" s="2">
        <v>45967</v>
      </c>
      <c r="D599" s="2">
        <v>45968</v>
      </c>
      <c r="E599" t="s">
        <v>1017</v>
      </c>
      <c r="F599" t="s">
        <v>1115</v>
      </c>
      <c r="G599" t="s">
        <v>1281</v>
      </c>
      <c r="H599" t="s">
        <v>1288</v>
      </c>
      <c r="I599" t="s">
        <v>1290</v>
      </c>
      <c r="J599" t="s">
        <v>1302</v>
      </c>
      <c r="K599" t="s">
        <v>1309</v>
      </c>
      <c r="L599" t="s">
        <v>1317</v>
      </c>
      <c r="M599">
        <v>4</v>
      </c>
      <c r="N599">
        <v>0.05</v>
      </c>
      <c r="O599">
        <v>3040.02</v>
      </c>
      <c r="P599">
        <v>887.34</v>
      </c>
      <c r="Q599" t="s">
        <v>1333</v>
      </c>
      <c r="R599" t="b">
        <f t="shared" si="28"/>
        <v>0</v>
      </c>
      <c r="S599" t="b">
        <f t="shared" si="29"/>
        <v>0</v>
      </c>
      <c r="T599" t="b">
        <f t="shared" si="30"/>
        <v>0</v>
      </c>
    </row>
    <row r="600" spans="1:20" x14ac:dyDescent="0.3">
      <c r="A600">
        <v>599</v>
      </c>
      <c r="B600" t="s">
        <v>615</v>
      </c>
      <c r="C600" s="2">
        <v>45885</v>
      </c>
      <c r="D600" s="2">
        <v>45888</v>
      </c>
      <c r="E600" t="s">
        <v>1017</v>
      </c>
      <c r="F600" t="s">
        <v>1042</v>
      </c>
      <c r="G600" t="s">
        <v>1277</v>
      </c>
      <c r="H600" t="s">
        <v>1288</v>
      </c>
      <c r="I600" t="s">
        <v>1297</v>
      </c>
      <c r="J600" t="s">
        <v>1304</v>
      </c>
      <c r="K600" t="s">
        <v>1308</v>
      </c>
      <c r="L600" t="s">
        <v>1319</v>
      </c>
      <c r="M600">
        <v>1</v>
      </c>
      <c r="N600">
        <v>0.25</v>
      </c>
      <c r="O600">
        <v>3616.51</v>
      </c>
      <c r="P600">
        <v>-104.79</v>
      </c>
      <c r="Q600" t="s">
        <v>1331</v>
      </c>
      <c r="R600" t="b">
        <f t="shared" si="28"/>
        <v>0</v>
      </c>
      <c r="S600" t="b">
        <f t="shared" si="29"/>
        <v>0</v>
      </c>
      <c r="T600" t="b">
        <f t="shared" si="30"/>
        <v>0</v>
      </c>
    </row>
    <row r="601" spans="1:20" x14ac:dyDescent="0.3">
      <c r="A601">
        <v>600</v>
      </c>
      <c r="B601" t="s">
        <v>616</v>
      </c>
      <c r="C601" s="2">
        <v>45659</v>
      </c>
      <c r="D601" s="2">
        <v>45661</v>
      </c>
      <c r="E601" t="s">
        <v>1018</v>
      </c>
      <c r="F601" t="s">
        <v>1089</v>
      </c>
      <c r="G601" t="s">
        <v>1275</v>
      </c>
      <c r="H601" t="s">
        <v>1287</v>
      </c>
      <c r="I601" t="s">
        <v>1294</v>
      </c>
      <c r="J601" t="s">
        <v>1305</v>
      </c>
      <c r="K601" t="s">
        <v>1309</v>
      </c>
      <c r="L601" t="s">
        <v>1320</v>
      </c>
      <c r="M601">
        <v>2</v>
      </c>
      <c r="N601">
        <v>0</v>
      </c>
      <c r="O601">
        <v>2429.96</v>
      </c>
      <c r="P601">
        <v>895.48</v>
      </c>
      <c r="Q601" t="s">
        <v>1333</v>
      </c>
      <c r="R601" t="b">
        <f t="shared" si="28"/>
        <v>0</v>
      </c>
      <c r="S601" t="b">
        <f t="shared" si="29"/>
        <v>0</v>
      </c>
      <c r="T601" t="b">
        <f t="shared" si="30"/>
        <v>0</v>
      </c>
    </row>
    <row r="602" spans="1:20" x14ac:dyDescent="0.3">
      <c r="A602">
        <v>601</v>
      </c>
      <c r="B602" t="s">
        <v>617</v>
      </c>
      <c r="C602" s="2">
        <v>45761</v>
      </c>
      <c r="D602" s="2">
        <v>45763</v>
      </c>
      <c r="E602" t="s">
        <v>1018</v>
      </c>
      <c r="F602" t="s">
        <v>1119</v>
      </c>
      <c r="G602" t="s">
        <v>1277</v>
      </c>
      <c r="H602" t="s">
        <v>1289</v>
      </c>
      <c r="I602" t="s">
        <v>1292</v>
      </c>
      <c r="J602" t="s">
        <v>1303</v>
      </c>
      <c r="K602" t="s">
        <v>1306</v>
      </c>
      <c r="L602" t="s">
        <v>1321</v>
      </c>
      <c r="M602">
        <v>1</v>
      </c>
      <c r="N602">
        <v>0.1</v>
      </c>
      <c r="O602">
        <v>418.82</v>
      </c>
      <c r="P602">
        <v>87.64</v>
      </c>
      <c r="Q602" t="s">
        <v>1331</v>
      </c>
      <c r="R602" t="b">
        <f t="shared" si="28"/>
        <v>0</v>
      </c>
      <c r="S602" t="b">
        <f t="shared" si="29"/>
        <v>0</v>
      </c>
      <c r="T602" t="b">
        <f t="shared" si="30"/>
        <v>0</v>
      </c>
    </row>
    <row r="603" spans="1:20" x14ac:dyDescent="0.3">
      <c r="A603">
        <v>602</v>
      </c>
      <c r="B603" t="s">
        <v>618</v>
      </c>
      <c r="C603" s="2">
        <v>45994</v>
      </c>
      <c r="D603" s="2">
        <v>45997</v>
      </c>
      <c r="E603" t="s">
        <v>1017</v>
      </c>
      <c r="F603" t="s">
        <v>1170</v>
      </c>
      <c r="G603" t="s">
        <v>1285</v>
      </c>
      <c r="H603" t="s">
        <v>1288</v>
      </c>
      <c r="I603" t="s">
        <v>1291</v>
      </c>
      <c r="J603" t="s">
        <v>1302</v>
      </c>
      <c r="K603" t="s">
        <v>1306</v>
      </c>
      <c r="L603" t="s">
        <v>1310</v>
      </c>
      <c r="M603">
        <v>3</v>
      </c>
      <c r="N603">
        <v>0.2</v>
      </c>
      <c r="O603">
        <v>1484.87</v>
      </c>
      <c r="P603">
        <v>6.91</v>
      </c>
      <c r="Q603" t="s">
        <v>1333</v>
      </c>
      <c r="R603" t="b">
        <f t="shared" si="28"/>
        <v>0</v>
      </c>
      <c r="S603" t="b">
        <f t="shared" si="29"/>
        <v>0</v>
      </c>
      <c r="T603" t="b">
        <f t="shared" si="30"/>
        <v>0</v>
      </c>
    </row>
    <row r="604" spans="1:20" x14ac:dyDescent="0.3">
      <c r="A604">
        <v>603</v>
      </c>
      <c r="B604" t="s">
        <v>619</v>
      </c>
      <c r="C604" s="2">
        <v>45840</v>
      </c>
      <c r="D604" s="2">
        <v>45841</v>
      </c>
      <c r="E604" t="s">
        <v>1017</v>
      </c>
      <c r="F604" t="s">
        <v>1249</v>
      </c>
      <c r="G604" t="s">
        <v>1277</v>
      </c>
      <c r="H604" t="s">
        <v>1289</v>
      </c>
      <c r="I604" t="s">
        <v>1290</v>
      </c>
      <c r="J604" t="s">
        <v>1302</v>
      </c>
      <c r="K604" t="s">
        <v>1306</v>
      </c>
      <c r="L604" t="s">
        <v>1324</v>
      </c>
      <c r="M604">
        <v>3</v>
      </c>
      <c r="N604">
        <v>0.25</v>
      </c>
      <c r="O604">
        <v>204.47</v>
      </c>
      <c r="P604">
        <v>14.16</v>
      </c>
      <c r="Q604" t="s">
        <v>1333</v>
      </c>
      <c r="R604" t="b">
        <f t="shared" si="28"/>
        <v>0</v>
      </c>
      <c r="S604" t="b">
        <f t="shared" si="29"/>
        <v>0</v>
      </c>
      <c r="T604" t="b">
        <f t="shared" si="30"/>
        <v>0</v>
      </c>
    </row>
    <row r="605" spans="1:20" x14ac:dyDescent="0.3">
      <c r="A605">
        <v>604</v>
      </c>
      <c r="B605" t="s">
        <v>620</v>
      </c>
      <c r="C605" s="2">
        <v>45923</v>
      </c>
      <c r="D605" s="2">
        <v>45928</v>
      </c>
      <c r="E605" t="s">
        <v>1017</v>
      </c>
      <c r="F605" t="s">
        <v>1095</v>
      </c>
      <c r="G605" t="s">
        <v>1283</v>
      </c>
      <c r="H605" t="s">
        <v>1287</v>
      </c>
      <c r="I605" t="s">
        <v>1296</v>
      </c>
      <c r="J605" t="s">
        <v>1304</v>
      </c>
      <c r="K605" t="s">
        <v>1306</v>
      </c>
      <c r="L605" t="s">
        <v>1324</v>
      </c>
      <c r="M605">
        <v>1</v>
      </c>
      <c r="N605">
        <v>0</v>
      </c>
      <c r="O605">
        <v>87.19</v>
      </c>
      <c r="P605">
        <v>19.63</v>
      </c>
      <c r="Q605" t="s">
        <v>1332</v>
      </c>
      <c r="R605" t="b">
        <f t="shared" si="28"/>
        <v>0</v>
      </c>
      <c r="S605" t="b">
        <f t="shared" si="29"/>
        <v>0</v>
      </c>
      <c r="T605" t="b">
        <f t="shared" si="30"/>
        <v>0</v>
      </c>
    </row>
    <row r="606" spans="1:20" x14ac:dyDescent="0.3">
      <c r="A606">
        <v>605</v>
      </c>
      <c r="B606" t="s">
        <v>621</v>
      </c>
      <c r="C606" s="2">
        <v>45977</v>
      </c>
      <c r="D606" s="2">
        <v>45982</v>
      </c>
      <c r="E606" t="s">
        <v>1018</v>
      </c>
      <c r="F606" t="s">
        <v>1231</v>
      </c>
      <c r="G606" t="s">
        <v>1273</v>
      </c>
      <c r="H606" t="s">
        <v>1289</v>
      </c>
      <c r="I606" t="s">
        <v>1300</v>
      </c>
      <c r="J606" t="s">
        <v>1305</v>
      </c>
      <c r="K606" t="s">
        <v>1309</v>
      </c>
      <c r="L606" t="s">
        <v>1325</v>
      </c>
      <c r="M606">
        <v>3</v>
      </c>
      <c r="N606">
        <v>0</v>
      </c>
      <c r="O606">
        <v>3870.37</v>
      </c>
      <c r="P606">
        <v>817.02</v>
      </c>
      <c r="Q606" t="s">
        <v>1331</v>
      </c>
      <c r="R606" t="b">
        <f t="shared" si="28"/>
        <v>0</v>
      </c>
      <c r="S606" t="b">
        <f t="shared" si="29"/>
        <v>0</v>
      </c>
      <c r="T606" t="b">
        <f t="shared" si="30"/>
        <v>0</v>
      </c>
    </row>
    <row r="607" spans="1:20" x14ac:dyDescent="0.3">
      <c r="A607">
        <v>606</v>
      </c>
      <c r="B607" t="s">
        <v>622</v>
      </c>
      <c r="C607" s="2">
        <v>45876</v>
      </c>
      <c r="D607" s="2">
        <v>45877</v>
      </c>
      <c r="E607" t="s">
        <v>1017</v>
      </c>
      <c r="F607" t="s">
        <v>1026</v>
      </c>
      <c r="G607" t="s">
        <v>1283</v>
      </c>
      <c r="H607" t="s">
        <v>1288</v>
      </c>
      <c r="I607" t="s">
        <v>1295</v>
      </c>
      <c r="J607" t="s">
        <v>1305</v>
      </c>
      <c r="K607" t="s">
        <v>1309</v>
      </c>
      <c r="L607" t="s">
        <v>1320</v>
      </c>
      <c r="M607">
        <v>3</v>
      </c>
      <c r="N607">
        <v>0.1</v>
      </c>
      <c r="O607">
        <v>3185.39</v>
      </c>
      <c r="P607">
        <v>445.95</v>
      </c>
      <c r="Q607" t="s">
        <v>1331</v>
      </c>
      <c r="R607" t="b">
        <f t="shared" si="28"/>
        <v>0</v>
      </c>
      <c r="S607" t="b">
        <f t="shared" si="29"/>
        <v>0</v>
      </c>
      <c r="T607" t="b">
        <f t="shared" si="30"/>
        <v>0</v>
      </c>
    </row>
    <row r="608" spans="1:20" x14ac:dyDescent="0.3">
      <c r="A608">
        <v>607</v>
      </c>
      <c r="B608" t="s">
        <v>623</v>
      </c>
      <c r="C608" s="2">
        <v>45686</v>
      </c>
      <c r="D608" s="2">
        <v>45690</v>
      </c>
      <c r="E608" t="s">
        <v>1017</v>
      </c>
      <c r="F608" t="s">
        <v>1125</v>
      </c>
      <c r="G608" t="s">
        <v>1275</v>
      </c>
      <c r="H608" t="s">
        <v>1289</v>
      </c>
      <c r="I608" t="s">
        <v>1295</v>
      </c>
      <c r="J608" t="s">
        <v>1305</v>
      </c>
      <c r="K608" t="s">
        <v>1306</v>
      </c>
      <c r="L608" t="s">
        <v>1323</v>
      </c>
      <c r="M608">
        <v>1</v>
      </c>
      <c r="N608">
        <v>0.1</v>
      </c>
      <c r="O608">
        <v>169.84</v>
      </c>
      <c r="P608">
        <v>23.65</v>
      </c>
      <c r="Q608" t="s">
        <v>1332</v>
      </c>
      <c r="R608" t="b">
        <f t="shared" si="28"/>
        <v>0</v>
      </c>
      <c r="S608" t="b">
        <f t="shared" si="29"/>
        <v>0</v>
      </c>
      <c r="T608" t="b">
        <f t="shared" si="30"/>
        <v>0</v>
      </c>
    </row>
    <row r="609" spans="1:20" x14ac:dyDescent="0.3">
      <c r="A609">
        <v>608</v>
      </c>
      <c r="B609" t="s">
        <v>624</v>
      </c>
      <c r="C609" s="2">
        <v>45712</v>
      </c>
      <c r="D609" s="2">
        <v>45715</v>
      </c>
      <c r="E609" t="s">
        <v>1018</v>
      </c>
      <c r="F609" t="s">
        <v>1223</v>
      </c>
      <c r="G609" t="s">
        <v>1268</v>
      </c>
      <c r="H609" t="s">
        <v>1287</v>
      </c>
      <c r="I609" t="s">
        <v>1299</v>
      </c>
      <c r="J609" t="s">
        <v>1304</v>
      </c>
      <c r="K609" t="s">
        <v>1309</v>
      </c>
      <c r="L609" t="s">
        <v>1313</v>
      </c>
      <c r="M609">
        <v>2</v>
      </c>
      <c r="N609">
        <v>0.2</v>
      </c>
      <c r="O609">
        <v>2425.7800000000002</v>
      </c>
      <c r="P609">
        <v>366.67</v>
      </c>
      <c r="Q609" t="s">
        <v>1333</v>
      </c>
      <c r="R609" t="b">
        <f t="shared" si="28"/>
        <v>0</v>
      </c>
      <c r="S609" t="b">
        <f t="shared" si="29"/>
        <v>0</v>
      </c>
      <c r="T609" t="b">
        <f t="shared" si="30"/>
        <v>0</v>
      </c>
    </row>
    <row r="610" spans="1:20" x14ac:dyDescent="0.3">
      <c r="A610">
        <v>609</v>
      </c>
      <c r="B610" t="s">
        <v>625</v>
      </c>
      <c r="C610" s="2">
        <v>45734</v>
      </c>
      <c r="D610" s="2">
        <v>45737</v>
      </c>
      <c r="E610" t="s">
        <v>1018</v>
      </c>
      <c r="F610" t="s">
        <v>1250</v>
      </c>
      <c r="G610" t="s">
        <v>1280</v>
      </c>
      <c r="H610" t="s">
        <v>1287</v>
      </c>
      <c r="I610" t="s">
        <v>1295</v>
      </c>
      <c r="J610" t="s">
        <v>1305</v>
      </c>
      <c r="K610" t="s">
        <v>1308</v>
      </c>
      <c r="L610" t="s">
        <v>1312</v>
      </c>
      <c r="M610">
        <v>1</v>
      </c>
      <c r="N610">
        <v>0.1</v>
      </c>
      <c r="O610">
        <v>1121.76</v>
      </c>
      <c r="P610">
        <v>302.3</v>
      </c>
      <c r="Q610" t="s">
        <v>1332</v>
      </c>
      <c r="R610" t="b">
        <f t="shared" si="28"/>
        <v>0</v>
      </c>
      <c r="S610" t="b">
        <f t="shared" si="29"/>
        <v>0</v>
      </c>
      <c r="T610" t="b">
        <f t="shared" si="30"/>
        <v>0</v>
      </c>
    </row>
    <row r="611" spans="1:20" x14ac:dyDescent="0.3">
      <c r="A611">
        <v>610</v>
      </c>
      <c r="B611" t="s">
        <v>626</v>
      </c>
      <c r="C611" s="2">
        <v>45848</v>
      </c>
      <c r="D611" s="2">
        <v>45853</v>
      </c>
      <c r="E611" t="s">
        <v>1018</v>
      </c>
      <c r="F611" t="s">
        <v>1213</v>
      </c>
      <c r="G611" t="s">
        <v>1274</v>
      </c>
      <c r="H611" t="s">
        <v>1287</v>
      </c>
      <c r="I611" t="s">
        <v>1300</v>
      </c>
      <c r="J611" t="s">
        <v>1305</v>
      </c>
      <c r="K611" t="s">
        <v>1306</v>
      </c>
      <c r="L611" t="s">
        <v>1310</v>
      </c>
      <c r="M611">
        <v>2</v>
      </c>
      <c r="N611">
        <v>0.2</v>
      </c>
      <c r="O611">
        <v>1023.03</v>
      </c>
      <c r="P611">
        <v>68.959999999999994</v>
      </c>
      <c r="Q611" t="s">
        <v>1334</v>
      </c>
      <c r="R611" t="b">
        <f t="shared" si="28"/>
        <v>0</v>
      </c>
      <c r="S611" t="b">
        <f t="shared" si="29"/>
        <v>0</v>
      </c>
      <c r="T611" t="b">
        <f t="shared" si="30"/>
        <v>0</v>
      </c>
    </row>
    <row r="612" spans="1:20" x14ac:dyDescent="0.3">
      <c r="A612">
        <v>611</v>
      </c>
      <c r="B612" t="s">
        <v>627</v>
      </c>
      <c r="C612" s="2">
        <v>45854</v>
      </c>
      <c r="D612" s="2">
        <v>45856</v>
      </c>
      <c r="E612" t="s">
        <v>1017</v>
      </c>
      <c r="F612" t="s">
        <v>1135</v>
      </c>
      <c r="G612" t="s">
        <v>1277</v>
      </c>
      <c r="H612" t="s">
        <v>1289</v>
      </c>
      <c r="I612" t="s">
        <v>1297</v>
      </c>
      <c r="J612" t="s">
        <v>1304</v>
      </c>
      <c r="K612" t="s">
        <v>1307</v>
      </c>
      <c r="L612" t="s">
        <v>1314</v>
      </c>
      <c r="M612">
        <v>4</v>
      </c>
      <c r="N612">
        <v>0</v>
      </c>
      <c r="O612">
        <v>3497.2</v>
      </c>
      <c r="P612">
        <v>777.57</v>
      </c>
      <c r="Q612" t="s">
        <v>1334</v>
      </c>
      <c r="R612" t="b">
        <f t="shared" si="28"/>
        <v>0</v>
      </c>
      <c r="S612" t="b">
        <f t="shared" si="29"/>
        <v>0</v>
      </c>
      <c r="T612" t="b">
        <f t="shared" si="30"/>
        <v>0</v>
      </c>
    </row>
    <row r="613" spans="1:20" x14ac:dyDescent="0.3">
      <c r="A613">
        <v>612</v>
      </c>
      <c r="B613" t="s">
        <v>628</v>
      </c>
      <c r="C613" s="2">
        <v>45699</v>
      </c>
      <c r="D613" s="2">
        <v>45703</v>
      </c>
      <c r="E613" t="s">
        <v>1017</v>
      </c>
      <c r="F613" t="s">
        <v>1135</v>
      </c>
      <c r="G613" t="s">
        <v>1279</v>
      </c>
      <c r="H613" t="s">
        <v>1288</v>
      </c>
      <c r="I613" t="s">
        <v>1292</v>
      </c>
      <c r="J613" t="s">
        <v>1303</v>
      </c>
      <c r="K613" t="s">
        <v>1307</v>
      </c>
      <c r="L613" t="s">
        <v>1311</v>
      </c>
      <c r="M613">
        <v>2</v>
      </c>
      <c r="N613">
        <v>0.05</v>
      </c>
      <c r="O613">
        <v>582.21</v>
      </c>
      <c r="P613">
        <v>117.69</v>
      </c>
      <c r="Q613" t="s">
        <v>1330</v>
      </c>
      <c r="R613" t="b">
        <f t="shared" si="28"/>
        <v>0</v>
      </c>
      <c r="S613" t="b">
        <f t="shared" si="29"/>
        <v>0</v>
      </c>
      <c r="T613" t="b">
        <f t="shared" si="30"/>
        <v>0</v>
      </c>
    </row>
    <row r="614" spans="1:20" x14ac:dyDescent="0.3">
      <c r="A614">
        <v>613</v>
      </c>
      <c r="B614" t="s">
        <v>629</v>
      </c>
      <c r="C614" s="2">
        <v>45798</v>
      </c>
      <c r="D614" s="2">
        <v>45800</v>
      </c>
      <c r="E614" t="s">
        <v>1017</v>
      </c>
      <c r="F614" t="s">
        <v>1069</v>
      </c>
      <c r="G614" t="s">
        <v>1281</v>
      </c>
      <c r="H614" t="s">
        <v>1287</v>
      </c>
      <c r="I614" t="s">
        <v>1296</v>
      </c>
      <c r="J614" t="s">
        <v>1304</v>
      </c>
      <c r="K614" t="s">
        <v>1307</v>
      </c>
      <c r="L614" t="s">
        <v>1315</v>
      </c>
      <c r="M614">
        <v>3</v>
      </c>
      <c r="N614">
        <v>0.05</v>
      </c>
      <c r="O614">
        <v>5003.82</v>
      </c>
      <c r="P614">
        <v>1566.31</v>
      </c>
      <c r="Q614" t="s">
        <v>1333</v>
      </c>
      <c r="R614" t="b">
        <f t="shared" si="28"/>
        <v>0</v>
      </c>
      <c r="S614" t="b">
        <f t="shared" si="29"/>
        <v>0</v>
      </c>
      <c r="T614" t="b">
        <f t="shared" si="30"/>
        <v>0</v>
      </c>
    </row>
    <row r="615" spans="1:20" x14ac:dyDescent="0.3">
      <c r="A615">
        <v>614</v>
      </c>
      <c r="B615" t="s">
        <v>630</v>
      </c>
      <c r="C615" s="2">
        <v>45915</v>
      </c>
      <c r="D615" s="2">
        <v>45918</v>
      </c>
      <c r="E615" t="s">
        <v>1017</v>
      </c>
      <c r="F615" t="s">
        <v>1203</v>
      </c>
      <c r="G615" t="s">
        <v>1275</v>
      </c>
      <c r="H615" t="s">
        <v>1288</v>
      </c>
      <c r="I615" t="s">
        <v>1300</v>
      </c>
      <c r="J615" t="s">
        <v>1305</v>
      </c>
      <c r="K615" t="s">
        <v>1309</v>
      </c>
      <c r="L615" t="s">
        <v>1313</v>
      </c>
      <c r="M615">
        <v>2</v>
      </c>
      <c r="N615">
        <v>0.05</v>
      </c>
      <c r="O615">
        <v>2873.99</v>
      </c>
      <c r="P615">
        <v>422.1</v>
      </c>
      <c r="Q615" t="s">
        <v>1331</v>
      </c>
      <c r="R615" t="b">
        <f t="shared" si="28"/>
        <v>0</v>
      </c>
      <c r="S615" t="b">
        <f t="shared" si="29"/>
        <v>0</v>
      </c>
      <c r="T615" t="b">
        <f t="shared" si="30"/>
        <v>0</v>
      </c>
    </row>
    <row r="616" spans="1:20" x14ac:dyDescent="0.3">
      <c r="A616">
        <v>615</v>
      </c>
      <c r="B616" t="s">
        <v>631</v>
      </c>
      <c r="C616" s="2">
        <v>45885</v>
      </c>
      <c r="D616" s="2">
        <v>45886</v>
      </c>
      <c r="E616" t="s">
        <v>1017</v>
      </c>
      <c r="F616" t="s">
        <v>1100</v>
      </c>
      <c r="G616" t="s">
        <v>1283</v>
      </c>
      <c r="H616" t="s">
        <v>1287</v>
      </c>
      <c r="I616" t="s">
        <v>1292</v>
      </c>
      <c r="J616" t="s">
        <v>1303</v>
      </c>
      <c r="K616" t="s">
        <v>1307</v>
      </c>
      <c r="L616" t="s">
        <v>1322</v>
      </c>
      <c r="M616">
        <v>4</v>
      </c>
      <c r="N616">
        <v>0.1</v>
      </c>
      <c r="O616">
        <v>2549.2600000000002</v>
      </c>
      <c r="P616">
        <v>564.32000000000005</v>
      </c>
      <c r="Q616" t="s">
        <v>1334</v>
      </c>
      <c r="R616" t="b">
        <f t="shared" si="28"/>
        <v>0</v>
      </c>
      <c r="S616" t="b">
        <f t="shared" si="29"/>
        <v>0</v>
      </c>
      <c r="T616" t="b">
        <f t="shared" si="30"/>
        <v>0</v>
      </c>
    </row>
    <row r="617" spans="1:20" x14ac:dyDescent="0.3">
      <c r="A617">
        <v>616</v>
      </c>
      <c r="B617" t="s">
        <v>632</v>
      </c>
      <c r="C617" s="2">
        <v>45925</v>
      </c>
      <c r="D617" s="2">
        <v>45928</v>
      </c>
      <c r="E617" t="s">
        <v>1018</v>
      </c>
      <c r="F617" t="s">
        <v>1040</v>
      </c>
      <c r="G617" t="s">
        <v>1278</v>
      </c>
      <c r="H617" t="s">
        <v>1287</v>
      </c>
      <c r="I617" t="s">
        <v>1298</v>
      </c>
      <c r="J617" t="s">
        <v>1303</v>
      </c>
      <c r="K617" t="s">
        <v>1308</v>
      </c>
      <c r="L617" t="s">
        <v>1319</v>
      </c>
      <c r="M617">
        <v>1</v>
      </c>
      <c r="N617">
        <v>0.15</v>
      </c>
      <c r="O617">
        <v>4073.28</v>
      </c>
      <c r="P617">
        <v>1171.17</v>
      </c>
      <c r="Q617" t="s">
        <v>1333</v>
      </c>
      <c r="R617" t="b">
        <f t="shared" si="28"/>
        <v>0</v>
      </c>
      <c r="S617" t="b">
        <f t="shared" si="29"/>
        <v>0</v>
      </c>
      <c r="T617" t="b">
        <f t="shared" si="30"/>
        <v>0</v>
      </c>
    </row>
    <row r="618" spans="1:20" x14ac:dyDescent="0.3">
      <c r="A618">
        <v>617</v>
      </c>
      <c r="B618" t="s">
        <v>633</v>
      </c>
      <c r="C618" s="2">
        <v>45993</v>
      </c>
      <c r="D618" s="2">
        <v>45996</v>
      </c>
      <c r="E618" t="s">
        <v>1017</v>
      </c>
      <c r="F618" t="s">
        <v>1219</v>
      </c>
      <c r="G618" t="s">
        <v>1279</v>
      </c>
      <c r="H618" t="s">
        <v>1287</v>
      </c>
      <c r="I618" t="s">
        <v>1297</v>
      </c>
      <c r="J618" t="s">
        <v>1304</v>
      </c>
      <c r="K618" t="s">
        <v>1309</v>
      </c>
      <c r="L618" t="s">
        <v>1325</v>
      </c>
      <c r="M618">
        <v>2</v>
      </c>
      <c r="N618">
        <v>0.15</v>
      </c>
      <c r="O618">
        <v>2253.6799999999998</v>
      </c>
      <c r="P618">
        <v>293.86</v>
      </c>
      <c r="Q618" t="s">
        <v>1333</v>
      </c>
      <c r="R618" t="b">
        <f t="shared" si="28"/>
        <v>0</v>
      </c>
      <c r="S618" t="b">
        <f t="shared" si="29"/>
        <v>0</v>
      </c>
      <c r="T618" t="b">
        <f t="shared" si="30"/>
        <v>0</v>
      </c>
    </row>
    <row r="619" spans="1:20" x14ac:dyDescent="0.3">
      <c r="A619">
        <v>618</v>
      </c>
      <c r="B619" t="s">
        <v>634</v>
      </c>
      <c r="C619" s="2">
        <v>45954</v>
      </c>
      <c r="D619" s="2">
        <v>45959</v>
      </c>
      <c r="E619" t="s">
        <v>1017</v>
      </c>
      <c r="F619" t="s">
        <v>1161</v>
      </c>
      <c r="G619" t="s">
        <v>1282</v>
      </c>
      <c r="H619" t="s">
        <v>1287</v>
      </c>
      <c r="I619" t="s">
        <v>1290</v>
      </c>
      <c r="J619" t="s">
        <v>1302</v>
      </c>
      <c r="K619" t="s">
        <v>1308</v>
      </c>
      <c r="L619" t="s">
        <v>1326</v>
      </c>
      <c r="M619">
        <v>2</v>
      </c>
      <c r="N619">
        <v>0.1</v>
      </c>
      <c r="O619">
        <v>12881.55</v>
      </c>
      <c r="P619">
        <v>1697.81</v>
      </c>
      <c r="Q619" t="s">
        <v>1330</v>
      </c>
      <c r="R619" t="b">
        <f t="shared" si="28"/>
        <v>0</v>
      </c>
      <c r="S619" t="b">
        <f t="shared" si="29"/>
        <v>0</v>
      </c>
      <c r="T619" t="b">
        <f t="shared" si="30"/>
        <v>0</v>
      </c>
    </row>
    <row r="620" spans="1:20" x14ac:dyDescent="0.3">
      <c r="A620">
        <v>619</v>
      </c>
      <c r="B620" t="s">
        <v>635</v>
      </c>
      <c r="C620" s="2">
        <v>45768</v>
      </c>
      <c r="D620" s="2">
        <v>45770</v>
      </c>
      <c r="E620" t="s">
        <v>1018</v>
      </c>
      <c r="F620" t="s">
        <v>1166</v>
      </c>
      <c r="G620" t="s">
        <v>1286</v>
      </c>
      <c r="H620" t="s">
        <v>1289</v>
      </c>
      <c r="I620" t="s">
        <v>1293</v>
      </c>
      <c r="J620" t="s">
        <v>1304</v>
      </c>
      <c r="K620" t="s">
        <v>1309</v>
      </c>
      <c r="L620" t="s">
        <v>1329</v>
      </c>
      <c r="M620">
        <v>3</v>
      </c>
      <c r="N620">
        <v>0.05</v>
      </c>
      <c r="O620">
        <v>5596.51</v>
      </c>
      <c r="P620">
        <v>1098.57</v>
      </c>
      <c r="Q620" t="s">
        <v>1332</v>
      </c>
      <c r="R620" t="b">
        <f t="shared" si="28"/>
        <v>0</v>
      </c>
      <c r="S620" t="b">
        <f t="shared" si="29"/>
        <v>0</v>
      </c>
      <c r="T620" t="b">
        <f t="shared" si="30"/>
        <v>0</v>
      </c>
    </row>
    <row r="621" spans="1:20" x14ac:dyDescent="0.3">
      <c r="A621">
        <v>620</v>
      </c>
      <c r="B621" t="s">
        <v>636</v>
      </c>
      <c r="C621" s="2">
        <v>45686</v>
      </c>
      <c r="D621" s="2">
        <v>45690</v>
      </c>
      <c r="E621" t="s">
        <v>1017</v>
      </c>
      <c r="F621" t="s">
        <v>1110</v>
      </c>
      <c r="G621" t="s">
        <v>1273</v>
      </c>
      <c r="H621" t="s">
        <v>1287</v>
      </c>
      <c r="I621" t="s">
        <v>1301</v>
      </c>
      <c r="J621" t="s">
        <v>1303</v>
      </c>
      <c r="K621" t="s">
        <v>1309</v>
      </c>
      <c r="L621" t="s">
        <v>1317</v>
      </c>
      <c r="M621">
        <v>2</v>
      </c>
      <c r="N621">
        <v>0</v>
      </c>
      <c r="O621">
        <v>1637.06</v>
      </c>
      <c r="P621">
        <v>335.9</v>
      </c>
      <c r="Q621" t="s">
        <v>1332</v>
      </c>
      <c r="R621" t="b">
        <f t="shared" si="28"/>
        <v>0</v>
      </c>
      <c r="S621" t="b">
        <f t="shared" si="29"/>
        <v>0</v>
      </c>
      <c r="T621" t="b">
        <f t="shared" si="30"/>
        <v>0</v>
      </c>
    </row>
    <row r="622" spans="1:20" x14ac:dyDescent="0.3">
      <c r="A622">
        <v>621</v>
      </c>
      <c r="B622" t="s">
        <v>637</v>
      </c>
      <c r="C622" s="2">
        <v>45686</v>
      </c>
      <c r="D622" s="2">
        <v>45689</v>
      </c>
      <c r="E622" t="s">
        <v>1017</v>
      </c>
      <c r="F622" t="s">
        <v>1231</v>
      </c>
      <c r="G622" t="s">
        <v>1273</v>
      </c>
      <c r="H622" t="s">
        <v>1288</v>
      </c>
      <c r="I622" t="s">
        <v>1300</v>
      </c>
      <c r="J622" t="s">
        <v>1305</v>
      </c>
      <c r="K622" t="s">
        <v>1306</v>
      </c>
      <c r="L622" t="s">
        <v>1328</v>
      </c>
      <c r="M622">
        <v>4</v>
      </c>
      <c r="N622">
        <v>0.1</v>
      </c>
      <c r="O622">
        <v>431.51</v>
      </c>
      <c r="P622">
        <v>76</v>
      </c>
      <c r="Q622" t="s">
        <v>1331</v>
      </c>
      <c r="R622" t="b">
        <f t="shared" si="28"/>
        <v>0</v>
      </c>
      <c r="S622" t="b">
        <f t="shared" si="29"/>
        <v>0</v>
      </c>
      <c r="T622" t="b">
        <f t="shared" si="30"/>
        <v>0</v>
      </c>
    </row>
    <row r="623" spans="1:20" x14ac:dyDescent="0.3">
      <c r="A623">
        <v>622</v>
      </c>
      <c r="B623" t="s">
        <v>638</v>
      </c>
      <c r="C623" s="2">
        <v>45990</v>
      </c>
      <c r="D623" s="2">
        <v>45991</v>
      </c>
      <c r="E623" t="s">
        <v>1017</v>
      </c>
      <c r="F623" t="s">
        <v>1251</v>
      </c>
      <c r="G623" t="s">
        <v>1283</v>
      </c>
      <c r="H623" t="s">
        <v>1287</v>
      </c>
      <c r="I623" t="s">
        <v>1292</v>
      </c>
      <c r="J623" t="s">
        <v>1303</v>
      </c>
      <c r="K623" t="s">
        <v>1306</v>
      </c>
      <c r="L623" t="s">
        <v>1310</v>
      </c>
      <c r="M623">
        <v>2</v>
      </c>
      <c r="N623">
        <v>0.2</v>
      </c>
      <c r="O623">
        <v>1033.58</v>
      </c>
      <c r="P623">
        <v>159.28</v>
      </c>
      <c r="Q623" t="s">
        <v>1332</v>
      </c>
      <c r="R623" t="b">
        <f t="shared" si="28"/>
        <v>0</v>
      </c>
      <c r="S623" t="b">
        <f t="shared" si="29"/>
        <v>0</v>
      </c>
      <c r="T623" t="b">
        <f t="shared" si="30"/>
        <v>0</v>
      </c>
    </row>
    <row r="624" spans="1:20" x14ac:dyDescent="0.3">
      <c r="A624">
        <v>623</v>
      </c>
      <c r="B624" t="s">
        <v>639</v>
      </c>
      <c r="C624" s="2">
        <v>45793</v>
      </c>
      <c r="D624" s="2">
        <v>45796</v>
      </c>
      <c r="E624" t="s">
        <v>1017</v>
      </c>
      <c r="F624" t="s">
        <v>1200</v>
      </c>
      <c r="G624" t="s">
        <v>1279</v>
      </c>
      <c r="H624" t="s">
        <v>1288</v>
      </c>
      <c r="I624" t="s">
        <v>1298</v>
      </c>
      <c r="J624" t="s">
        <v>1303</v>
      </c>
      <c r="K624" t="s">
        <v>1307</v>
      </c>
      <c r="L624" t="s">
        <v>1311</v>
      </c>
      <c r="M624">
        <v>4</v>
      </c>
      <c r="N624">
        <v>0.1</v>
      </c>
      <c r="O624">
        <v>1109.55</v>
      </c>
      <c r="P624">
        <v>322.62</v>
      </c>
      <c r="Q624" t="s">
        <v>1331</v>
      </c>
      <c r="R624" t="b">
        <f t="shared" si="28"/>
        <v>0</v>
      </c>
      <c r="S624" t="b">
        <f t="shared" si="29"/>
        <v>0</v>
      </c>
      <c r="T624" t="b">
        <f t="shared" si="30"/>
        <v>0</v>
      </c>
    </row>
    <row r="625" spans="1:20" x14ac:dyDescent="0.3">
      <c r="A625">
        <v>624</v>
      </c>
      <c r="B625" t="s">
        <v>640</v>
      </c>
      <c r="C625" s="2">
        <v>45746</v>
      </c>
      <c r="D625" s="2">
        <v>45749</v>
      </c>
      <c r="E625" t="s">
        <v>1018</v>
      </c>
      <c r="F625" t="s">
        <v>1235</v>
      </c>
      <c r="G625" t="s">
        <v>1280</v>
      </c>
      <c r="H625" t="s">
        <v>1288</v>
      </c>
      <c r="I625" t="s">
        <v>1298</v>
      </c>
      <c r="J625" t="s">
        <v>1303</v>
      </c>
      <c r="K625" t="s">
        <v>1308</v>
      </c>
      <c r="L625" t="s">
        <v>1327</v>
      </c>
      <c r="M625">
        <v>2</v>
      </c>
      <c r="N625">
        <v>0.05</v>
      </c>
      <c r="O625">
        <v>3466.91</v>
      </c>
      <c r="P625">
        <v>737.61</v>
      </c>
      <c r="Q625" t="s">
        <v>1333</v>
      </c>
      <c r="R625" t="b">
        <f t="shared" si="28"/>
        <v>0</v>
      </c>
      <c r="S625" t="b">
        <f t="shared" si="29"/>
        <v>0</v>
      </c>
      <c r="T625" t="b">
        <f t="shared" si="30"/>
        <v>0</v>
      </c>
    </row>
    <row r="626" spans="1:20" x14ac:dyDescent="0.3">
      <c r="A626">
        <v>625</v>
      </c>
      <c r="B626" t="s">
        <v>641</v>
      </c>
      <c r="C626" s="2">
        <v>46010</v>
      </c>
      <c r="D626" s="2">
        <v>46015</v>
      </c>
      <c r="E626" t="s">
        <v>1019</v>
      </c>
      <c r="F626" t="s">
        <v>1231</v>
      </c>
      <c r="G626" t="s">
        <v>1274</v>
      </c>
      <c r="H626" t="s">
        <v>1288</v>
      </c>
      <c r="I626" t="s">
        <v>1293</v>
      </c>
      <c r="J626" t="s">
        <v>1304</v>
      </c>
      <c r="K626" t="s">
        <v>1307</v>
      </c>
      <c r="L626" t="s">
        <v>1322</v>
      </c>
      <c r="M626">
        <v>2</v>
      </c>
      <c r="N626">
        <v>0.1</v>
      </c>
      <c r="O626">
        <v>1231.98</v>
      </c>
      <c r="P626">
        <v>290.58999999999997</v>
      </c>
      <c r="Q626" t="s">
        <v>1333</v>
      </c>
      <c r="R626" t="b">
        <f t="shared" si="28"/>
        <v>0</v>
      </c>
      <c r="S626" t="b">
        <f t="shared" si="29"/>
        <v>0</v>
      </c>
      <c r="T626" t="b">
        <f t="shared" si="30"/>
        <v>0</v>
      </c>
    </row>
    <row r="627" spans="1:20" x14ac:dyDescent="0.3">
      <c r="A627">
        <v>626</v>
      </c>
      <c r="B627" t="s">
        <v>642</v>
      </c>
      <c r="C627" s="2">
        <v>45953</v>
      </c>
      <c r="D627" s="2">
        <v>45954</v>
      </c>
      <c r="E627" t="s">
        <v>1017</v>
      </c>
      <c r="F627" t="s">
        <v>1146</v>
      </c>
      <c r="G627" t="s">
        <v>1283</v>
      </c>
      <c r="H627" t="s">
        <v>1288</v>
      </c>
      <c r="I627" t="s">
        <v>1290</v>
      </c>
      <c r="J627" t="s">
        <v>1302</v>
      </c>
      <c r="K627" t="s">
        <v>1308</v>
      </c>
      <c r="L627" t="s">
        <v>1326</v>
      </c>
      <c r="M627">
        <v>1</v>
      </c>
      <c r="N627">
        <v>0.1</v>
      </c>
      <c r="O627">
        <v>6342.89</v>
      </c>
      <c r="P627">
        <v>969.97</v>
      </c>
      <c r="Q627" t="s">
        <v>1331</v>
      </c>
      <c r="R627" t="b">
        <f t="shared" si="28"/>
        <v>0</v>
      </c>
      <c r="S627" t="b">
        <f t="shared" si="29"/>
        <v>0</v>
      </c>
      <c r="T627" t="b">
        <f t="shared" si="30"/>
        <v>0</v>
      </c>
    </row>
    <row r="628" spans="1:20" x14ac:dyDescent="0.3">
      <c r="A628">
        <v>627</v>
      </c>
      <c r="B628" t="s">
        <v>643</v>
      </c>
      <c r="C628" s="2">
        <v>45734</v>
      </c>
      <c r="D628" s="2">
        <v>45735</v>
      </c>
      <c r="E628" t="s">
        <v>1017</v>
      </c>
      <c r="F628" t="s">
        <v>1020</v>
      </c>
      <c r="G628" t="s">
        <v>1283</v>
      </c>
      <c r="H628" t="s">
        <v>1288</v>
      </c>
      <c r="I628" t="s">
        <v>1295</v>
      </c>
      <c r="J628" t="s">
        <v>1305</v>
      </c>
      <c r="K628" t="s">
        <v>1306</v>
      </c>
      <c r="L628" t="s">
        <v>1310</v>
      </c>
      <c r="M628">
        <v>4</v>
      </c>
      <c r="N628">
        <v>0.05</v>
      </c>
      <c r="O628">
        <v>2371.1999999999998</v>
      </c>
      <c r="P628">
        <v>741.76</v>
      </c>
      <c r="Q628" t="s">
        <v>1331</v>
      </c>
      <c r="R628" t="b">
        <f t="shared" si="28"/>
        <v>0</v>
      </c>
      <c r="S628" t="b">
        <f t="shared" si="29"/>
        <v>0</v>
      </c>
      <c r="T628" t="b">
        <f t="shared" si="30"/>
        <v>0</v>
      </c>
    </row>
    <row r="629" spans="1:20" x14ac:dyDescent="0.3">
      <c r="A629">
        <v>628</v>
      </c>
      <c r="B629" t="s">
        <v>644</v>
      </c>
      <c r="C629" s="2">
        <v>45973</v>
      </c>
      <c r="D629" s="2">
        <v>45975</v>
      </c>
      <c r="E629" t="s">
        <v>1017</v>
      </c>
      <c r="F629" t="s">
        <v>1135</v>
      </c>
      <c r="G629" t="s">
        <v>1278</v>
      </c>
      <c r="H629" t="s">
        <v>1287</v>
      </c>
      <c r="I629" t="s">
        <v>1294</v>
      </c>
      <c r="J629" t="s">
        <v>1305</v>
      </c>
      <c r="K629" t="s">
        <v>1309</v>
      </c>
      <c r="L629" t="s">
        <v>1329</v>
      </c>
      <c r="M629">
        <v>1</v>
      </c>
      <c r="N629">
        <v>0.05</v>
      </c>
      <c r="O629">
        <v>1726.9</v>
      </c>
      <c r="P629">
        <v>187.14</v>
      </c>
      <c r="Q629" t="s">
        <v>1330</v>
      </c>
      <c r="R629" t="b">
        <f t="shared" si="28"/>
        <v>0</v>
      </c>
      <c r="S629" t="b">
        <f t="shared" si="29"/>
        <v>0</v>
      </c>
      <c r="T629" t="b">
        <f t="shared" si="30"/>
        <v>0</v>
      </c>
    </row>
    <row r="630" spans="1:20" x14ac:dyDescent="0.3">
      <c r="A630">
        <v>629</v>
      </c>
      <c r="B630" t="s">
        <v>645</v>
      </c>
      <c r="C630" s="2">
        <v>45697</v>
      </c>
      <c r="D630" s="2">
        <v>45700</v>
      </c>
      <c r="E630" t="s">
        <v>1018</v>
      </c>
      <c r="F630" t="s">
        <v>1040</v>
      </c>
      <c r="G630" t="s">
        <v>1283</v>
      </c>
      <c r="H630" t="s">
        <v>1289</v>
      </c>
      <c r="I630" t="s">
        <v>1299</v>
      </c>
      <c r="J630" t="s">
        <v>1304</v>
      </c>
      <c r="K630" t="s">
        <v>1308</v>
      </c>
      <c r="L630" t="s">
        <v>1319</v>
      </c>
      <c r="M630">
        <v>1</v>
      </c>
      <c r="N630">
        <v>0.15</v>
      </c>
      <c r="O630">
        <v>3990.28</v>
      </c>
      <c r="P630">
        <v>713.32</v>
      </c>
      <c r="Q630" t="s">
        <v>1331</v>
      </c>
      <c r="R630" t="b">
        <f t="shared" si="28"/>
        <v>0</v>
      </c>
      <c r="S630" t="b">
        <f t="shared" si="29"/>
        <v>0</v>
      </c>
      <c r="T630" t="b">
        <f t="shared" si="30"/>
        <v>0</v>
      </c>
    </row>
    <row r="631" spans="1:20" x14ac:dyDescent="0.3">
      <c r="A631">
        <v>630</v>
      </c>
      <c r="B631" t="s">
        <v>646</v>
      </c>
      <c r="C631" s="2">
        <v>45729</v>
      </c>
      <c r="D631" s="2">
        <v>45733</v>
      </c>
      <c r="E631" t="s">
        <v>1017</v>
      </c>
      <c r="F631" t="s">
        <v>1077</v>
      </c>
      <c r="G631" t="s">
        <v>1269</v>
      </c>
      <c r="H631" t="s">
        <v>1288</v>
      </c>
      <c r="I631" t="s">
        <v>1298</v>
      </c>
      <c r="J631" t="s">
        <v>1303</v>
      </c>
      <c r="K631" t="s">
        <v>1306</v>
      </c>
      <c r="L631" t="s">
        <v>1310</v>
      </c>
      <c r="M631">
        <v>2</v>
      </c>
      <c r="N631">
        <v>0.15</v>
      </c>
      <c r="O631">
        <v>1067.8599999999999</v>
      </c>
      <c r="P631">
        <v>70.510000000000005</v>
      </c>
      <c r="Q631" t="s">
        <v>1331</v>
      </c>
      <c r="R631" t="b">
        <f t="shared" si="28"/>
        <v>0</v>
      </c>
      <c r="S631" t="b">
        <f t="shared" si="29"/>
        <v>0</v>
      </c>
      <c r="T631" t="b">
        <f t="shared" si="30"/>
        <v>0</v>
      </c>
    </row>
    <row r="632" spans="1:20" x14ac:dyDescent="0.3">
      <c r="A632">
        <v>631</v>
      </c>
      <c r="B632" t="s">
        <v>647</v>
      </c>
      <c r="C632" s="2">
        <v>45794</v>
      </c>
      <c r="D632" s="2">
        <v>45798</v>
      </c>
      <c r="E632" t="s">
        <v>1017</v>
      </c>
      <c r="F632" t="s">
        <v>1197</v>
      </c>
      <c r="G632" t="s">
        <v>1284</v>
      </c>
      <c r="H632" t="s">
        <v>1287</v>
      </c>
      <c r="I632" t="s">
        <v>1295</v>
      </c>
      <c r="J632" t="s">
        <v>1305</v>
      </c>
      <c r="K632" t="s">
        <v>1308</v>
      </c>
      <c r="L632" t="s">
        <v>1326</v>
      </c>
      <c r="M632">
        <v>3</v>
      </c>
      <c r="N632">
        <v>0</v>
      </c>
      <c r="O632">
        <v>20216.310000000001</v>
      </c>
      <c r="P632">
        <v>5411.93</v>
      </c>
      <c r="Q632" t="s">
        <v>1330</v>
      </c>
      <c r="R632" t="b">
        <f t="shared" si="28"/>
        <v>0</v>
      </c>
      <c r="S632" t="b">
        <f t="shared" si="29"/>
        <v>0</v>
      </c>
      <c r="T632" t="b">
        <f t="shared" si="30"/>
        <v>0</v>
      </c>
    </row>
    <row r="633" spans="1:20" x14ac:dyDescent="0.3">
      <c r="A633">
        <v>632</v>
      </c>
      <c r="B633" t="s">
        <v>648</v>
      </c>
      <c r="C633" s="2">
        <v>45714</v>
      </c>
      <c r="D633" s="2">
        <v>45715</v>
      </c>
      <c r="E633" t="s">
        <v>1018</v>
      </c>
      <c r="F633" t="s">
        <v>1140</v>
      </c>
      <c r="G633" t="s">
        <v>1271</v>
      </c>
      <c r="H633" t="s">
        <v>1287</v>
      </c>
      <c r="I633" t="s">
        <v>1300</v>
      </c>
      <c r="J633" t="s">
        <v>1305</v>
      </c>
      <c r="K633" t="s">
        <v>1307</v>
      </c>
      <c r="L633" t="s">
        <v>1314</v>
      </c>
      <c r="M633">
        <v>2</v>
      </c>
      <c r="N633">
        <v>0.2</v>
      </c>
      <c r="O633">
        <v>1442.4</v>
      </c>
      <c r="P633">
        <v>44.3</v>
      </c>
      <c r="Q633" t="s">
        <v>1333</v>
      </c>
      <c r="R633" t="b">
        <f t="shared" si="28"/>
        <v>0</v>
      </c>
      <c r="S633" t="b">
        <f t="shared" si="29"/>
        <v>0</v>
      </c>
      <c r="T633" t="b">
        <f t="shared" si="30"/>
        <v>0</v>
      </c>
    </row>
    <row r="634" spans="1:20" x14ac:dyDescent="0.3">
      <c r="A634">
        <v>633</v>
      </c>
      <c r="B634" t="s">
        <v>649</v>
      </c>
      <c r="C634" s="2">
        <v>45758</v>
      </c>
      <c r="D634" s="2">
        <v>45761</v>
      </c>
      <c r="E634" t="s">
        <v>1018</v>
      </c>
      <c r="F634" t="s">
        <v>1073</v>
      </c>
      <c r="G634" t="s">
        <v>1285</v>
      </c>
      <c r="H634" t="s">
        <v>1287</v>
      </c>
      <c r="I634" t="s">
        <v>1298</v>
      </c>
      <c r="J634" t="s">
        <v>1303</v>
      </c>
      <c r="K634" t="s">
        <v>1307</v>
      </c>
      <c r="L634" t="s">
        <v>1315</v>
      </c>
      <c r="M634">
        <v>1</v>
      </c>
      <c r="N634">
        <v>0</v>
      </c>
      <c r="O634">
        <v>1787.73</v>
      </c>
      <c r="P634">
        <v>336.79</v>
      </c>
      <c r="Q634" t="s">
        <v>1330</v>
      </c>
      <c r="R634" t="b">
        <f t="shared" si="28"/>
        <v>0</v>
      </c>
      <c r="S634" t="b">
        <f t="shared" si="29"/>
        <v>0</v>
      </c>
      <c r="T634" t="b">
        <f t="shared" si="30"/>
        <v>0</v>
      </c>
    </row>
    <row r="635" spans="1:20" x14ac:dyDescent="0.3">
      <c r="A635">
        <v>634</v>
      </c>
      <c r="B635" t="s">
        <v>650</v>
      </c>
      <c r="C635" s="2">
        <v>45690</v>
      </c>
      <c r="D635" s="2">
        <v>45694</v>
      </c>
      <c r="E635" t="s">
        <v>1017</v>
      </c>
      <c r="F635" t="s">
        <v>1051</v>
      </c>
      <c r="G635" t="s">
        <v>1286</v>
      </c>
      <c r="H635" t="s">
        <v>1289</v>
      </c>
      <c r="I635" t="s">
        <v>1301</v>
      </c>
      <c r="J635" t="s">
        <v>1303</v>
      </c>
      <c r="K635" t="s">
        <v>1306</v>
      </c>
      <c r="L635" t="s">
        <v>1321</v>
      </c>
      <c r="M635">
        <v>2</v>
      </c>
      <c r="N635">
        <v>0.15</v>
      </c>
      <c r="O635">
        <v>772.92</v>
      </c>
      <c r="P635">
        <v>46.81</v>
      </c>
      <c r="Q635" t="s">
        <v>1332</v>
      </c>
      <c r="R635" t="b">
        <f t="shared" si="28"/>
        <v>0</v>
      </c>
      <c r="S635" t="b">
        <f t="shared" si="29"/>
        <v>0</v>
      </c>
      <c r="T635" t="b">
        <f t="shared" si="30"/>
        <v>0</v>
      </c>
    </row>
    <row r="636" spans="1:20" x14ac:dyDescent="0.3">
      <c r="A636">
        <v>635</v>
      </c>
      <c r="B636" t="s">
        <v>651</v>
      </c>
      <c r="C636" s="2">
        <v>45832</v>
      </c>
      <c r="D636" s="2">
        <v>45836</v>
      </c>
      <c r="E636" t="s">
        <v>1017</v>
      </c>
      <c r="F636" t="s">
        <v>1165</v>
      </c>
      <c r="G636" t="s">
        <v>1285</v>
      </c>
      <c r="H636" t="s">
        <v>1289</v>
      </c>
      <c r="I636" t="s">
        <v>1300</v>
      </c>
      <c r="J636" t="s">
        <v>1305</v>
      </c>
      <c r="K636" t="s">
        <v>1309</v>
      </c>
      <c r="L636" t="s">
        <v>1317</v>
      </c>
      <c r="M636">
        <v>2</v>
      </c>
      <c r="N636">
        <v>0.15</v>
      </c>
      <c r="O636">
        <v>1342.17</v>
      </c>
      <c r="P636">
        <v>34.78</v>
      </c>
      <c r="Q636" t="s">
        <v>1331</v>
      </c>
      <c r="R636" t="b">
        <f t="shared" si="28"/>
        <v>0</v>
      </c>
      <c r="S636" t="b">
        <f t="shared" si="29"/>
        <v>0</v>
      </c>
      <c r="T636" t="b">
        <f t="shared" si="30"/>
        <v>0</v>
      </c>
    </row>
    <row r="637" spans="1:20" x14ac:dyDescent="0.3">
      <c r="A637">
        <v>636</v>
      </c>
      <c r="B637" t="s">
        <v>652</v>
      </c>
      <c r="C637" s="2">
        <v>45688</v>
      </c>
      <c r="D637" s="2">
        <v>45693</v>
      </c>
      <c r="E637" t="s">
        <v>1018</v>
      </c>
      <c r="F637" t="s">
        <v>1081</v>
      </c>
      <c r="G637" t="s">
        <v>1281</v>
      </c>
      <c r="H637" t="s">
        <v>1288</v>
      </c>
      <c r="I637" t="s">
        <v>1291</v>
      </c>
      <c r="J637" t="s">
        <v>1302</v>
      </c>
      <c r="K637" t="s">
        <v>1306</v>
      </c>
      <c r="L637" t="s">
        <v>1321</v>
      </c>
      <c r="M637">
        <v>2</v>
      </c>
      <c r="N637">
        <v>0.1</v>
      </c>
      <c r="O637">
        <v>817.02</v>
      </c>
      <c r="P637">
        <v>146.63</v>
      </c>
      <c r="Q637" t="s">
        <v>1330</v>
      </c>
      <c r="R637" t="b">
        <f t="shared" si="28"/>
        <v>0</v>
      </c>
      <c r="S637" t="b">
        <f t="shared" si="29"/>
        <v>0</v>
      </c>
      <c r="T637" t="b">
        <f t="shared" si="30"/>
        <v>0</v>
      </c>
    </row>
    <row r="638" spans="1:20" x14ac:dyDescent="0.3">
      <c r="A638">
        <v>637</v>
      </c>
      <c r="B638" t="s">
        <v>653</v>
      </c>
      <c r="C638" s="2">
        <v>45692</v>
      </c>
      <c r="D638" s="2">
        <v>45695</v>
      </c>
      <c r="E638" t="s">
        <v>1017</v>
      </c>
      <c r="F638" t="s">
        <v>1097</v>
      </c>
      <c r="G638" t="s">
        <v>1276</v>
      </c>
      <c r="H638" t="s">
        <v>1287</v>
      </c>
      <c r="I638" t="s">
        <v>1301</v>
      </c>
      <c r="J638" t="s">
        <v>1303</v>
      </c>
      <c r="K638" t="s">
        <v>1306</v>
      </c>
      <c r="L638" t="s">
        <v>1328</v>
      </c>
      <c r="M638">
        <v>2</v>
      </c>
      <c r="N638">
        <v>0.2</v>
      </c>
      <c r="O638">
        <v>188.85</v>
      </c>
      <c r="P638">
        <v>13.14</v>
      </c>
      <c r="Q638" t="s">
        <v>1331</v>
      </c>
      <c r="R638" t="b">
        <f t="shared" si="28"/>
        <v>0</v>
      </c>
      <c r="S638" t="b">
        <f t="shared" si="29"/>
        <v>0</v>
      </c>
      <c r="T638" t="b">
        <f t="shared" si="30"/>
        <v>0</v>
      </c>
    </row>
    <row r="639" spans="1:20" x14ac:dyDescent="0.3">
      <c r="A639">
        <v>638</v>
      </c>
      <c r="B639" t="s">
        <v>654</v>
      </c>
      <c r="C639" s="2">
        <v>45863</v>
      </c>
      <c r="D639" s="2">
        <v>45864</v>
      </c>
      <c r="E639" t="s">
        <v>1017</v>
      </c>
      <c r="F639" t="s">
        <v>1183</v>
      </c>
      <c r="G639" t="s">
        <v>1271</v>
      </c>
      <c r="H639" t="s">
        <v>1289</v>
      </c>
      <c r="I639" t="s">
        <v>1296</v>
      </c>
      <c r="J639" t="s">
        <v>1304</v>
      </c>
      <c r="K639" t="s">
        <v>1307</v>
      </c>
      <c r="L639" t="s">
        <v>1316</v>
      </c>
      <c r="M639">
        <v>2</v>
      </c>
      <c r="N639">
        <v>0.15</v>
      </c>
      <c r="O639">
        <v>854.1</v>
      </c>
      <c r="P639">
        <v>147.61000000000001</v>
      </c>
      <c r="Q639" t="s">
        <v>1331</v>
      </c>
      <c r="R639" t="b">
        <f t="shared" si="28"/>
        <v>0</v>
      </c>
      <c r="S639" t="b">
        <f t="shared" si="29"/>
        <v>0</v>
      </c>
      <c r="T639" t="b">
        <f t="shared" si="30"/>
        <v>0</v>
      </c>
    </row>
    <row r="640" spans="1:20" x14ac:dyDescent="0.3">
      <c r="A640">
        <v>639</v>
      </c>
      <c r="B640" t="s">
        <v>655</v>
      </c>
      <c r="C640" s="2">
        <v>45955</v>
      </c>
      <c r="D640" s="2">
        <v>45956</v>
      </c>
      <c r="E640" t="s">
        <v>1017</v>
      </c>
      <c r="F640" t="s">
        <v>1252</v>
      </c>
      <c r="G640" t="s">
        <v>1278</v>
      </c>
      <c r="H640" t="s">
        <v>1288</v>
      </c>
      <c r="I640" t="s">
        <v>1292</v>
      </c>
      <c r="J640" t="s">
        <v>1303</v>
      </c>
      <c r="K640" t="s">
        <v>1307</v>
      </c>
      <c r="L640" t="s">
        <v>1311</v>
      </c>
      <c r="M640">
        <v>4</v>
      </c>
      <c r="N640">
        <v>0</v>
      </c>
      <c r="O640">
        <v>1166.1099999999999</v>
      </c>
      <c r="P640">
        <v>224.49</v>
      </c>
      <c r="Q640" t="s">
        <v>1333</v>
      </c>
      <c r="R640" t="b">
        <f t="shared" si="28"/>
        <v>0</v>
      </c>
      <c r="S640" t="b">
        <f t="shared" si="29"/>
        <v>0</v>
      </c>
      <c r="T640" t="b">
        <f t="shared" si="30"/>
        <v>0</v>
      </c>
    </row>
    <row r="641" spans="1:20" x14ac:dyDescent="0.3">
      <c r="A641">
        <v>640</v>
      </c>
      <c r="B641" t="s">
        <v>656</v>
      </c>
      <c r="C641" s="2">
        <v>45891</v>
      </c>
      <c r="D641" s="2">
        <v>45896</v>
      </c>
      <c r="E641" t="s">
        <v>1017</v>
      </c>
      <c r="F641" t="s">
        <v>1086</v>
      </c>
      <c r="G641" t="s">
        <v>1270</v>
      </c>
      <c r="H641" t="s">
        <v>1287</v>
      </c>
      <c r="I641" t="s">
        <v>1290</v>
      </c>
      <c r="J641" t="s">
        <v>1302</v>
      </c>
      <c r="K641" t="s">
        <v>1308</v>
      </c>
      <c r="L641" t="s">
        <v>1319</v>
      </c>
      <c r="M641">
        <v>2</v>
      </c>
      <c r="N641">
        <v>0.05</v>
      </c>
      <c r="O641">
        <v>8803.5</v>
      </c>
      <c r="P641">
        <v>2360.7199999999998</v>
      </c>
      <c r="Q641" t="s">
        <v>1330</v>
      </c>
      <c r="R641" t="b">
        <f t="shared" si="28"/>
        <v>0</v>
      </c>
      <c r="S641" t="b">
        <f t="shared" si="29"/>
        <v>0</v>
      </c>
      <c r="T641" t="b">
        <f t="shared" si="30"/>
        <v>0</v>
      </c>
    </row>
    <row r="642" spans="1:20" x14ac:dyDescent="0.3">
      <c r="A642">
        <v>641</v>
      </c>
      <c r="B642" t="s">
        <v>657</v>
      </c>
      <c r="C642" s="2">
        <v>45953</v>
      </c>
      <c r="D642" s="2">
        <v>45956</v>
      </c>
      <c r="E642" t="s">
        <v>1017</v>
      </c>
      <c r="F642" t="s">
        <v>1137</v>
      </c>
      <c r="G642" t="s">
        <v>1276</v>
      </c>
      <c r="H642" t="s">
        <v>1287</v>
      </c>
      <c r="I642" t="s">
        <v>1300</v>
      </c>
      <c r="J642" t="s">
        <v>1305</v>
      </c>
      <c r="K642" t="s">
        <v>1309</v>
      </c>
      <c r="L642" t="s">
        <v>1325</v>
      </c>
      <c r="M642">
        <v>3</v>
      </c>
      <c r="N642">
        <v>0.15</v>
      </c>
      <c r="O642">
        <v>3349.17</v>
      </c>
      <c r="P642">
        <v>253.97</v>
      </c>
      <c r="Q642" t="s">
        <v>1331</v>
      </c>
      <c r="R642" t="b">
        <f t="shared" si="28"/>
        <v>0</v>
      </c>
      <c r="S642" t="b">
        <f t="shared" si="29"/>
        <v>0</v>
      </c>
      <c r="T642" t="b">
        <f t="shared" si="30"/>
        <v>0</v>
      </c>
    </row>
    <row r="643" spans="1:20" x14ac:dyDescent="0.3">
      <c r="A643">
        <v>642</v>
      </c>
      <c r="B643" t="s">
        <v>658</v>
      </c>
      <c r="C643" s="2">
        <v>45688</v>
      </c>
      <c r="D643" s="2">
        <v>45693</v>
      </c>
      <c r="E643" t="s">
        <v>1017</v>
      </c>
      <c r="F643" t="s">
        <v>1168</v>
      </c>
      <c r="G643" t="s">
        <v>1273</v>
      </c>
      <c r="H643" t="s">
        <v>1287</v>
      </c>
      <c r="I643" t="s">
        <v>1290</v>
      </c>
      <c r="J643" t="s">
        <v>1302</v>
      </c>
      <c r="K643" t="s">
        <v>1306</v>
      </c>
      <c r="L643" t="s">
        <v>1328</v>
      </c>
      <c r="M643">
        <v>1</v>
      </c>
      <c r="N643">
        <v>0.1</v>
      </c>
      <c r="O643">
        <v>111.48</v>
      </c>
      <c r="P643">
        <v>32.04</v>
      </c>
      <c r="Q643" t="s">
        <v>1331</v>
      </c>
      <c r="R643" t="b">
        <f t="shared" ref="R643:R706" si="31">D643&lt;C643</f>
        <v>0</v>
      </c>
      <c r="S643" t="b">
        <f t="shared" ref="S643:S706" si="32">M643&lt;=0</f>
        <v>0</v>
      </c>
      <c r="T643" t="b">
        <f t="shared" ref="T643:T706" si="33">OR(N643&lt;0,N643&gt;1)</f>
        <v>0</v>
      </c>
    </row>
    <row r="644" spans="1:20" x14ac:dyDescent="0.3">
      <c r="A644">
        <v>643</v>
      </c>
      <c r="B644" t="s">
        <v>659</v>
      </c>
      <c r="C644" s="2">
        <v>46016</v>
      </c>
      <c r="D644" s="2">
        <v>46021</v>
      </c>
      <c r="E644" t="s">
        <v>1017</v>
      </c>
      <c r="F644" t="s">
        <v>1036</v>
      </c>
      <c r="G644" t="s">
        <v>1270</v>
      </c>
      <c r="H644" t="s">
        <v>1287</v>
      </c>
      <c r="I644" t="s">
        <v>1297</v>
      </c>
      <c r="J644" t="s">
        <v>1304</v>
      </c>
      <c r="K644" t="s">
        <v>1306</v>
      </c>
      <c r="L644" t="s">
        <v>1321</v>
      </c>
      <c r="M644">
        <v>3</v>
      </c>
      <c r="N644">
        <v>0.1</v>
      </c>
      <c r="O644">
        <v>1273.6500000000001</v>
      </c>
      <c r="P644">
        <v>328.89</v>
      </c>
      <c r="Q644" t="s">
        <v>1332</v>
      </c>
      <c r="R644" t="b">
        <f t="shared" si="31"/>
        <v>0</v>
      </c>
      <c r="S644" t="b">
        <f t="shared" si="32"/>
        <v>0</v>
      </c>
      <c r="T644" t="b">
        <f t="shared" si="33"/>
        <v>0</v>
      </c>
    </row>
    <row r="645" spans="1:20" x14ac:dyDescent="0.3">
      <c r="A645">
        <v>644</v>
      </c>
      <c r="B645" t="s">
        <v>660</v>
      </c>
      <c r="C645" s="2">
        <v>45872</v>
      </c>
      <c r="D645" s="2">
        <v>45876</v>
      </c>
      <c r="E645" t="s">
        <v>1017</v>
      </c>
      <c r="F645" t="s">
        <v>1033</v>
      </c>
      <c r="G645" t="s">
        <v>1271</v>
      </c>
      <c r="H645" t="s">
        <v>1287</v>
      </c>
      <c r="I645" t="s">
        <v>1299</v>
      </c>
      <c r="J645" t="s">
        <v>1304</v>
      </c>
      <c r="K645" t="s">
        <v>1307</v>
      </c>
      <c r="L645" t="s">
        <v>1314</v>
      </c>
      <c r="M645">
        <v>5</v>
      </c>
      <c r="N645">
        <v>0</v>
      </c>
      <c r="O645">
        <v>4491.5</v>
      </c>
      <c r="P645">
        <v>912.9</v>
      </c>
      <c r="Q645" t="s">
        <v>1331</v>
      </c>
      <c r="R645" t="b">
        <f t="shared" si="31"/>
        <v>0</v>
      </c>
      <c r="S645" t="b">
        <f t="shared" si="32"/>
        <v>0</v>
      </c>
      <c r="T645" t="b">
        <f t="shared" si="33"/>
        <v>0</v>
      </c>
    </row>
    <row r="646" spans="1:20" x14ac:dyDescent="0.3">
      <c r="A646">
        <v>645</v>
      </c>
      <c r="B646" t="s">
        <v>661</v>
      </c>
      <c r="C646" s="2">
        <v>45901</v>
      </c>
      <c r="D646" s="2">
        <v>45902</v>
      </c>
      <c r="E646" t="s">
        <v>1017</v>
      </c>
      <c r="F646" t="s">
        <v>1109</v>
      </c>
      <c r="G646" t="s">
        <v>1272</v>
      </c>
      <c r="H646" t="s">
        <v>1287</v>
      </c>
      <c r="I646" t="s">
        <v>1295</v>
      </c>
      <c r="J646" t="s">
        <v>1305</v>
      </c>
      <c r="K646" t="s">
        <v>1309</v>
      </c>
      <c r="L646" t="s">
        <v>1320</v>
      </c>
      <c r="M646">
        <v>1</v>
      </c>
      <c r="N646">
        <v>0</v>
      </c>
      <c r="O646">
        <v>1191.3599999999999</v>
      </c>
      <c r="P646">
        <v>214.91</v>
      </c>
      <c r="Q646" t="s">
        <v>1332</v>
      </c>
      <c r="R646" t="b">
        <f t="shared" si="31"/>
        <v>0</v>
      </c>
      <c r="S646" t="b">
        <f t="shared" si="32"/>
        <v>0</v>
      </c>
      <c r="T646" t="b">
        <f t="shared" si="33"/>
        <v>0</v>
      </c>
    </row>
    <row r="647" spans="1:20" x14ac:dyDescent="0.3">
      <c r="A647">
        <v>646</v>
      </c>
      <c r="B647" t="s">
        <v>662</v>
      </c>
      <c r="C647" s="2">
        <v>45854</v>
      </c>
      <c r="D647" s="2">
        <v>45859</v>
      </c>
      <c r="E647" t="s">
        <v>1017</v>
      </c>
      <c r="F647" t="s">
        <v>1054</v>
      </c>
      <c r="G647" t="s">
        <v>1280</v>
      </c>
      <c r="H647" t="s">
        <v>1288</v>
      </c>
      <c r="I647" t="s">
        <v>1300</v>
      </c>
      <c r="J647" t="s">
        <v>1305</v>
      </c>
      <c r="K647" t="s">
        <v>1309</v>
      </c>
      <c r="L647" t="s">
        <v>1320</v>
      </c>
      <c r="M647">
        <v>1</v>
      </c>
      <c r="N647">
        <v>0.2</v>
      </c>
      <c r="O647">
        <v>1004.99</v>
      </c>
      <c r="P647">
        <v>252.65</v>
      </c>
      <c r="Q647" t="s">
        <v>1331</v>
      </c>
      <c r="R647" t="b">
        <f t="shared" si="31"/>
        <v>0</v>
      </c>
      <c r="S647" t="b">
        <f t="shared" si="32"/>
        <v>0</v>
      </c>
      <c r="T647" t="b">
        <f t="shared" si="33"/>
        <v>0</v>
      </c>
    </row>
    <row r="648" spans="1:20" x14ac:dyDescent="0.3">
      <c r="A648">
        <v>647</v>
      </c>
      <c r="B648" t="s">
        <v>663</v>
      </c>
      <c r="C648" s="2">
        <v>45893</v>
      </c>
      <c r="D648" s="2">
        <v>45898</v>
      </c>
      <c r="E648" t="s">
        <v>1019</v>
      </c>
      <c r="F648" t="s">
        <v>1072</v>
      </c>
      <c r="G648" t="s">
        <v>1278</v>
      </c>
      <c r="H648" t="s">
        <v>1289</v>
      </c>
      <c r="I648" t="s">
        <v>1301</v>
      </c>
      <c r="J648" t="s">
        <v>1303</v>
      </c>
      <c r="K648" t="s">
        <v>1306</v>
      </c>
      <c r="L648" t="s">
        <v>1328</v>
      </c>
      <c r="M648">
        <v>4</v>
      </c>
      <c r="N648">
        <v>0</v>
      </c>
      <c r="O648">
        <v>486</v>
      </c>
      <c r="P648">
        <v>118.43</v>
      </c>
      <c r="Q648" t="s">
        <v>1331</v>
      </c>
      <c r="R648" t="b">
        <f t="shared" si="31"/>
        <v>0</v>
      </c>
      <c r="S648" t="b">
        <f t="shared" si="32"/>
        <v>0</v>
      </c>
      <c r="T648" t="b">
        <f t="shared" si="33"/>
        <v>0</v>
      </c>
    </row>
    <row r="649" spans="1:20" x14ac:dyDescent="0.3">
      <c r="A649">
        <v>648</v>
      </c>
      <c r="B649" t="s">
        <v>664</v>
      </c>
      <c r="C649" s="2">
        <v>46005</v>
      </c>
      <c r="D649" s="2">
        <v>46008</v>
      </c>
      <c r="E649" t="s">
        <v>1017</v>
      </c>
      <c r="F649" t="s">
        <v>1129</v>
      </c>
      <c r="G649" t="s">
        <v>1274</v>
      </c>
      <c r="H649" t="s">
        <v>1287</v>
      </c>
      <c r="I649" t="s">
        <v>1301</v>
      </c>
      <c r="J649" t="s">
        <v>1303</v>
      </c>
      <c r="K649" t="s">
        <v>1308</v>
      </c>
      <c r="L649" t="s">
        <v>1319</v>
      </c>
      <c r="M649">
        <v>2</v>
      </c>
      <c r="N649">
        <v>0.15</v>
      </c>
      <c r="O649">
        <v>7457.56</v>
      </c>
      <c r="P649">
        <v>138.01</v>
      </c>
      <c r="Q649" t="s">
        <v>1333</v>
      </c>
      <c r="R649" t="b">
        <f t="shared" si="31"/>
        <v>0</v>
      </c>
      <c r="S649" t="b">
        <f t="shared" si="32"/>
        <v>0</v>
      </c>
      <c r="T649" t="b">
        <f t="shared" si="33"/>
        <v>0</v>
      </c>
    </row>
    <row r="650" spans="1:20" x14ac:dyDescent="0.3">
      <c r="A650">
        <v>649</v>
      </c>
      <c r="B650" t="s">
        <v>665</v>
      </c>
      <c r="C650" s="2">
        <v>45879</v>
      </c>
      <c r="D650" s="2">
        <v>45882</v>
      </c>
      <c r="E650" t="s">
        <v>1017</v>
      </c>
      <c r="F650" t="s">
        <v>1253</v>
      </c>
      <c r="G650" t="s">
        <v>1275</v>
      </c>
      <c r="H650" t="s">
        <v>1289</v>
      </c>
      <c r="I650" t="s">
        <v>1295</v>
      </c>
      <c r="J650" t="s">
        <v>1305</v>
      </c>
      <c r="K650" t="s">
        <v>1309</v>
      </c>
      <c r="L650" t="s">
        <v>1320</v>
      </c>
      <c r="M650">
        <v>4</v>
      </c>
      <c r="N650">
        <v>0</v>
      </c>
      <c r="O650">
        <v>4680.5200000000004</v>
      </c>
      <c r="P650">
        <v>1688.84</v>
      </c>
      <c r="Q650" t="s">
        <v>1332</v>
      </c>
      <c r="R650" t="b">
        <f t="shared" si="31"/>
        <v>0</v>
      </c>
      <c r="S650" t="b">
        <f t="shared" si="32"/>
        <v>0</v>
      </c>
      <c r="T650" t="b">
        <f t="shared" si="33"/>
        <v>0</v>
      </c>
    </row>
    <row r="651" spans="1:20" x14ac:dyDescent="0.3">
      <c r="A651">
        <v>650</v>
      </c>
      <c r="B651" t="s">
        <v>666</v>
      </c>
      <c r="C651" s="2">
        <v>45977</v>
      </c>
      <c r="D651" s="2">
        <v>45979</v>
      </c>
      <c r="E651" t="s">
        <v>1017</v>
      </c>
      <c r="F651" t="s">
        <v>1151</v>
      </c>
      <c r="G651" t="s">
        <v>1279</v>
      </c>
      <c r="H651" t="s">
        <v>1288</v>
      </c>
      <c r="I651" t="s">
        <v>1296</v>
      </c>
      <c r="J651" t="s">
        <v>1304</v>
      </c>
      <c r="K651" t="s">
        <v>1308</v>
      </c>
      <c r="L651" t="s">
        <v>1327</v>
      </c>
      <c r="M651">
        <v>3</v>
      </c>
      <c r="N651">
        <v>0</v>
      </c>
      <c r="O651">
        <v>5301.51</v>
      </c>
      <c r="P651">
        <v>1049.78</v>
      </c>
      <c r="Q651" t="s">
        <v>1330</v>
      </c>
      <c r="R651" t="b">
        <f t="shared" si="31"/>
        <v>0</v>
      </c>
      <c r="S651" t="b">
        <f t="shared" si="32"/>
        <v>0</v>
      </c>
      <c r="T651" t="b">
        <f t="shared" si="33"/>
        <v>0</v>
      </c>
    </row>
    <row r="652" spans="1:20" x14ac:dyDescent="0.3">
      <c r="A652">
        <v>651</v>
      </c>
      <c r="B652" t="s">
        <v>667</v>
      </c>
      <c r="C652" s="2">
        <v>45853</v>
      </c>
      <c r="D652" s="2">
        <v>45854</v>
      </c>
      <c r="E652" t="s">
        <v>1017</v>
      </c>
      <c r="F652" t="s">
        <v>1025</v>
      </c>
      <c r="G652" t="s">
        <v>1275</v>
      </c>
      <c r="H652" t="s">
        <v>1289</v>
      </c>
      <c r="I652" t="s">
        <v>1294</v>
      </c>
      <c r="J652" t="s">
        <v>1305</v>
      </c>
      <c r="K652" t="s">
        <v>1308</v>
      </c>
      <c r="L652" t="s">
        <v>1326</v>
      </c>
      <c r="M652">
        <v>5</v>
      </c>
      <c r="N652">
        <v>0.1</v>
      </c>
      <c r="O652">
        <v>32142.12</v>
      </c>
      <c r="P652">
        <v>5297.9</v>
      </c>
      <c r="Q652" t="s">
        <v>1333</v>
      </c>
      <c r="R652" t="b">
        <f t="shared" si="31"/>
        <v>0</v>
      </c>
      <c r="S652" t="b">
        <f t="shared" si="32"/>
        <v>0</v>
      </c>
      <c r="T652" t="b">
        <f t="shared" si="33"/>
        <v>0</v>
      </c>
    </row>
    <row r="653" spans="1:20" x14ac:dyDescent="0.3">
      <c r="A653">
        <v>652</v>
      </c>
      <c r="B653" t="s">
        <v>668</v>
      </c>
      <c r="C653" s="2">
        <v>45735</v>
      </c>
      <c r="D653" s="2">
        <v>45739</v>
      </c>
      <c r="E653" t="s">
        <v>1017</v>
      </c>
      <c r="F653" t="s">
        <v>1108</v>
      </c>
      <c r="G653" t="s">
        <v>1282</v>
      </c>
      <c r="H653" t="s">
        <v>1287</v>
      </c>
      <c r="I653" t="s">
        <v>1293</v>
      </c>
      <c r="J653" t="s">
        <v>1304</v>
      </c>
      <c r="K653" t="s">
        <v>1306</v>
      </c>
      <c r="L653" t="s">
        <v>1324</v>
      </c>
      <c r="M653">
        <v>3</v>
      </c>
      <c r="N653">
        <v>0</v>
      </c>
      <c r="O653">
        <v>279.26</v>
      </c>
      <c r="P653">
        <v>90.32</v>
      </c>
      <c r="Q653" t="s">
        <v>1332</v>
      </c>
      <c r="R653" t="b">
        <f t="shared" si="31"/>
        <v>0</v>
      </c>
      <c r="S653" t="b">
        <f t="shared" si="32"/>
        <v>0</v>
      </c>
      <c r="T653" t="b">
        <f t="shared" si="33"/>
        <v>0</v>
      </c>
    </row>
    <row r="654" spans="1:20" x14ac:dyDescent="0.3">
      <c r="A654">
        <v>653</v>
      </c>
      <c r="B654" t="s">
        <v>669</v>
      </c>
      <c r="C654" s="2">
        <v>45805</v>
      </c>
      <c r="D654" s="2">
        <v>45807</v>
      </c>
      <c r="E654" t="s">
        <v>1017</v>
      </c>
      <c r="F654" t="s">
        <v>1147</v>
      </c>
      <c r="G654" t="s">
        <v>1276</v>
      </c>
      <c r="H654" t="s">
        <v>1287</v>
      </c>
      <c r="I654" t="s">
        <v>1295</v>
      </c>
      <c r="J654" t="s">
        <v>1305</v>
      </c>
      <c r="K654" t="s">
        <v>1306</v>
      </c>
      <c r="L654" t="s">
        <v>1310</v>
      </c>
      <c r="M654">
        <v>2</v>
      </c>
      <c r="N654">
        <v>0.2</v>
      </c>
      <c r="O654">
        <v>1030.69</v>
      </c>
      <c r="P654">
        <v>164.87</v>
      </c>
      <c r="Q654" t="s">
        <v>1333</v>
      </c>
      <c r="R654" t="b">
        <f t="shared" si="31"/>
        <v>0</v>
      </c>
      <c r="S654" t="b">
        <f t="shared" si="32"/>
        <v>0</v>
      </c>
      <c r="T654" t="b">
        <f t="shared" si="33"/>
        <v>0</v>
      </c>
    </row>
    <row r="655" spans="1:20" x14ac:dyDescent="0.3">
      <c r="A655">
        <v>654</v>
      </c>
      <c r="B655" t="s">
        <v>670</v>
      </c>
      <c r="C655" s="2">
        <v>45678</v>
      </c>
      <c r="D655" s="2">
        <v>45681</v>
      </c>
      <c r="E655" t="s">
        <v>1017</v>
      </c>
      <c r="F655" t="s">
        <v>1094</v>
      </c>
      <c r="G655" t="s">
        <v>1274</v>
      </c>
      <c r="H655" t="s">
        <v>1289</v>
      </c>
      <c r="I655" t="s">
        <v>1293</v>
      </c>
      <c r="J655" t="s">
        <v>1304</v>
      </c>
      <c r="K655" t="s">
        <v>1307</v>
      </c>
      <c r="L655" t="s">
        <v>1314</v>
      </c>
      <c r="M655">
        <v>2</v>
      </c>
      <c r="N655">
        <v>0.15</v>
      </c>
      <c r="O655">
        <v>1493.36</v>
      </c>
      <c r="P655">
        <v>71.099999999999994</v>
      </c>
      <c r="Q655" t="s">
        <v>1331</v>
      </c>
      <c r="R655" t="b">
        <f t="shared" si="31"/>
        <v>0</v>
      </c>
      <c r="S655" t="b">
        <f t="shared" si="32"/>
        <v>0</v>
      </c>
      <c r="T655" t="b">
        <f t="shared" si="33"/>
        <v>0</v>
      </c>
    </row>
    <row r="656" spans="1:20" x14ac:dyDescent="0.3">
      <c r="A656">
        <v>655</v>
      </c>
      <c r="B656" t="s">
        <v>671</v>
      </c>
      <c r="C656" s="2">
        <v>45752</v>
      </c>
      <c r="D656" s="2">
        <v>45755</v>
      </c>
      <c r="E656" t="s">
        <v>1017</v>
      </c>
      <c r="F656" t="s">
        <v>1161</v>
      </c>
      <c r="G656" t="s">
        <v>1285</v>
      </c>
      <c r="H656" t="s">
        <v>1288</v>
      </c>
      <c r="I656" t="s">
        <v>1291</v>
      </c>
      <c r="J656" t="s">
        <v>1302</v>
      </c>
      <c r="K656" t="s">
        <v>1309</v>
      </c>
      <c r="L656" t="s">
        <v>1329</v>
      </c>
      <c r="M656">
        <v>3</v>
      </c>
      <c r="N656">
        <v>0.2</v>
      </c>
      <c r="O656">
        <v>4544.66</v>
      </c>
      <c r="P656">
        <v>202.42</v>
      </c>
      <c r="Q656" t="s">
        <v>1332</v>
      </c>
      <c r="R656" t="b">
        <f t="shared" si="31"/>
        <v>0</v>
      </c>
      <c r="S656" t="b">
        <f t="shared" si="32"/>
        <v>0</v>
      </c>
      <c r="T656" t="b">
        <f t="shared" si="33"/>
        <v>0</v>
      </c>
    </row>
    <row r="657" spans="1:20" x14ac:dyDescent="0.3">
      <c r="A657">
        <v>656</v>
      </c>
      <c r="B657" t="s">
        <v>672</v>
      </c>
      <c r="C657" s="2">
        <v>45936</v>
      </c>
      <c r="D657" s="2">
        <v>45940</v>
      </c>
      <c r="E657" t="s">
        <v>1017</v>
      </c>
      <c r="F657" t="s">
        <v>1238</v>
      </c>
      <c r="G657" t="s">
        <v>1279</v>
      </c>
      <c r="H657" t="s">
        <v>1287</v>
      </c>
      <c r="I657" t="s">
        <v>1298</v>
      </c>
      <c r="J657" t="s">
        <v>1303</v>
      </c>
      <c r="K657" t="s">
        <v>1306</v>
      </c>
      <c r="L657" t="s">
        <v>1324</v>
      </c>
      <c r="M657">
        <v>2</v>
      </c>
      <c r="N657">
        <v>0.1</v>
      </c>
      <c r="O657">
        <v>158.07</v>
      </c>
      <c r="P657">
        <v>12.32</v>
      </c>
      <c r="Q657" t="s">
        <v>1331</v>
      </c>
      <c r="R657" t="b">
        <f t="shared" si="31"/>
        <v>0</v>
      </c>
      <c r="S657" t="b">
        <f t="shared" si="32"/>
        <v>0</v>
      </c>
      <c r="T657" t="b">
        <f t="shared" si="33"/>
        <v>0</v>
      </c>
    </row>
    <row r="658" spans="1:20" x14ac:dyDescent="0.3">
      <c r="A658">
        <v>657</v>
      </c>
      <c r="B658" t="s">
        <v>673</v>
      </c>
      <c r="C658" s="2">
        <v>45939</v>
      </c>
      <c r="D658" s="2">
        <v>45941</v>
      </c>
      <c r="E658" t="s">
        <v>1017</v>
      </c>
      <c r="F658" t="s">
        <v>1113</v>
      </c>
      <c r="G658" t="s">
        <v>1271</v>
      </c>
      <c r="H658" t="s">
        <v>1287</v>
      </c>
      <c r="I658" t="s">
        <v>1295</v>
      </c>
      <c r="J658" t="s">
        <v>1305</v>
      </c>
      <c r="K658" t="s">
        <v>1307</v>
      </c>
      <c r="L658" t="s">
        <v>1314</v>
      </c>
      <c r="M658">
        <v>1</v>
      </c>
      <c r="N658">
        <v>0</v>
      </c>
      <c r="O658">
        <v>915.71</v>
      </c>
      <c r="P658">
        <v>208.51</v>
      </c>
      <c r="Q658" t="s">
        <v>1330</v>
      </c>
      <c r="R658" t="b">
        <f t="shared" si="31"/>
        <v>0</v>
      </c>
      <c r="S658" t="b">
        <f t="shared" si="32"/>
        <v>0</v>
      </c>
      <c r="T658" t="b">
        <f t="shared" si="33"/>
        <v>0</v>
      </c>
    </row>
    <row r="659" spans="1:20" x14ac:dyDescent="0.3">
      <c r="A659">
        <v>658</v>
      </c>
      <c r="B659" t="s">
        <v>674</v>
      </c>
      <c r="C659" s="2">
        <v>45949</v>
      </c>
      <c r="D659" s="2">
        <v>45952</v>
      </c>
      <c r="E659" t="s">
        <v>1017</v>
      </c>
      <c r="F659" t="s">
        <v>1225</v>
      </c>
      <c r="G659" t="s">
        <v>1280</v>
      </c>
      <c r="H659" t="s">
        <v>1287</v>
      </c>
      <c r="I659" t="s">
        <v>1299</v>
      </c>
      <c r="J659" t="s">
        <v>1304</v>
      </c>
      <c r="K659" t="s">
        <v>1307</v>
      </c>
      <c r="L659" t="s">
        <v>1322</v>
      </c>
      <c r="M659">
        <v>3</v>
      </c>
      <c r="N659">
        <v>0.15</v>
      </c>
      <c r="O659">
        <v>1862.77</v>
      </c>
      <c r="P659">
        <v>256.60000000000002</v>
      </c>
      <c r="Q659" t="s">
        <v>1333</v>
      </c>
      <c r="R659" t="b">
        <f t="shared" si="31"/>
        <v>0</v>
      </c>
      <c r="S659" t="b">
        <f t="shared" si="32"/>
        <v>0</v>
      </c>
      <c r="T659" t="b">
        <f t="shared" si="33"/>
        <v>0</v>
      </c>
    </row>
    <row r="660" spans="1:20" x14ac:dyDescent="0.3">
      <c r="A660">
        <v>659</v>
      </c>
      <c r="B660" t="s">
        <v>675</v>
      </c>
      <c r="C660" s="2">
        <v>45782</v>
      </c>
      <c r="D660" s="2">
        <v>45786</v>
      </c>
      <c r="E660" t="s">
        <v>1018</v>
      </c>
      <c r="F660" t="s">
        <v>1041</v>
      </c>
      <c r="G660" t="s">
        <v>1285</v>
      </c>
      <c r="H660" t="s">
        <v>1287</v>
      </c>
      <c r="I660" t="s">
        <v>1300</v>
      </c>
      <c r="J660" t="s">
        <v>1305</v>
      </c>
      <c r="K660" t="s">
        <v>1307</v>
      </c>
      <c r="L660" t="s">
        <v>1322</v>
      </c>
      <c r="M660">
        <v>4</v>
      </c>
      <c r="N660">
        <v>0</v>
      </c>
      <c r="O660">
        <v>2779.44</v>
      </c>
      <c r="P660">
        <v>718.92</v>
      </c>
      <c r="Q660" t="s">
        <v>1331</v>
      </c>
      <c r="R660" t="b">
        <f t="shared" si="31"/>
        <v>0</v>
      </c>
      <c r="S660" t="b">
        <f t="shared" si="32"/>
        <v>0</v>
      </c>
      <c r="T660" t="b">
        <f t="shared" si="33"/>
        <v>0</v>
      </c>
    </row>
    <row r="661" spans="1:20" x14ac:dyDescent="0.3">
      <c r="A661">
        <v>660</v>
      </c>
      <c r="B661" t="s">
        <v>676</v>
      </c>
      <c r="C661" s="2">
        <v>46003</v>
      </c>
      <c r="D661" s="2">
        <v>46008</v>
      </c>
      <c r="E661" t="s">
        <v>1018</v>
      </c>
      <c r="F661" t="s">
        <v>1117</v>
      </c>
      <c r="G661" t="s">
        <v>1275</v>
      </c>
      <c r="H661" t="s">
        <v>1287</v>
      </c>
      <c r="I661" t="s">
        <v>1296</v>
      </c>
      <c r="J661" t="s">
        <v>1304</v>
      </c>
      <c r="K661" t="s">
        <v>1307</v>
      </c>
      <c r="L661" t="s">
        <v>1311</v>
      </c>
      <c r="M661">
        <v>2</v>
      </c>
      <c r="N661">
        <v>0</v>
      </c>
      <c r="O661">
        <v>609.04999999999995</v>
      </c>
      <c r="P661">
        <v>223.29</v>
      </c>
      <c r="Q661" t="s">
        <v>1331</v>
      </c>
      <c r="R661" t="b">
        <f t="shared" si="31"/>
        <v>0</v>
      </c>
      <c r="S661" t="b">
        <f t="shared" si="32"/>
        <v>0</v>
      </c>
      <c r="T661" t="b">
        <f t="shared" si="33"/>
        <v>0</v>
      </c>
    </row>
    <row r="662" spans="1:20" x14ac:dyDescent="0.3">
      <c r="A662">
        <v>661</v>
      </c>
      <c r="B662" t="s">
        <v>677</v>
      </c>
      <c r="C662" s="2">
        <v>45769</v>
      </c>
      <c r="D662" s="2">
        <v>45771</v>
      </c>
      <c r="E662" t="s">
        <v>1019</v>
      </c>
      <c r="F662" t="s">
        <v>1225</v>
      </c>
      <c r="G662" t="s">
        <v>1280</v>
      </c>
      <c r="H662" t="s">
        <v>1287</v>
      </c>
      <c r="I662" t="s">
        <v>1291</v>
      </c>
      <c r="J662" t="s">
        <v>1302</v>
      </c>
      <c r="K662" t="s">
        <v>1308</v>
      </c>
      <c r="L662" t="s">
        <v>1318</v>
      </c>
      <c r="M662">
        <v>3</v>
      </c>
      <c r="N662">
        <v>0.1</v>
      </c>
      <c r="O662">
        <v>15573.84</v>
      </c>
      <c r="P662">
        <v>3104.88</v>
      </c>
      <c r="Q662" t="s">
        <v>1334</v>
      </c>
      <c r="R662" t="b">
        <f t="shared" si="31"/>
        <v>0</v>
      </c>
      <c r="S662" t="b">
        <f t="shared" si="32"/>
        <v>0</v>
      </c>
      <c r="T662" t="b">
        <f t="shared" si="33"/>
        <v>0</v>
      </c>
    </row>
    <row r="663" spans="1:20" x14ac:dyDescent="0.3">
      <c r="A663">
        <v>662</v>
      </c>
      <c r="B663" t="s">
        <v>678</v>
      </c>
      <c r="C663" s="2">
        <v>45854</v>
      </c>
      <c r="D663" s="2">
        <v>45858</v>
      </c>
      <c r="E663" t="s">
        <v>1017</v>
      </c>
      <c r="F663" t="s">
        <v>1219</v>
      </c>
      <c r="G663" t="s">
        <v>1270</v>
      </c>
      <c r="H663" t="s">
        <v>1289</v>
      </c>
      <c r="I663" t="s">
        <v>1294</v>
      </c>
      <c r="J663" t="s">
        <v>1305</v>
      </c>
      <c r="K663" t="s">
        <v>1309</v>
      </c>
      <c r="L663" t="s">
        <v>1325</v>
      </c>
      <c r="M663">
        <v>2</v>
      </c>
      <c r="N663">
        <v>0.1</v>
      </c>
      <c r="O663">
        <v>2380.63</v>
      </c>
      <c r="P663">
        <v>736.86</v>
      </c>
      <c r="Q663" t="s">
        <v>1333</v>
      </c>
      <c r="R663" t="b">
        <f t="shared" si="31"/>
        <v>0</v>
      </c>
      <c r="S663" t="b">
        <f t="shared" si="32"/>
        <v>0</v>
      </c>
      <c r="T663" t="b">
        <f t="shared" si="33"/>
        <v>0</v>
      </c>
    </row>
    <row r="664" spans="1:20" x14ac:dyDescent="0.3">
      <c r="A664">
        <v>663</v>
      </c>
      <c r="B664" t="s">
        <v>679</v>
      </c>
      <c r="C664" s="2">
        <v>45848</v>
      </c>
      <c r="D664" s="2">
        <v>45851</v>
      </c>
      <c r="E664" t="s">
        <v>1017</v>
      </c>
      <c r="F664" t="s">
        <v>1062</v>
      </c>
      <c r="G664" t="s">
        <v>1269</v>
      </c>
      <c r="H664" t="s">
        <v>1289</v>
      </c>
      <c r="I664" t="s">
        <v>1301</v>
      </c>
      <c r="J664" t="s">
        <v>1303</v>
      </c>
      <c r="K664" t="s">
        <v>1306</v>
      </c>
      <c r="L664" t="s">
        <v>1328</v>
      </c>
      <c r="M664">
        <v>2</v>
      </c>
      <c r="N664">
        <v>0.15</v>
      </c>
      <c r="O664">
        <v>212.59</v>
      </c>
      <c r="P664">
        <v>48.39</v>
      </c>
      <c r="Q664" t="s">
        <v>1331</v>
      </c>
      <c r="R664" t="b">
        <f t="shared" si="31"/>
        <v>0</v>
      </c>
      <c r="S664" t="b">
        <f t="shared" si="32"/>
        <v>0</v>
      </c>
      <c r="T664" t="b">
        <f t="shared" si="33"/>
        <v>0</v>
      </c>
    </row>
    <row r="665" spans="1:20" x14ac:dyDescent="0.3">
      <c r="A665">
        <v>664</v>
      </c>
      <c r="B665" t="s">
        <v>680</v>
      </c>
      <c r="C665" s="2">
        <v>45727</v>
      </c>
      <c r="D665" s="2">
        <v>45730</v>
      </c>
      <c r="E665" t="s">
        <v>1017</v>
      </c>
      <c r="F665" t="s">
        <v>1134</v>
      </c>
      <c r="G665" t="s">
        <v>1275</v>
      </c>
      <c r="H665" t="s">
        <v>1287</v>
      </c>
      <c r="I665" t="s">
        <v>1297</v>
      </c>
      <c r="J665" t="s">
        <v>1304</v>
      </c>
      <c r="K665" t="s">
        <v>1307</v>
      </c>
      <c r="L665" t="s">
        <v>1322</v>
      </c>
      <c r="M665">
        <v>2</v>
      </c>
      <c r="N665">
        <v>0.2</v>
      </c>
      <c r="O665">
        <v>1138.3</v>
      </c>
      <c r="P665">
        <v>111.59</v>
      </c>
      <c r="Q665" t="s">
        <v>1331</v>
      </c>
      <c r="R665" t="b">
        <f t="shared" si="31"/>
        <v>0</v>
      </c>
      <c r="S665" t="b">
        <f t="shared" si="32"/>
        <v>0</v>
      </c>
      <c r="T665" t="b">
        <f t="shared" si="33"/>
        <v>0</v>
      </c>
    </row>
    <row r="666" spans="1:20" x14ac:dyDescent="0.3">
      <c r="A666">
        <v>665</v>
      </c>
      <c r="B666" t="s">
        <v>681</v>
      </c>
      <c r="C666" s="2">
        <v>45685</v>
      </c>
      <c r="D666" s="2">
        <v>45687</v>
      </c>
      <c r="E666" t="s">
        <v>1018</v>
      </c>
      <c r="F666" t="s">
        <v>1157</v>
      </c>
      <c r="G666" t="s">
        <v>1286</v>
      </c>
      <c r="H666" t="s">
        <v>1289</v>
      </c>
      <c r="I666" t="s">
        <v>1296</v>
      </c>
      <c r="J666" t="s">
        <v>1304</v>
      </c>
      <c r="K666" t="s">
        <v>1306</v>
      </c>
      <c r="L666" t="s">
        <v>1321</v>
      </c>
      <c r="M666">
        <v>5</v>
      </c>
      <c r="N666">
        <v>0.1</v>
      </c>
      <c r="O666">
        <v>1964.03</v>
      </c>
      <c r="P666">
        <v>460.89</v>
      </c>
      <c r="Q666" t="s">
        <v>1331</v>
      </c>
      <c r="R666" t="b">
        <f t="shared" si="31"/>
        <v>0</v>
      </c>
      <c r="S666" t="b">
        <f t="shared" si="32"/>
        <v>0</v>
      </c>
      <c r="T666" t="b">
        <f t="shared" si="33"/>
        <v>0</v>
      </c>
    </row>
    <row r="667" spans="1:20" x14ac:dyDescent="0.3">
      <c r="A667">
        <v>666</v>
      </c>
      <c r="B667" t="s">
        <v>682</v>
      </c>
      <c r="C667" s="2">
        <v>45750</v>
      </c>
      <c r="D667" s="2">
        <v>45755</v>
      </c>
      <c r="E667" t="s">
        <v>1017</v>
      </c>
      <c r="F667" t="s">
        <v>1141</v>
      </c>
      <c r="G667" t="s">
        <v>1270</v>
      </c>
      <c r="H667" t="s">
        <v>1287</v>
      </c>
      <c r="I667" t="s">
        <v>1292</v>
      </c>
      <c r="J667" t="s">
        <v>1303</v>
      </c>
      <c r="K667" t="s">
        <v>1309</v>
      </c>
      <c r="L667" t="s">
        <v>1317</v>
      </c>
      <c r="M667">
        <v>1</v>
      </c>
      <c r="N667">
        <v>0</v>
      </c>
      <c r="O667">
        <v>786.25</v>
      </c>
      <c r="P667">
        <v>132.51</v>
      </c>
      <c r="Q667" t="s">
        <v>1331</v>
      </c>
      <c r="R667" t="b">
        <f t="shared" si="31"/>
        <v>0</v>
      </c>
      <c r="S667" t="b">
        <f t="shared" si="32"/>
        <v>0</v>
      </c>
      <c r="T667" t="b">
        <f t="shared" si="33"/>
        <v>0</v>
      </c>
    </row>
    <row r="668" spans="1:20" x14ac:dyDescent="0.3">
      <c r="A668">
        <v>667</v>
      </c>
      <c r="B668" t="s">
        <v>683</v>
      </c>
      <c r="C668" s="2">
        <v>45873</v>
      </c>
      <c r="D668" s="2">
        <v>45878</v>
      </c>
      <c r="E668" t="s">
        <v>1017</v>
      </c>
      <c r="F668" t="s">
        <v>1023</v>
      </c>
      <c r="G668" t="s">
        <v>1267</v>
      </c>
      <c r="H668" t="s">
        <v>1289</v>
      </c>
      <c r="I668" t="s">
        <v>1295</v>
      </c>
      <c r="J668" t="s">
        <v>1305</v>
      </c>
      <c r="K668" t="s">
        <v>1308</v>
      </c>
      <c r="L668" t="s">
        <v>1326</v>
      </c>
      <c r="M668">
        <v>2</v>
      </c>
      <c r="N668">
        <v>0.05</v>
      </c>
      <c r="O668">
        <v>13018.28</v>
      </c>
      <c r="P668">
        <v>2723.59</v>
      </c>
      <c r="Q668" t="s">
        <v>1331</v>
      </c>
      <c r="R668" t="b">
        <f t="shared" si="31"/>
        <v>0</v>
      </c>
      <c r="S668" t="b">
        <f t="shared" si="32"/>
        <v>0</v>
      </c>
      <c r="T668" t="b">
        <f t="shared" si="33"/>
        <v>0</v>
      </c>
    </row>
    <row r="669" spans="1:20" x14ac:dyDescent="0.3">
      <c r="A669">
        <v>668</v>
      </c>
      <c r="B669" t="s">
        <v>684</v>
      </c>
      <c r="C669" s="2">
        <v>45691</v>
      </c>
      <c r="D669" s="2">
        <v>45693</v>
      </c>
      <c r="E669" t="s">
        <v>1019</v>
      </c>
      <c r="F669" t="s">
        <v>1072</v>
      </c>
      <c r="G669" t="s">
        <v>1285</v>
      </c>
      <c r="H669" t="s">
        <v>1287</v>
      </c>
      <c r="I669" t="s">
        <v>1299</v>
      </c>
      <c r="J669" t="s">
        <v>1304</v>
      </c>
      <c r="K669" t="s">
        <v>1306</v>
      </c>
      <c r="L669" t="s">
        <v>1328</v>
      </c>
      <c r="M669">
        <v>1</v>
      </c>
      <c r="N669">
        <v>0</v>
      </c>
      <c r="O669">
        <v>123.73</v>
      </c>
      <c r="P669">
        <v>25.79</v>
      </c>
      <c r="Q669" t="s">
        <v>1333</v>
      </c>
      <c r="R669" t="b">
        <f t="shared" si="31"/>
        <v>0</v>
      </c>
      <c r="S669" t="b">
        <f t="shared" si="32"/>
        <v>0</v>
      </c>
      <c r="T669" t="b">
        <f t="shared" si="33"/>
        <v>0</v>
      </c>
    </row>
    <row r="670" spans="1:20" x14ac:dyDescent="0.3">
      <c r="A670">
        <v>669</v>
      </c>
      <c r="B670" t="s">
        <v>685</v>
      </c>
      <c r="C670" s="2">
        <v>45691</v>
      </c>
      <c r="D670" s="2">
        <v>45696</v>
      </c>
      <c r="E670" t="s">
        <v>1017</v>
      </c>
      <c r="F670" t="s">
        <v>1107</v>
      </c>
      <c r="G670" t="s">
        <v>1271</v>
      </c>
      <c r="H670" t="s">
        <v>1288</v>
      </c>
      <c r="I670" t="s">
        <v>1291</v>
      </c>
      <c r="J670" t="s">
        <v>1302</v>
      </c>
      <c r="K670" t="s">
        <v>1308</v>
      </c>
      <c r="L670" t="s">
        <v>1326</v>
      </c>
      <c r="M670">
        <v>3</v>
      </c>
      <c r="N670">
        <v>0.2</v>
      </c>
      <c r="O670">
        <v>17465.8</v>
      </c>
      <c r="P670">
        <v>2978.31</v>
      </c>
      <c r="Q670" t="s">
        <v>1333</v>
      </c>
      <c r="R670" t="b">
        <f t="shared" si="31"/>
        <v>0</v>
      </c>
      <c r="S670" t="b">
        <f t="shared" si="32"/>
        <v>0</v>
      </c>
      <c r="T670" t="b">
        <f t="shared" si="33"/>
        <v>0</v>
      </c>
    </row>
    <row r="671" spans="1:20" x14ac:dyDescent="0.3">
      <c r="A671">
        <v>670</v>
      </c>
      <c r="B671" t="s">
        <v>686</v>
      </c>
      <c r="C671" s="2">
        <v>45911</v>
      </c>
      <c r="D671" s="2">
        <v>45916</v>
      </c>
      <c r="E671" t="s">
        <v>1018</v>
      </c>
      <c r="F671" t="s">
        <v>1165</v>
      </c>
      <c r="G671" t="s">
        <v>1267</v>
      </c>
      <c r="H671" t="s">
        <v>1288</v>
      </c>
      <c r="I671" t="s">
        <v>1292</v>
      </c>
      <c r="J671" t="s">
        <v>1303</v>
      </c>
      <c r="K671" t="s">
        <v>1309</v>
      </c>
      <c r="L671" t="s">
        <v>1320</v>
      </c>
      <c r="M671">
        <v>3</v>
      </c>
      <c r="N671">
        <v>0.1</v>
      </c>
      <c r="O671">
        <v>3302.93</v>
      </c>
      <c r="P671">
        <v>502.52</v>
      </c>
      <c r="Q671" t="s">
        <v>1332</v>
      </c>
      <c r="R671" t="b">
        <f t="shared" si="31"/>
        <v>0</v>
      </c>
      <c r="S671" t="b">
        <f t="shared" si="32"/>
        <v>0</v>
      </c>
      <c r="T671" t="b">
        <f t="shared" si="33"/>
        <v>0</v>
      </c>
    </row>
    <row r="672" spans="1:20" x14ac:dyDescent="0.3">
      <c r="A672">
        <v>671</v>
      </c>
      <c r="B672" t="s">
        <v>687</v>
      </c>
      <c r="C672" s="2">
        <v>45950</v>
      </c>
      <c r="D672" s="2">
        <v>45955</v>
      </c>
      <c r="E672" t="s">
        <v>1018</v>
      </c>
      <c r="F672" t="s">
        <v>1148</v>
      </c>
      <c r="G672" t="s">
        <v>1269</v>
      </c>
      <c r="H672" t="s">
        <v>1287</v>
      </c>
      <c r="I672" t="s">
        <v>1301</v>
      </c>
      <c r="J672" t="s">
        <v>1303</v>
      </c>
      <c r="K672" t="s">
        <v>1309</v>
      </c>
      <c r="L672" t="s">
        <v>1320</v>
      </c>
      <c r="M672">
        <v>3</v>
      </c>
      <c r="N672">
        <v>0.05</v>
      </c>
      <c r="O672">
        <v>3260.16</v>
      </c>
      <c r="P672">
        <v>748.91</v>
      </c>
      <c r="Q672" t="s">
        <v>1331</v>
      </c>
      <c r="R672" t="b">
        <f t="shared" si="31"/>
        <v>0</v>
      </c>
      <c r="S672" t="b">
        <f t="shared" si="32"/>
        <v>0</v>
      </c>
      <c r="T672" t="b">
        <f t="shared" si="33"/>
        <v>0</v>
      </c>
    </row>
    <row r="673" spans="1:20" x14ac:dyDescent="0.3">
      <c r="A673">
        <v>672</v>
      </c>
      <c r="B673" t="s">
        <v>688</v>
      </c>
      <c r="C673" s="2">
        <v>45713</v>
      </c>
      <c r="D673" s="2">
        <v>45716</v>
      </c>
      <c r="E673" t="s">
        <v>1018</v>
      </c>
      <c r="F673" t="s">
        <v>1057</v>
      </c>
      <c r="G673" t="s">
        <v>1270</v>
      </c>
      <c r="H673" t="s">
        <v>1288</v>
      </c>
      <c r="I673" t="s">
        <v>1300</v>
      </c>
      <c r="J673" t="s">
        <v>1305</v>
      </c>
      <c r="K673" t="s">
        <v>1307</v>
      </c>
      <c r="L673" t="s">
        <v>1316</v>
      </c>
      <c r="M673">
        <v>1</v>
      </c>
      <c r="N673">
        <v>0.05</v>
      </c>
      <c r="O673">
        <v>486.3</v>
      </c>
      <c r="P673">
        <v>174.73</v>
      </c>
      <c r="Q673" t="s">
        <v>1331</v>
      </c>
      <c r="R673" t="b">
        <f t="shared" si="31"/>
        <v>0</v>
      </c>
      <c r="S673" t="b">
        <f t="shared" si="32"/>
        <v>0</v>
      </c>
      <c r="T673" t="b">
        <f t="shared" si="33"/>
        <v>0</v>
      </c>
    </row>
    <row r="674" spans="1:20" x14ac:dyDescent="0.3">
      <c r="A674">
        <v>673</v>
      </c>
      <c r="B674" t="s">
        <v>689</v>
      </c>
      <c r="C674" s="2">
        <v>45686</v>
      </c>
      <c r="D674" s="2">
        <v>45688</v>
      </c>
      <c r="E674" t="s">
        <v>1017</v>
      </c>
      <c r="F674" t="s">
        <v>1127</v>
      </c>
      <c r="G674" t="s">
        <v>1275</v>
      </c>
      <c r="H674" t="s">
        <v>1287</v>
      </c>
      <c r="I674" t="s">
        <v>1301</v>
      </c>
      <c r="J674" t="s">
        <v>1303</v>
      </c>
      <c r="K674" t="s">
        <v>1308</v>
      </c>
      <c r="L674" t="s">
        <v>1312</v>
      </c>
      <c r="M674">
        <v>3</v>
      </c>
      <c r="N674">
        <v>0.1</v>
      </c>
      <c r="O674">
        <v>3642.58</v>
      </c>
      <c r="P674">
        <v>720.43</v>
      </c>
      <c r="Q674" t="s">
        <v>1331</v>
      </c>
      <c r="R674" t="b">
        <f t="shared" si="31"/>
        <v>0</v>
      </c>
      <c r="S674" t="b">
        <f t="shared" si="32"/>
        <v>0</v>
      </c>
      <c r="T674" t="b">
        <f t="shared" si="33"/>
        <v>0</v>
      </c>
    </row>
    <row r="675" spans="1:20" x14ac:dyDescent="0.3">
      <c r="A675">
        <v>674</v>
      </c>
      <c r="B675" t="s">
        <v>690</v>
      </c>
      <c r="C675" s="2">
        <v>45771</v>
      </c>
      <c r="D675" s="2">
        <v>45774</v>
      </c>
      <c r="E675" t="s">
        <v>1017</v>
      </c>
      <c r="F675" t="s">
        <v>1140</v>
      </c>
      <c r="G675" t="s">
        <v>1285</v>
      </c>
      <c r="H675" t="s">
        <v>1287</v>
      </c>
      <c r="I675" t="s">
        <v>1292</v>
      </c>
      <c r="J675" t="s">
        <v>1303</v>
      </c>
      <c r="K675" t="s">
        <v>1306</v>
      </c>
      <c r="L675" t="s">
        <v>1323</v>
      </c>
      <c r="M675">
        <v>4</v>
      </c>
      <c r="N675">
        <v>0.05</v>
      </c>
      <c r="O675">
        <v>707.76</v>
      </c>
      <c r="P675">
        <v>197.82</v>
      </c>
      <c r="Q675" t="s">
        <v>1330</v>
      </c>
      <c r="R675" t="b">
        <f t="shared" si="31"/>
        <v>0</v>
      </c>
      <c r="S675" t="b">
        <f t="shared" si="32"/>
        <v>0</v>
      </c>
      <c r="T675" t="b">
        <f t="shared" si="33"/>
        <v>0</v>
      </c>
    </row>
    <row r="676" spans="1:20" x14ac:dyDescent="0.3">
      <c r="A676">
        <v>675</v>
      </c>
      <c r="B676" t="s">
        <v>691</v>
      </c>
      <c r="C676" s="2">
        <v>45797</v>
      </c>
      <c r="D676" s="2">
        <v>45799</v>
      </c>
      <c r="E676" t="s">
        <v>1017</v>
      </c>
      <c r="F676" t="s">
        <v>1254</v>
      </c>
      <c r="G676" t="s">
        <v>1280</v>
      </c>
      <c r="H676" t="s">
        <v>1288</v>
      </c>
      <c r="I676" t="s">
        <v>1300</v>
      </c>
      <c r="J676" t="s">
        <v>1305</v>
      </c>
      <c r="K676" t="s">
        <v>1308</v>
      </c>
      <c r="L676" t="s">
        <v>1312</v>
      </c>
      <c r="M676">
        <v>1</v>
      </c>
      <c r="N676">
        <v>0.15</v>
      </c>
      <c r="O676">
        <v>1117.1500000000001</v>
      </c>
      <c r="P676">
        <v>144.35</v>
      </c>
      <c r="Q676" t="s">
        <v>1331</v>
      </c>
      <c r="R676" t="b">
        <f t="shared" si="31"/>
        <v>0</v>
      </c>
      <c r="S676" t="b">
        <f t="shared" si="32"/>
        <v>0</v>
      </c>
      <c r="T676" t="b">
        <f t="shared" si="33"/>
        <v>0</v>
      </c>
    </row>
    <row r="677" spans="1:20" x14ac:dyDescent="0.3">
      <c r="A677">
        <v>676</v>
      </c>
      <c r="B677" t="s">
        <v>692</v>
      </c>
      <c r="C677" s="2">
        <v>45900</v>
      </c>
      <c r="D677" s="2">
        <v>45903</v>
      </c>
      <c r="E677" t="s">
        <v>1018</v>
      </c>
      <c r="F677" t="s">
        <v>1202</v>
      </c>
      <c r="G677" t="s">
        <v>1269</v>
      </c>
      <c r="H677" t="s">
        <v>1288</v>
      </c>
      <c r="I677" t="s">
        <v>1291</v>
      </c>
      <c r="J677" t="s">
        <v>1302</v>
      </c>
      <c r="K677" t="s">
        <v>1308</v>
      </c>
      <c r="L677" t="s">
        <v>1327</v>
      </c>
      <c r="M677">
        <v>2</v>
      </c>
      <c r="N677">
        <v>0.15</v>
      </c>
      <c r="O677">
        <v>3137.3</v>
      </c>
      <c r="P677">
        <v>335.44</v>
      </c>
      <c r="Q677" t="s">
        <v>1334</v>
      </c>
      <c r="R677" t="b">
        <f t="shared" si="31"/>
        <v>0</v>
      </c>
      <c r="S677" t="b">
        <f t="shared" si="32"/>
        <v>0</v>
      </c>
      <c r="T677" t="b">
        <f t="shared" si="33"/>
        <v>0</v>
      </c>
    </row>
    <row r="678" spans="1:20" x14ac:dyDescent="0.3">
      <c r="A678">
        <v>677</v>
      </c>
      <c r="B678" t="s">
        <v>693</v>
      </c>
      <c r="C678" s="2">
        <v>45715</v>
      </c>
      <c r="D678" s="2">
        <v>45719</v>
      </c>
      <c r="E678" t="s">
        <v>1017</v>
      </c>
      <c r="F678" t="s">
        <v>1080</v>
      </c>
      <c r="G678" t="s">
        <v>1282</v>
      </c>
      <c r="H678" t="s">
        <v>1287</v>
      </c>
      <c r="I678" t="s">
        <v>1292</v>
      </c>
      <c r="J678" t="s">
        <v>1303</v>
      </c>
      <c r="K678" t="s">
        <v>1307</v>
      </c>
      <c r="L678" t="s">
        <v>1314</v>
      </c>
      <c r="M678">
        <v>2</v>
      </c>
      <c r="N678">
        <v>0</v>
      </c>
      <c r="O678">
        <v>1718.75</v>
      </c>
      <c r="P678">
        <v>566.09</v>
      </c>
      <c r="Q678" t="s">
        <v>1332</v>
      </c>
      <c r="R678" t="b">
        <f t="shared" si="31"/>
        <v>0</v>
      </c>
      <c r="S678" t="b">
        <f t="shared" si="32"/>
        <v>0</v>
      </c>
      <c r="T678" t="b">
        <f t="shared" si="33"/>
        <v>0</v>
      </c>
    </row>
    <row r="679" spans="1:20" x14ac:dyDescent="0.3">
      <c r="A679">
        <v>678</v>
      </c>
      <c r="B679" t="s">
        <v>694</v>
      </c>
      <c r="C679" s="2">
        <v>46016</v>
      </c>
      <c r="D679" s="2">
        <v>46021</v>
      </c>
      <c r="E679" t="s">
        <v>1018</v>
      </c>
      <c r="F679" t="s">
        <v>1255</v>
      </c>
      <c r="G679" t="s">
        <v>1282</v>
      </c>
      <c r="H679" t="s">
        <v>1287</v>
      </c>
      <c r="I679" t="s">
        <v>1300</v>
      </c>
      <c r="J679" t="s">
        <v>1305</v>
      </c>
      <c r="K679" t="s">
        <v>1309</v>
      </c>
      <c r="L679" t="s">
        <v>1320</v>
      </c>
      <c r="M679">
        <v>4</v>
      </c>
      <c r="N679">
        <v>0.2</v>
      </c>
      <c r="O679">
        <v>3953.08</v>
      </c>
      <c r="P679">
        <v>565.37</v>
      </c>
      <c r="Q679" t="s">
        <v>1331</v>
      </c>
      <c r="R679" t="b">
        <f t="shared" si="31"/>
        <v>0</v>
      </c>
      <c r="S679" t="b">
        <f t="shared" si="32"/>
        <v>0</v>
      </c>
      <c r="T679" t="b">
        <f t="shared" si="33"/>
        <v>0</v>
      </c>
    </row>
    <row r="680" spans="1:20" x14ac:dyDescent="0.3">
      <c r="A680">
        <v>679</v>
      </c>
      <c r="B680" t="s">
        <v>695</v>
      </c>
      <c r="C680" s="2">
        <v>45904</v>
      </c>
      <c r="D680" s="2">
        <v>45906</v>
      </c>
      <c r="E680" t="s">
        <v>1018</v>
      </c>
      <c r="F680" t="s">
        <v>1086</v>
      </c>
      <c r="G680" t="s">
        <v>1282</v>
      </c>
      <c r="H680" t="s">
        <v>1287</v>
      </c>
      <c r="I680" t="s">
        <v>1290</v>
      </c>
      <c r="J680" t="s">
        <v>1302</v>
      </c>
      <c r="K680" t="s">
        <v>1308</v>
      </c>
      <c r="L680" t="s">
        <v>1326</v>
      </c>
      <c r="M680">
        <v>1</v>
      </c>
      <c r="N680">
        <v>0</v>
      </c>
      <c r="O680">
        <v>7326.6</v>
      </c>
      <c r="P680">
        <v>1933.19</v>
      </c>
      <c r="Q680" t="s">
        <v>1332</v>
      </c>
      <c r="R680" t="b">
        <f t="shared" si="31"/>
        <v>0</v>
      </c>
      <c r="S680" t="b">
        <f t="shared" si="32"/>
        <v>0</v>
      </c>
      <c r="T680" t="b">
        <f t="shared" si="33"/>
        <v>0</v>
      </c>
    </row>
    <row r="681" spans="1:20" x14ac:dyDescent="0.3">
      <c r="A681">
        <v>680</v>
      </c>
      <c r="B681" t="s">
        <v>696</v>
      </c>
      <c r="C681" s="2">
        <v>45925</v>
      </c>
      <c r="D681" s="2">
        <v>45928</v>
      </c>
      <c r="E681" t="s">
        <v>1017</v>
      </c>
      <c r="F681" t="s">
        <v>1126</v>
      </c>
      <c r="G681" t="s">
        <v>1268</v>
      </c>
      <c r="H681" t="s">
        <v>1287</v>
      </c>
      <c r="I681" t="s">
        <v>1297</v>
      </c>
      <c r="J681" t="s">
        <v>1304</v>
      </c>
      <c r="K681" t="s">
        <v>1307</v>
      </c>
      <c r="L681" t="s">
        <v>1322</v>
      </c>
      <c r="M681">
        <v>4</v>
      </c>
      <c r="N681">
        <v>0.1</v>
      </c>
      <c r="O681">
        <v>2461.52</v>
      </c>
      <c r="P681">
        <v>431.14</v>
      </c>
      <c r="Q681" t="s">
        <v>1333</v>
      </c>
      <c r="R681" t="b">
        <f t="shared" si="31"/>
        <v>0</v>
      </c>
      <c r="S681" t="b">
        <f t="shared" si="32"/>
        <v>0</v>
      </c>
      <c r="T681" t="b">
        <f t="shared" si="33"/>
        <v>0</v>
      </c>
    </row>
    <row r="682" spans="1:20" x14ac:dyDescent="0.3">
      <c r="A682">
        <v>681</v>
      </c>
      <c r="B682" t="s">
        <v>697</v>
      </c>
      <c r="C682" s="2">
        <v>45728</v>
      </c>
      <c r="D682" s="2">
        <v>45731</v>
      </c>
      <c r="E682" t="s">
        <v>1017</v>
      </c>
      <c r="F682" t="s">
        <v>1235</v>
      </c>
      <c r="G682" t="s">
        <v>1269</v>
      </c>
      <c r="H682" t="s">
        <v>1288</v>
      </c>
      <c r="I682" t="s">
        <v>1291</v>
      </c>
      <c r="J682" t="s">
        <v>1302</v>
      </c>
      <c r="K682" t="s">
        <v>1306</v>
      </c>
      <c r="L682" t="s">
        <v>1328</v>
      </c>
      <c r="M682">
        <v>2</v>
      </c>
      <c r="N682">
        <v>0.15</v>
      </c>
      <c r="O682">
        <v>196.99</v>
      </c>
      <c r="P682">
        <v>27.21</v>
      </c>
      <c r="Q682" t="s">
        <v>1331</v>
      </c>
      <c r="R682" t="b">
        <f t="shared" si="31"/>
        <v>0</v>
      </c>
      <c r="S682" t="b">
        <f t="shared" si="32"/>
        <v>0</v>
      </c>
      <c r="T682" t="b">
        <f t="shared" si="33"/>
        <v>0</v>
      </c>
    </row>
    <row r="683" spans="1:20" x14ac:dyDescent="0.3">
      <c r="A683">
        <v>682</v>
      </c>
      <c r="B683" t="s">
        <v>698</v>
      </c>
      <c r="C683" s="2">
        <v>45675</v>
      </c>
      <c r="D683" s="2">
        <v>45680</v>
      </c>
      <c r="E683" t="s">
        <v>1018</v>
      </c>
      <c r="F683" t="s">
        <v>1092</v>
      </c>
      <c r="G683" t="s">
        <v>1285</v>
      </c>
      <c r="H683" t="s">
        <v>1288</v>
      </c>
      <c r="I683" t="s">
        <v>1300</v>
      </c>
      <c r="J683" t="s">
        <v>1305</v>
      </c>
      <c r="K683" t="s">
        <v>1309</v>
      </c>
      <c r="L683" t="s">
        <v>1329</v>
      </c>
      <c r="M683">
        <v>2</v>
      </c>
      <c r="N683">
        <v>0.1</v>
      </c>
      <c r="O683">
        <v>3305.63</v>
      </c>
      <c r="P683">
        <v>447.33</v>
      </c>
      <c r="Q683" t="s">
        <v>1331</v>
      </c>
      <c r="R683" t="b">
        <f t="shared" si="31"/>
        <v>0</v>
      </c>
      <c r="S683" t="b">
        <f t="shared" si="32"/>
        <v>0</v>
      </c>
      <c r="T683" t="b">
        <f t="shared" si="33"/>
        <v>0</v>
      </c>
    </row>
    <row r="684" spans="1:20" x14ac:dyDescent="0.3">
      <c r="A684">
        <v>683</v>
      </c>
      <c r="B684" t="s">
        <v>699</v>
      </c>
      <c r="C684" s="2">
        <v>45922</v>
      </c>
      <c r="D684" s="2">
        <v>45925</v>
      </c>
      <c r="E684" t="s">
        <v>1017</v>
      </c>
      <c r="F684" t="s">
        <v>1232</v>
      </c>
      <c r="G684" t="s">
        <v>1273</v>
      </c>
      <c r="H684" t="s">
        <v>1287</v>
      </c>
      <c r="I684" t="s">
        <v>1301</v>
      </c>
      <c r="J684" t="s">
        <v>1303</v>
      </c>
      <c r="K684" t="s">
        <v>1306</v>
      </c>
      <c r="L684" t="s">
        <v>1310</v>
      </c>
      <c r="M684">
        <v>5</v>
      </c>
      <c r="N684">
        <v>0.15</v>
      </c>
      <c r="O684">
        <v>2783.95</v>
      </c>
      <c r="P684">
        <v>536.37</v>
      </c>
      <c r="Q684" t="s">
        <v>1330</v>
      </c>
      <c r="R684" t="b">
        <f t="shared" si="31"/>
        <v>0</v>
      </c>
      <c r="S684" t="b">
        <f t="shared" si="32"/>
        <v>0</v>
      </c>
      <c r="T684" t="b">
        <f t="shared" si="33"/>
        <v>0</v>
      </c>
    </row>
    <row r="685" spans="1:20" x14ac:dyDescent="0.3">
      <c r="A685">
        <v>684</v>
      </c>
      <c r="B685" t="s">
        <v>700</v>
      </c>
      <c r="C685" s="2">
        <v>45694</v>
      </c>
      <c r="D685" s="2">
        <v>45699</v>
      </c>
      <c r="E685" t="s">
        <v>1017</v>
      </c>
      <c r="F685" t="s">
        <v>1150</v>
      </c>
      <c r="G685" t="s">
        <v>1272</v>
      </c>
      <c r="H685" t="s">
        <v>1289</v>
      </c>
      <c r="I685" t="s">
        <v>1292</v>
      </c>
      <c r="J685" t="s">
        <v>1303</v>
      </c>
      <c r="K685" t="s">
        <v>1308</v>
      </c>
      <c r="L685" t="s">
        <v>1326</v>
      </c>
      <c r="M685">
        <v>4</v>
      </c>
      <c r="N685">
        <v>0.2</v>
      </c>
      <c r="O685">
        <v>21425.84</v>
      </c>
      <c r="P685">
        <v>4059.45</v>
      </c>
      <c r="Q685" t="s">
        <v>1332</v>
      </c>
      <c r="R685" t="b">
        <f t="shared" si="31"/>
        <v>0</v>
      </c>
      <c r="S685" t="b">
        <f t="shared" si="32"/>
        <v>0</v>
      </c>
      <c r="T685" t="b">
        <f t="shared" si="33"/>
        <v>0</v>
      </c>
    </row>
    <row r="686" spans="1:20" x14ac:dyDescent="0.3">
      <c r="A686">
        <v>685</v>
      </c>
      <c r="B686" t="s">
        <v>701</v>
      </c>
      <c r="C686" s="2">
        <v>46020</v>
      </c>
      <c r="D686" s="2">
        <v>46021</v>
      </c>
      <c r="E686" t="s">
        <v>1017</v>
      </c>
      <c r="F686" t="s">
        <v>1218</v>
      </c>
      <c r="G686" t="s">
        <v>1271</v>
      </c>
      <c r="H686" t="s">
        <v>1287</v>
      </c>
      <c r="I686" t="s">
        <v>1297</v>
      </c>
      <c r="J686" t="s">
        <v>1304</v>
      </c>
      <c r="K686" t="s">
        <v>1307</v>
      </c>
      <c r="L686" t="s">
        <v>1311</v>
      </c>
      <c r="M686">
        <v>4</v>
      </c>
      <c r="N686">
        <v>0.05</v>
      </c>
      <c r="O686">
        <v>1096.42</v>
      </c>
      <c r="P686">
        <v>218.12</v>
      </c>
      <c r="Q686" t="s">
        <v>1332</v>
      </c>
      <c r="R686" t="b">
        <f t="shared" si="31"/>
        <v>0</v>
      </c>
      <c r="S686" t="b">
        <f t="shared" si="32"/>
        <v>0</v>
      </c>
      <c r="T686" t="b">
        <f t="shared" si="33"/>
        <v>0</v>
      </c>
    </row>
    <row r="687" spans="1:20" x14ac:dyDescent="0.3">
      <c r="A687">
        <v>686</v>
      </c>
      <c r="B687" t="s">
        <v>702</v>
      </c>
      <c r="C687" s="2">
        <v>45862</v>
      </c>
      <c r="D687" s="2">
        <v>45865</v>
      </c>
      <c r="E687" t="s">
        <v>1017</v>
      </c>
      <c r="F687" t="s">
        <v>1051</v>
      </c>
      <c r="G687" t="s">
        <v>1284</v>
      </c>
      <c r="H687" t="s">
        <v>1287</v>
      </c>
      <c r="I687" t="s">
        <v>1298</v>
      </c>
      <c r="J687" t="s">
        <v>1303</v>
      </c>
      <c r="K687" t="s">
        <v>1309</v>
      </c>
      <c r="L687" t="s">
        <v>1329</v>
      </c>
      <c r="M687">
        <v>1</v>
      </c>
      <c r="N687">
        <v>0.2</v>
      </c>
      <c r="O687">
        <v>1450.27</v>
      </c>
      <c r="P687">
        <v>171.77</v>
      </c>
      <c r="Q687" t="s">
        <v>1331</v>
      </c>
      <c r="R687" t="b">
        <f t="shared" si="31"/>
        <v>0</v>
      </c>
      <c r="S687" t="b">
        <f t="shared" si="32"/>
        <v>0</v>
      </c>
      <c r="T687" t="b">
        <f t="shared" si="33"/>
        <v>0</v>
      </c>
    </row>
    <row r="688" spans="1:20" x14ac:dyDescent="0.3">
      <c r="A688">
        <v>687</v>
      </c>
      <c r="B688" t="s">
        <v>703</v>
      </c>
      <c r="C688" s="2">
        <v>45938</v>
      </c>
      <c r="D688" s="2">
        <v>45940</v>
      </c>
      <c r="E688" t="s">
        <v>1017</v>
      </c>
      <c r="F688" t="s">
        <v>1114</v>
      </c>
      <c r="G688" t="s">
        <v>1268</v>
      </c>
      <c r="H688" t="s">
        <v>1287</v>
      </c>
      <c r="I688" t="s">
        <v>1290</v>
      </c>
      <c r="J688" t="s">
        <v>1302</v>
      </c>
      <c r="K688" t="s">
        <v>1308</v>
      </c>
      <c r="L688" t="s">
        <v>1312</v>
      </c>
      <c r="M688">
        <v>1</v>
      </c>
      <c r="N688">
        <v>0.15</v>
      </c>
      <c r="O688">
        <v>1068.78</v>
      </c>
      <c r="P688">
        <v>84.37</v>
      </c>
      <c r="Q688" t="s">
        <v>1332</v>
      </c>
      <c r="R688" t="b">
        <f t="shared" si="31"/>
        <v>0</v>
      </c>
      <c r="S688" t="b">
        <f t="shared" si="32"/>
        <v>0</v>
      </c>
      <c r="T688" t="b">
        <f t="shared" si="33"/>
        <v>0</v>
      </c>
    </row>
    <row r="689" spans="1:20" x14ac:dyDescent="0.3">
      <c r="A689">
        <v>688</v>
      </c>
      <c r="B689" t="s">
        <v>704</v>
      </c>
      <c r="C689" s="2">
        <v>45713</v>
      </c>
      <c r="D689" s="2">
        <v>45714</v>
      </c>
      <c r="E689" t="s">
        <v>1017</v>
      </c>
      <c r="F689" t="s">
        <v>1237</v>
      </c>
      <c r="G689" t="s">
        <v>1280</v>
      </c>
      <c r="H689" t="s">
        <v>1289</v>
      </c>
      <c r="I689" t="s">
        <v>1296</v>
      </c>
      <c r="J689" t="s">
        <v>1304</v>
      </c>
      <c r="K689" t="s">
        <v>1308</v>
      </c>
      <c r="L689" t="s">
        <v>1318</v>
      </c>
      <c r="M689">
        <v>2</v>
      </c>
      <c r="N689">
        <v>0.2</v>
      </c>
      <c r="O689">
        <v>8532.5300000000007</v>
      </c>
      <c r="P689">
        <v>-141.31</v>
      </c>
      <c r="Q689" t="s">
        <v>1331</v>
      </c>
      <c r="R689" t="b">
        <f t="shared" si="31"/>
        <v>0</v>
      </c>
      <c r="S689" t="b">
        <f t="shared" si="32"/>
        <v>0</v>
      </c>
      <c r="T689" t="b">
        <f t="shared" si="33"/>
        <v>0</v>
      </c>
    </row>
    <row r="690" spans="1:20" x14ac:dyDescent="0.3">
      <c r="A690">
        <v>689</v>
      </c>
      <c r="B690" t="s">
        <v>705</v>
      </c>
      <c r="C690" s="2">
        <v>45812</v>
      </c>
      <c r="D690" s="2">
        <v>45815</v>
      </c>
      <c r="E690" t="s">
        <v>1017</v>
      </c>
      <c r="F690" t="s">
        <v>1094</v>
      </c>
      <c r="G690" t="s">
        <v>1276</v>
      </c>
      <c r="H690" t="s">
        <v>1287</v>
      </c>
      <c r="I690" t="s">
        <v>1298</v>
      </c>
      <c r="J690" t="s">
        <v>1303</v>
      </c>
      <c r="K690" t="s">
        <v>1307</v>
      </c>
      <c r="L690" t="s">
        <v>1322</v>
      </c>
      <c r="M690">
        <v>1</v>
      </c>
      <c r="N690">
        <v>0.1</v>
      </c>
      <c r="O690">
        <v>598.61</v>
      </c>
      <c r="P690">
        <v>134.46</v>
      </c>
      <c r="Q690" t="s">
        <v>1334</v>
      </c>
      <c r="R690" t="b">
        <f t="shared" si="31"/>
        <v>0</v>
      </c>
      <c r="S690" t="b">
        <f t="shared" si="32"/>
        <v>0</v>
      </c>
      <c r="T690" t="b">
        <f t="shared" si="33"/>
        <v>0</v>
      </c>
    </row>
    <row r="691" spans="1:20" x14ac:dyDescent="0.3">
      <c r="A691">
        <v>690</v>
      </c>
      <c r="B691" t="s">
        <v>706</v>
      </c>
      <c r="C691" s="2">
        <v>45960</v>
      </c>
      <c r="D691" s="2">
        <v>45965</v>
      </c>
      <c r="E691" t="s">
        <v>1019</v>
      </c>
      <c r="F691" t="s">
        <v>1248</v>
      </c>
      <c r="G691" t="s">
        <v>1283</v>
      </c>
      <c r="H691" t="s">
        <v>1288</v>
      </c>
      <c r="I691" t="s">
        <v>1301</v>
      </c>
      <c r="J691" t="s">
        <v>1303</v>
      </c>
      <c r="K691" t="s">
        <v>1308</v>
      </c>
      <c r="L691" t="s">
        <v>1326</v>
      </c>
      <c r="M691">
        <v>3</v>
      </c>
      <c r="N691">
        <v>0.15</v>
      </c>
      <c r="O691">
        <v>16960.47</v>
      </c>
      <c r="P691">
        <v>2901.16</v>
      </c>
      <c r="Q691" t="s">
        <v>1332</v>
      </c>
      <c r="R691" t="b">
        <f t="shared" si="31"/>
        <v>0</v>
      </c>
      <c r="S691" t="b">
        <f t="shared" si="32"/>
        <v>0</v>
      </c>
      <c r="T691" t="b">
        <f t="shared" si="33"/>
        <v>0</v>
      </c>
    </row>
    <row r="692" spans="1:20" x14ac:dyDescent="0.3">
      <c r="A692">
        <v>691</v>
      </c>
      <c r="B692" t="s">
        <v>707</v>
      </c>
      <c r="C692" s="2">
        <v>45718</v>
      </c>
      <c r="D692" s="2">
        <v>45719</v>
      </c>
      <c r="E692" t="s">
        <v>1017</v>
      </c>
      <c r="F692" t="s">
        <v>1129</v>
      </c>
      <c r="G692" t="s">
        <v>1278</v>
      </c>
      <c r="H692" t="s">
        <v>1289</v>
      </c>
      <c r="I692" t="s">
        <v>1294</v>
      </c>
      <c r="J692" t="s">
        <v>1305</v>
      </c>
      <c r="K692" t="s">
        <v>1309</v>
      </c>
      <c r="L692" t="s">
        <v>1320</v>
      </c>
      <c r="M692">
        <v>1</v>
      </c>
      <c r="N692">
        <v>0</v>
      </c>
      <c r="O692">
        <v>1195.24</v>
      </c>
      <c r="P692">
        <v>226.79</v>
      </c>
      <c r="Q692" t="s">
        <v>1333</v>
      </c>
      <c r="R692" t="b">
        <f t="shared" si="31"/>
        <v>0</v>
      </c>
      <c r="S692" t="b">
        <f t="shared" si="32"/>
        <v>0</v>
      </c>
      <c r="T692" t="b">
        <f t="shared" si="33"/>
        <v>0</v>
      </c>
    </row>
    <row r="693" spans="1:20" x14ac:dyDescent="0.3">
      <c r="A693">
        <v>692</v>
      </c>
      <c r="B693" t="s">
        <v>708</v>
      </c>
      <c r="C693" s="2">
        <v>45903</v>
      </c>
      <c r="D693" s="2">
        <v>45908</v>
      </c>
      <c r="E693" t="s">
        <v>1017</v>
      </c>
      <c r="F693" t="s">
        <v>1090</v>
      </c>
      <c r="G693" t="s">
        <v>1275</v>
      </c>
      <c r="H693" t="s">
        <v>1287</v>
      </c>
      <c r="I693" t="s">
        <v>1296</v>
      </c>
      <c r="J693" t="s">
        <v>1304</v>
      </c>
      <c r="K693" t="s">
        <v>1309</v>
      </c>
      <c r="L693" t="s">
        <v>1317</v>
      </c>
      <c r="M693">
        <v>2</v>
      </c>
      <c r="N693">
        <v>0.05</v>
      </c>
      <c r="O693">
        <v>1547.07</v>
      </c>
      <c r="P693">
        <v>304.79000000000002</v>
      </c>
      <c r="Q693" t="s">
        <v>1332</v>
      </c>
      <c r="R693" t="b">
        <f t="shared" si="31"/>
        <v>0</v>
      </c>
      <c r="S693" t="b">
        <f t="shared" si="32"/>
        <v>0</v>
      </c>
      <c r="T693" t="b">
        <f t="shared" si="33"/>
        <v>0</v>
      </c>
    </row>
    <row r="694" spans="1:20" x14ac:dyDescent="0.3">
      <c r="A694">
        <v>693</v>
      </c>
      <c r="B694" t="s">
        <v>709</v>
      </c>
      <c r="C694" s="2">
        <v>45714</v>
      </c>
      <c r="D694" s="2">
        <v>45719</v>
      </c>
      <c r="E694" t="s">
        <v>1018</v>
      </c>
      <c r="F694" t="s">
        <v>1048</v>
      </c>
      <c r="G694" t="s">
        <v>1285</v>
      </c>
      <c r="H694" t="s">
        <v>1287</v>
      </c>
      <c r="I694" t="s">
        <v>1292</v>
      </c>
      <c r="J694" t="s">
        <v>1303</v>
      </c>
      <c r="K694" t="s">
        <v>1308</v>
      </c>
      <c r="L694" t="s">
        <v>1326</v>
      </c>
      <c r="M694">
        <v>1</v>
      </c>
      <c r="N694">
        <v>0.05</v>
      </c>
      <c r="O694">
        <v>6930.5</v>
      </c>
      <c r="P694">
        <v>1950.97</v>
      </c>
      <c r="Q694" t="s">
        <v>1331</v>
      </c>
      <c r="R694" t="b">
        <f t="shared" si="31"/>
        <v>0</v>
      </c>
      <c r="S694" t="b">
        <f t="shared" si="32"/>
        <v>0</v>
      </c>
      <c r="T694" t="b">
        <f t="shared" si="33"/>
        <v>0</v>
      </c>
    </row>
    <row r="695" spans="1:20" x14ac:dyDescent="0.3">
      <c r="A695">
        <v>694</v>
      </c>
      <c r="B695" t="s">
        <v>710</v>
      </c>
      <c r="C695" s="2">
        <v>45661</v>
      </c>
      <c r="D695" s="2">
        <v>45666</v>
      </c>
      <c r="E695" t="s">
        <v>1019</v>
      </c>
      <c r="F695" t="s">
        <v>1160</v>
      </c>
      <c r="G695" t="s">
        <v>1267</v>
      </c>
      <c r="H695" t="s">
        <v>1288</v>
      </c>
      <c r="I695" t="s">
        <v>1295</v>
      </c>
      <c r="J695" t="s">
        <v>1305</v>
      </c>
      <c r="K695" t="s">
        <v>1306</v>
      </c>
      <c r="L695" t="s">
        <v>1328</v>
      </c>
      <c r="M695">
        <v>1</v>
      </c>
      <c r="N695">
        <v>0.1</v>
      </c>
      <c r="O695">
        <v>109.94</v>
      </c>
      <c r="P695">
        <v>20.3</v>
      </c>
      <c r="Q695" t="s">
        <v>1332</v>
      </c>
      <c r="R695" t="b">
        <f t="shared" si="31"/>
        <v>0</v>
      </c>
      <c r="S695" t="b">
        <f t="shared" si="32"/>
        <v>0</v>
      </c>
      <c r="T695" t="b">
        <f t="shared" si="33"/>
        <v>0</v>
      </c>
    </row>
    <row r="696" spans="1:20" x14ac:dyDescent="0.3">
      <c r="A696">
        <v>695</v>
      </c>
      <c r="B696" t="s">
        <v>711</v>
      </c>
      <c r="C696" s="2">
        <v>46010</v>
      </c>
      <c r="D696" s="2">
        <v>46014</v>
      </c>
      <c r="E696" t="s">
        <v>1018</v>
      </c>
      <c r="F696" t="s">
        <v>1253</v>
      </c>
      <c r="G696" t="s">
        <v>1283</v>
      </c>
      <c r="H696" t="s">
        <v>1287</v>
      </c>
      <c r="I696" t="s">
        <v>1297</v>
      </c>
      <c r="J696" t="s">
        <v>1304</v>
      </c>
      <c r="K696" t="s">
        <v>1306</v>
      </c>
      <c r="L696" t="s">
        <v>1324</v>
      </c>
      <c r="M696">
        <v>5</v>
      </c>
      <c r="N696">
        <v>0.15</v>
      </c>
      <c r="O696">
        <v>389.16</v>
      </c>
      <c r="P696">
        <v>37.78</v>
      </c>
      <c r="Q696" t="s">
        <v>1334</v>
      </c>
      <c r="R696" t="b">
        <f t="shared" si="31"/>
        <v>0</v>
      </c>
      <c r="S696" t="b">
        <f t="shared" si="32"/>
        <v>0</v>
      </c>
      <c r="T696" t="b">
        <f t="shared" si="33"/>
        <v>0</v>
      </c>
    </row>
    <row r="697" spans="1:20" x14ac:dyDescent="0.3">
      <c r="A697">
        <v>696</v>
      </c>
      <c r="B697" t="s">
        <v>712</v>
      </c>
      <c r="C697" s="2">
        <v>46020</v>
      </c>
      <c r="D697" s="2">
        <v>46021</v>
      </c>
      <c r="E697" t="s">
        <v>1018</v>
      </c>
      <c r="F697" t="s">
        <v>1248</v>
      </c>
      <c r="G697" t="s">
        <v>1270</v>
      </c>
      <c r="H697" t="s">
        <v>1288</v>
      </c>
      <c r="I697" t="s">
        <v>1291</v>
      </c>
      <c r="J697" t="s">
        <v>1302</v>
      </c>
      <c r="K697" t="s">
        <v>1306</v>
      </c>
      <c r="L697" t="s">
        <v>1324</v>
      </c>
      <c r="M697">
        <v>5</v>
      </c>
      <c r="N697">
        <v>0.25</v>
      </c>
      <c r="O697">
        <v>334.57</v>
      </c>
      <c r="P697">
        <v>19.059999999999999</v>
      </c>
      <c r="Q697" t="s">
        <v>1332</v>
      </c>
      <c r="R697" t="b">
        <f t="shared" si="31"/>
        <v>0</v>
      </c>
      <c r="S697" t="b">
        <f t="shared" si="32"/>
        <v>0</v>
      </c>
      <c r="T697" t="b">
        <f t="shared" si="33"/>
        <v>0</v>
      </c>
    </row>
    <row r="698" spans="1:20" x14ac:dyDescent="0.3">
      <c r="A698">
        <v>697</v>
      </c>
      <c r="B698" t="s">
        <v>713</v>
      </c>
      <c r="C698" s="2">
        <v>45777</v>
      </c>
      <c r="D698" s="2">
        <v>45781</v>
      </c>
      <c r="E698" t="s">
        <v>1019</v>
      </c>
      <c r="F698" t="s">
        <v>1138</v>
      </c>
      <c r="G698" t="s">
        <v>1273</v>
      </c>
      <c r="H698" t="s">
        <v>1287</v>
      </c>
      <c r="I698" t="s">
        <v>1297</v>
      </c>
      <c r="J698" t="s">
        <v>1304</v>
      </c>
      <c r="K698" t="s">
        <v>1307</v>
      </c>
      <c r="L698" t="s">
        <v>1315</v>
      </c>
      <c r="M698">
        <v>4</v>
      </c>
      <c r="N698">
        <v>0.15</v>
      </c>
      <c r="O698">
        <v>6107.6</v>
      </c>
      <c r="P698">
        <v>865.99</v>
      </c>
      <c r="Q698" t="s">
        <v>1331</v>
      </c>
      <c r="R698" t="b">
        <f t="shared" si="31"/>
        <v>0</v>
      </c>
      <c r="S698" t="b">
        <f t="shared" si="32"/>
        <v>0</v>
      </c>
      <c r="T698" t="b">
        <f t="shared" si="33"/>
        <v>0</v>
      </c>
    </row>
    <row r="699" spans="1:20" x14ac:dyDescent="0.3">
      <c r="A699">
        <v>698</v>
      </c>
      <c r="B699" t="s">
        <v>714</v>
      </c>
      <c r="C699" s="2">
        <v>45855</v>
      </c>
      <c r="D699" s="2">
        <v>45858</v>
      </c>
      <c r="E699" t="s">
        <v>1017</v>
      </c>
      <c r="F699" t="s">
        <v>1148</v>
      </c>
      <c r="G699" t="s">
        <v>1269</v>
      </c>
      <c r="H699" t="s">
        <v>1288</v>
      </c>
      <c r="I699" t="s">
        <v>1293</v>
      </c>
      <c r="J699" t="s">
        <v>1304</v>
      </c>
      <c r="K699" t="s">
        <v>1306</v>
      </c>
      <c r="L699" t="s">
        <v>1324</v>
      </c>
      <c r="M699">
        <v>1</v>
      </c>
      <c r="N699">
        <v>0.25</v>
      </c>
      <c r="O699">
        <v>66.34</v>
      </c>
      <c r="P699">
        <v>-1.33</v>
      </c>
      <c r="Q699" t="s">
        <v>1330</v>
      </c>
      <c r="R699" t="b">
        <f t="shared" si="31"/>
        <v>0</v>
      </c>
      <c r="S699" t="b">
        <f t="shared" si="32"/>
        <v>0</v>
      </c>
      <c r="T699" t="b">
        <f t="shared" si="33"/>
        <v>0</v>
      </c>
    </row>
    <row r="700" spans="1:20" x14ac:dyDescent="0.3">
      <c r="A700">
        <v>699</v>
      </c>
      <c r="B700" t="s">
        <v>715</v>
      </c>
      <c r="C700" s="2">
        <v>45762</v>
      </c>
      <c r="D700" s="2">
        <v>45763</v>
      </c>
      <c r="E700" t="s">
        <v>1018</v>
      </c>
      <c r="F700" t="s">
        <v>1146</v>
      </c>
      <c r="G700" t="s">
        <v>1286</v>
      </c>
      <c r="H700" t="s">
        <v>1287</v>
      </c>
      <c r="I700" t="s">
        <v>1299</v>
      </c>
      <c r="J700" t="s">
        <v>1304</v>
      </c>
      <c r="K700" t="s">
        <v>1309</v>
      </c>
      <c r="L700" t="s">
        <v>1317</v>
      </c>
      <c r="M700">
        <v>2</v>
      </c>
      <c r="N700">
        <v>0.2</v>
      </c>
      <c r="O700">
        <v>1280.07</v>
      </c>
      <c r="P700">
        <v>74.94</v>
      </c>
      <c r="Q700" t="s">
        <v>1330</v>
      </c>
      <c r="R700" t="b">
        <f t="shared" si="31"/>
        <v>0</v>
      </c>
      <c r="S700" t="b">
        <f t="shared" si="32"/>
        <v>0</v>
      </c>
      <c r="T700" t="b">
        <f t="shared" si="33"/>
        <v>0</v>
      </c>
    </row>
    <row r="701" spans="1:20" x14ac:dyDescent="0.3">
      <c r="A701">
        <v>700</v>
      </c>
      <c r="B701" t="s">
        <v>716</v>
      </c>
      <c r="C701" s="2">
        <v>45722</v>
      </c>
      <c r="D701" s="2">
        <v>45725</v>
      </c>
      <c r="E701" t="s">
        <v>1018</v>
      </c>
      <c r="F701" t="s">
        <v>1229</v>
      </c>
      <c r="G701" t="s">
        <v>1270</v>
      </c>
      <c r="H701" t="s">
        <v>1289</v>
      </c>
      <c r="I701" t="s">
        <v>1290</v>
      </c>
      <c r="J701" t="s">
        <v>1302</v>
      </c>
      <c r="K701" t="s">
        <v>1308</v>
      </c>
      <c r="L701" t="s">
        <v>1319</v>
      </c>
      <c r="M701">
        <v>2</v>
      </c>
      <c r="N701">
        <v>0.05</v>
      </c>
      <c r="O701">
        <v>8302.3799999999992</v>
      </c>
      <c r="P701">
        <v>1685.17</v>
      </c>
      <c r="Q701" t="s">
        <v>1333</v>
      </c>
      <c r="R701" t="b">
        <f t="shared" si="31"/>
        <v>0</v>
      </c>
      <c r="S701" t="b">
        <f t="shared" si="32"/>
        <v>0</v>
      </c>
      <c r="T701" t="b">
        <f t="shared" si="33"/>
        <v>0</v>
      </c>
    </row>
    <row r="702" spans="1:20" x14ac:dyDescent="0.3">
      <c r="A702">
        <v>701</v>
      </c>
      <c r="B702" t="s">
        <v>717</v>
      </c>
      <c r="C702" s="2">
        <v>45762</v>
      </c>
      <c r="D702" s="2">
        <v>45767</v>
      </c>
      <c r="E702" t="s">
        <v>1019</v>
      </c>
      <c r="F702" t="s">
        <v>1181</v>
      </c>
      <c r="G702" t="s">
        <v>1282</v>
      </c>
      <c r="H702" t="s">
        <v>1289</v>
      </c>
      <c r="I702" t="s">
        <v>1294</v>
      </c>
      <c r="J702" t="s">
        <v>1305</v>
      </c>
      <c r="K702" t="s">
        <v>1308</v>
      </c>
      <c r="L702" t="s">
        <v>1319</v>
      </c>
      <c r="M702">
        <v>2</v>
      </c>
      <c r="N702">
        <v>0</v>
      </c>
      <c r="O702">
        <v>9127.67</v>
      </c>
      <c r="P702">
        <v>2373.33</v>
      </c>
      <c r="Q702" t="s">
        <v>1332</v>
      </c>
      <c r="R702" t="b">
        <f t="shared" si="31"/>
        <v>0</v>
      </c>
      <c r="S702" t="b">
        <f t="shared" si="32"/>
        <v>0</v>
      </c>
      <c r="T702" t="b">
        <f t="shared" si="33"/>
        <v>0</v>
      </c>
    </row>
    <row r="703" spans="1:20" x14ac:dyDescent="0.3">
      <c r="A703">
        <v>702</v>
      </c>
      <c r="B703" t="s">
        <v>718</v>
      </c>
      <c r="C703" s="2">
        <v>45916</v>
      </c>
      <c r="D703" s="2">
        <v>45919</v>
      </c>
      <c r="E703" t="s">
        <v>1018</v>
      </c>
      <c r="F703" t="s">
        <v>1126</v>
      </c>
      <c r="G703" t="s">
        <v>1274</v>
      </c>
      <c r="H703" t="s">
        <v>1287</v>
      </c>
      <c r="I703" t="s">
        <v>1299</v>
      </c>
      <c r="J703" t="s">
        <v>1304</v>
      </c>
      <c r="K703" t="s">
        <v>1306</v>
      </c>
      <c r="L703" t="s">
        <v>1310</v>
      </c>
      <c r="M703">
        <v>4</v>
      </c>
      <c r="N703">
        <v>0.1</v>
      </c>
      <c r="O703">
        <v>2371.92</v>
      </c>
      <c r="P703">
        <v>326.18</v>
      </c>
      <c r="Q703" t="s">
        <v>1333</v>
      </c>
      <c r="R703" t="b">
        <f t="shared" si="31"/>
        <v>0</v>
      </c>
      <c r="S703" t="b">
        <f t="shared" si="32"/>
        <v>0</v>
      </c>
      <c r="T703" t="b">
        <f t="shared" si="33"/>
        <v>0</v>
      </c>
    </row>
    <row r="704" spans="1:20" x14ac:dyDescent="0.3">
      <c r="A704">
        <v>703</v>
      </c>
      <c r="B704" t="s">
        <v>719</v>
      </c>
      <c r="C704" s="2">
        <v>45948</v>
      </c>
      <c r="D704" s="2">
        <v>45951</v>
      </c>
      <c r="E704" t="s">
        <v>1017</v>
      </c>
      <c r="F704" t="s">
        <v>1025</v>
      </c>
      <c r="G704" t="s">
        <v>1271</v>
      </c>
      <c r="H704" t="s">
        <v>1287</v>
      </c>
      <c r="I704" t="s">
        <v>1299</v>
      </c>
      <c r="J704" t="s">
        <v>1304</v>
      </c>
      <c r="K704" t="s">
        <v>1309</v>
      </c>
      <c r="L704" t="s">
        <v>1320</v>
      </c>
      <c r="M704">
        <v>2</v>
      </c>
      <c r="N704">
        <v>0.25</v>
      </c>
      <c r="O704">
        <v>1808.52</v>
      </c>
      <c r="P704">
        <v>-132.44</v>
      </c>
      <c r="Q704" t="s">
        <v>1331</v>
      </c>
      <c r="R704" t="b">
        <f t="shared" si="31"/>
        <v>0</v>
      </c>
      <c r="S704" t="b">
        <f t="shared" si="32"/>
        <v>0</v>
      </c>
      <c r="T704" t="b">
        <f t="shared" si="33"/>
        <v>0</v>
      </c>
    </row>
    <row r="705" spans="1:20" x14ac:dyDescent="0.3">
      <c r="A705">
        <v>704</v>
      </c>
      <c r="B705" t="s">
        <v>720</v>
      </c>
      <c r="C705" s="2">
        <v>45950</v>
      </c>
      <c r="D705" s="2">
        <v>45951</v>
      </c>
      <c r="E705" t="s">
        <v>1017</v>
      </c>
      <c r="F705" t="s">
        <v>1120</v>
      </c>
      <c r="G705" t="s">
        <v>1285</v>
      </c>
      <c r="H705" t="s">
        <v>1287</v>
      </c>
      <c r="I705" t="s">
        <v>1294</v>
      </c>
      <c r="J705" t="s">
        <v>1305</v>
      </c>
      <c r="K705" t="s">
        <v>1306</v>
      </c>
      <c r="L705" t="s">
        <v>1324</v>
      </c>
      <c r="M705">
        <v>2</v>
      </c>
      <c r="N705">
        <v>0.1</v>
      </c>
      <c r="O705">
        <v>165.54</v>
      </c>
      <c r="P705">
        <v>46.25</v>
      </c>
      <c r="Q705" t="s">
        <v>1331</v>
      </c>
      <c r="R705" t="b">
        <f t="shared" si="31"/>
        <v>0</v>
      </c>
      <c r="S705" t="b">
        <f t="shared" si="32"/>
        <v>0</v>
      </c>
      <c r="T705" t="b">
        <f t="shared" si="33"/>
        <v>0</v>
      </c>
    </row>
    <row r="706" spans="1:20" x14ac:dyDescent="0.3">
      <c r="A706">
        <v>705</v>
      </c>
      <c r="B706" t="s">
        <v>721</v>
      </c>
      <c r="C706" s="2">
        <v>45766</v>
      </c>
      <c r="D706" s="2">
        <v>45768</v>
      </c>
      <c r="E706" t="s">
        <v>1017</v>
      </c>
      <c r="F706" t="s">
        <v>1129</v>
      </c>
      <c r="G706" t="s">
        <v>1272</v>
      </c>
      <c r="H706" t="s">
        <v>1288</v>
      </c>
      <c r="I706" t="s">
        <v>1297</v>
      </c>
      <c r="J706" t="s">
        <v>1304</v>
      </c>
      <c r="K706" t="s">
        <v>1306</v>
      </c>
      <c r="L706" t="s">
        <v>1324</v>
      </c>
      <c r="M706">
        <v>1</v>
      </c>
      <c r="N706">
        <v>0</v>
      </c>
      <c r="O706">
        <v>89.4</v>
      </c>
      <c r="P706">
        <v>26.18</v>
      </c>
      <c r="Q706" t="s">
        <v>1333</v>
      </c>
      <c r="R706" t="b">
        <f t="shared" si="31"/>
        <v>0</v>
      </c>
      <c r="S706" t="b">
        <f t="shared" si="32"/>
        <v>0</v>
      </c>
      <c r="T706" t="b">
        <f t="shared" si="33"/>
        <v>0</v>
      </c>
    </row>
    <row r="707" spans="1:20" x14ac:dyDescent="0.3">
      <c r="A707">
        <v>706</v>
      </c>
      <c r="B707" t="s">
        <v>722</v>
      </c>
      <c r="C707" s="2">
        <v>45661</v>
      </c>
      <c r="D707" s="2">
        <v>45663</v>
      </c>
      <c r="E707" t="s">
        <v>1017</v>
      </c>
      <c r="F707" t="s">
        <v>1054</v>
      </c>
      <c r="G707" t="s">
        <v>1275</v>
      </c>
      <c r="H707" t="s">
        <v>1287</v>
      </c>
      <c r="I707" t="s">
        <v>1296</v>
      </c>
      <c r="J707" t="s">
        <v>1304</v>
      </c>
      <c r="K707" t="s">
        <v>1308</v>
      </c>
      <c r="L707" t="s">
        <v>1326</v>
      </c>
      <c r="M707">
        <v>4</v>
      </c>
      <c r="N707">
        <v>0</v>
      </c>
      <c r="O707">
        <v>26692.12</v>
      </c>
      <c r="P707">
        <v>8380.68</v>
      </c>
      <c r="Q707" t="s">
        <v>1331</v>
      </c>
      <c r="R707" t="b">
        <f t="shared" ref="R707:R770" si="34">D707&lt;C707</f>
        <v>0</v>
      </c>
      <c r="S707" t="b">
        <f t="shared" ref="S707:S770" si="35">M707&lt;=0</f>
        <v>0</v>
      </c>
      <c r="T707" t="b">
        <f t="shared" ref="T707:T770" si="36">OR(N707&lt;0,N707&gt;1)</f>
        <v>0</v>
      </c>
    </row>
    <row r="708" spans="1:20" x14ac:dyDescent="0.3">
      <c r="A708">
        <v>707</v>
      </c>
      <c r="B708" t="s">
        <v>723</v>
      </c>
      <c r="C708" s="2">
        <v>45963</v>
      </c>
      <c r="D708" s="2">
        <v>45967</v>
      </c>
      <c r="E708" t="s">
        <v>1017</v>
      </c>
      <c r="F708" t="s">
        <v>1084</v>
      </c>
      <c r="G708" t="s">
        <v>1278</v>
      </c>
      <c r="H708" t="s">
        <v>1287</v>
      </c>
      <c r="I708" t="s">
        <v>1290</v>
      </c>
      <c r="J708" t="s">
        <v>1302</v>
      </c>
      <c r="K708" t="s">
        <v>1309</v>
      </c>
      <c r="L708" t="s">
        <v>1320</v>
      </c>
      <c r="M708">
        <v>1</v>
      </c>
      <c r="N708">
        <v>0.1</v>
      </c>
      <c r="O708">
        <v>1070.0999999999999</v>
      </c>
      <c r="P708">
        <v>171.2</v>
      </c>
      <c r="Q708" t="s">
        <v>1331</v>
      </c>
      <c r="R708" t="b">
        <f t="shared" si="34"/>
        <v>0</v>
      </c>
      <c r="S708" t="b">
        <f t="shared" si="35"/>
        <v>0</v>
      </c>
      <c r="T708" t="b">
        <f t="shared" si="36"/>
        <v>0</v>
      </c>
    </row>
    <row r="709" spans="1:20" x14ac:dyDescent="0.3">
      <c r="A709">
        <v>708</v>
      </c>
      <c r="B709" t="s">
        <v>724</v>
      </c>
      <c r="C709" s="2">
        <v>45747</v>
      </c>
      <c r="D709" s="2">
        <v>45750</v>
      </c>
      <c r="E709" t="s">
        <v>1017</v>
      </c>
      <c r="F709" t="s">
        <v>1251</v>
      </c>
      <c r="G709" t="s">
        <v>1279</v>
      </c>
      <c r="H709" t="s">
        <v>1289</v>
      </c>
      <c r="I709" t="s">
        <v>1290</v>
      </c>
      <c r="J709" t="s">
        <v>1302</v>
      </c>
      <c r="K709" t="s">
        <v>1307</v>
      </c>
      <c r="L709" t="s">
        <v>1311</v>
      </c>
      <c r="M709">
        <v>1</v>
      </c>
      <c r="N709">
        <v>0</v>
      </c>
      <c r="O709">
        <v>285.94</v>
      </c>
      <c r="P709">
        <v>45.93</v>
      </c>
      <c r="Q709" t="s">
        <v>1331</v>
      </c>
      <c r="R709" t="b">
        <f t="shared" si="34"/>
        <v>0</v>
      </c>
      <c r="S709" t="b">
        <f t="shared" si="35"/>
        <v>0</v>
      </c>
      <c r="T709" t="b">
        <f t="shared" si="36"/>
        <v>0</v>
      </c>
    </row>
    <row r="710" spans="1:20" x14ac:dyDescent="0.3">
      <c r="A710">
        <v>709</v>
      </c>
      <c r="B710" t="s">
        <v>725</v>
      </c>
      <c r="C710" s="2">
        <v>45743</v>
      </c>
      <c r="D710" s="2">
        <v>45746</v>
      </c>
      <c r="E710" t="s">
        <v>1017</v>
      </c>
      <c r="F710" t="s">
        <v>1041</v>
      </c>
      <c r="G710" t="s">
        <v>1268</v>
      </c>
      <c r="H710" t="s">
        <v>1287</v>
      </c>
      <c r="I710" t="s">
        <v>1298</v>
      </c>
      <c r="J710" t="s">
        <v>1303</v>
      </c>
      <c r="K710" t="s">
        <v>1309</v>
      </c>
      <c r="L710" t="s">
        <v>1313</v>
      </c>
      <c r="M710">
        <v>4</v>
      </c>
      <c r="N710">
        <v>0.2</v>
      </c>
      <c r="O710">
        <v>4904.05</v>
      </c>
      <c r="P710">
        <v>220.01</v>
      </c>
      <c r="Q710" t="s">
        <v>1330</v>
      </c>
      <c r="R710" t="b">
        <f t="shared" si="34"/>
        <v>0</v>
      </c>
      <c r="S710" t="b">
        <f t="shared" si="35"/>
        <v>0</v>
      </c>
      <c r="T710" t="b">
        <f t="shared" si="36"/>
        <v>0</v>
      </c>
    </row>
    <row r="711" spans="1:20" x14ac:dyDescent="0.3">
      <c r="A711">
        <v>710</v>
      </c>
      <c r="B711" t="s">
        <v>726</v>
      </c>
      <c r="C711" s="2">
        <v>46002</v>
      </c>
      <c r="D711" s="2">
        <v>46006</v>
      </c>
      <c r="E711" t="s">
        <v>1017</v>
      </c>
      <c r="F711" t="s">
        <v>1039</v>
      </c>
      <c r="G711" t="s">
        <v>1285</v>
      </c>
      <c r="H711" t="s">
        <v>1289</v>
      </c>
      <c r="I711" t="s">
        <v>1291</v>
      </c>
      <c r="J711" t="s">
        <v>1302</v>
      </c>
      <c r="K711" t="s">
        <v>1307</v>
      </c>
      <c r="L711" t="s">
        <v>1316</v>
      </c>
      <c r="M711">
        <v>3</v>
      </c>
      <c r="N711">
        <v>0.2</v>
      </c>
      <c r="O711">
        <v>1175.23</v>
      </c>
      <c r="P711">
        <v>21.44</v>
      </c>
      <c r="Q711" t="s">
        <v>1332</v>
      </c>
      <c r="R711" t="b">
        <f t="shared" si="34"/>
        <v>0</v>
      </c>
      <c r="S711" t="b">
        <f t="shared" si="35"/>
        <v>0</v>
      </c>
      <c r="T711" t="b">
        <f t="shared" si="36"/>
        <v>0</v>
      </c>
    </row>
    <row r="712" spans="1:20" x14ac:dyDescent="0.3">
      <c r="A712">
        <v>711</v>
      </c>
      <c r="B712" t="s">
        <v>727</v>
      </c>
      <c r="C712" s="2">
        <v>45731</v>
      </c>
      <c r="D712" s="2">
        <v>45735</v>
      </c>
      <c r="E712" t="s">
        <v>1017</v>
      </c>
      <c r="F712" t="s">
        <v>1215</v>
      </c>
      <c r="G712" t="s">
        <v>1281</v>
      </c>
      <c r="H712" t="s">
        <v>1287</v>
      </c>
      <c r="I712" t="s">
        <v>1291</v>
      </c>
      <c r="J712" t="s">
        <v>1302</v>
      </c>
      <c r="K712" t="s">
        <v>1308</v>
      </c>
      <c r="L712" t="s">
        <v>1326</v>
      </c>
      <c r="M712">
        <v>2</v>
      </c>
      <c r="N712">
        <v>0</v>
      </c>
      <c r="O712">
        <v>13838.23</v>
      </c>
      <c r="P712">
        <v>2410.0500000000002</v>
      </c>
      <c r="Q712" t="s">
        <v>1333</v>
      </c>
      <c r="R712" t="b">
        <f t="shared" si="34"/>
        <v>0</v>
      </c>
      <c r="S712" t="b">
        <f t="shared" si="35"/>
        <v>0</v>
      </c>
      <c r="T712" t="b">
        <f t="shared" si="36"/>
        <v>0</v>
      </c>
    </row>
    <row r="713" spans="1:20" x14ac:dyDescent="0.3">
      <c r="A713">
        <v>712</v>
      </c>
      <c r="B713" t="s">
        <v>728</v>
      </c>
      <c r="C713" s="2">
        <v>45982</v>
      </c>
      <c r="D713" s="2">
        <v>45985</v>
      </c>
      <c r="E713" t="s">
        <v>1018</v>
      </c>
      <c r="F713" t="s">
        <v>1221</v>
      </c>
      <c r="G713" t="s">
        <v>1275</v>
      </c>
      <c r="H713" t="s">
        <v>1287</v>
      </c>
      <c r="I713" t="s">
        <v>1296</v>
      </c>
      <c r="J713" t="s">
        <v>1304</v>
      </c>
      <c r="K713" t="s">
        <v>1308</v>
      </c>
      <c r="L713" t="s">
        <v>1326</v>
      </c>
      <c r="M713">
        <v>1</v>
      </c>
      <c r="N713">
        <v>0.1</v>
      </c>
      <c r="O713">
        <v>6570.95</v>
      </c>
      <c r="P713">
        <v>1240.68</v>
      </c>
      <c r="Q713" t="s">
        <v>1330</v>
      </c>
      <c r="R713" t="b">
        <f t="shared" si="34"/>
        <v>0</v>
      </c>
      <c r="S713" t="b">
        <f t="shared" si="35"/>
        <v>0</v>
      </c>
      <c r="T713" t="b">
        <f t="shared" si="36"/>
        <v>0</v>
      </c>
    </row>
    <row r="714" spans="1:20" x14ac:dyDescent="0.3">
      <c r="A714">
        <v>713</v>
      </c>
      <c r="B714" t="s">
        <v>729</v>
      </c>
      <c r="C714" s="2">
        <v>45961</v>
      </c>
      <c r="D714" s="2">
        <v>45966</v>
      </c>
      <c r="E714" t="s">
        <v>1017</v>
      </c>
      <c r="F714" t="s">
        <v>1081</v>
      </c>
      <c r="G714" t="s">
        <v>1277</v>
      </c>
      <c r="H714" t="s">
        <v>1287</v>
      </c>
      <c r="I714" t="s">
        <v>1301</v>
      </c>
      <c r="J714" t="s">
        <v>1303</v>
      </c>
      <c r="K714" t="s">
        <v>1307</v>
      </c>
      <c r="L714" t="s">
        <v>1314</v>
      </c>
      <c r="M714">
        <v>1</v>
      </c>
      <c r="N714">
        <v>0</v>
      </c>
      <c r="O714">
        <v>926.51</v>
      </c>
      <c r="P714">
        <v>323.60000000000002</v>
      </c>
      <c r="Q714" t="s">
        <v>1331</v>
      </c>
      <c r="R714" t="b">
        <f t="shared" si="34"/>
        <v>0</v>
      </c>
      <c r="S714" t="b">
        <f t="shared" si="35"/>
        <v>0</v>
      </c>
      <c r="T714" t="b">
        <f t="shared" si="36"/>
        <v>0</v>
      </c>
    </row>
    <row r="715" spans="1:20" x14ac:dyDescent="0.3">
      <c r="A715">
        <v>714</v>
      </c>
      <c r="B715" t="s">
        <v>730</v>
      </c>
      <c r="C715" s="2">
        <v>45849</v>
      </c>
      <c r="D715" s="2">
        <v>45854</v>
      </c>
      <c r="E715" t="s">
        <v>1017</v>
      </c>
      <c r="F715" t="s">
        <v>1022</v>
      </c>
      <c r="G715" t="s">
        <v>1285</v>
      </c>
      <c r="H715" t="s">
        <v>1287</v>
      </c>
      <c r="I715" t="s">
        <v>1292</v>
      </c>
      <c r="J715" t="s">
        <v>1303</v>
      </c>
      <c r="K715" t="s">
        <v>1306</v>
      </c>
      <c r="L715" t="s">
        <v>1310</v>
      </c>
      <c r="M715">
        <v>2</v>
      </c>
      <c r="N715">
        <v>0</v>
      </c>
      <c r="O715">
        <v>1279.0899999999999</v>
      </c>
      <c r="P715">
        <v>444.21</v>
      </c>
      <c r="Q715" t="s">
        <v>1334</v>
      </c>
      <c r="R715" t="b">
        <f t="shared" si="34"/>
        <v>0</v>
      </c>
      <c r="S715" t="b">
        <f t="shared" si="35"/>
        <v>0</v>
      </c>
      <c r="T715" t="b">
        <f t="shared" si="36"/>
        <v>0</v>
      </c>
    </row>
    <row r="716" spans="1:20" x14ac:dyDescent="0.3">
      <c r="A716">
        <v>715</v>
      </c>
      <c r="B716" t="s">
        <v>731</v>
      </c>
      <c r="C716" s="2">
        <v>45763</v>
      </c>
      <c r="D716" s="2">
        <v>45766</v>
      </c>
      <c r="E716" t="s">
        <v>1017</v>
      </c>
      <c r="F716" t="s">
        <v>1256</v>
      </c>
      <c r="G716" t="s">
        <v>1275</v>
      </c>
      <c r="H716" t="s">
        <v>1287</v>
      </c>
      <c r="I716" t="s">
        <v>1296</v>
      </c>
      <c r="J716" t="s">
        <v>1304</v>
      </c>
      <c r="K716" t="s">
        <v>1306</v>
      </c>
      <c r="L716" t="s">
        <v>1310</v>
      </c>
      <c r="M716">
        <v>2</v>
      </c>
      <c r="N716">
        <v>0</v>
      </c>
      <c r="O716">
        <v>1259.04</v>
      </c>
      <c r="P716">
        <v>423.51</v>
      </c>
      <c r="Q716" t="s">
        <v>1332</v>
      </c>
      <c r="R716" t="b">
        <f t="shared" si="34"/>
        <v>0</v>
      </c>
      <c r="S716" t="b">
        <f t="shared" si="35"/>
        <v>0</v>
      </c>
      <c r="T716" t="b">
        <f t="shared" si="36"/>
        <v>0</v>
      </c>
    </row>
    <row r="717" spans="1:20" x14ac:dyDescent="0.3">
      <c r="A717">
        <v>716</v>
      </c>
      <c r="B717" t="s">
        <v>732</v>
      </c>
      <c r="C717" s="2">
        <v>45658</v>
      </c>
      <c r="D717" s="2">
        <v>45660</v>
      </c>
      <c r="E717" t="s">
        <v>1017</v>
      </c>
      <c r="F717" t="s">
        <v>1086</v>
      </c>
      <c r="G717" t="s">
        <v>1274</v>
      </c>
      <c r="H717" t="s">
        <v>1289</v>
      </c>
      <c r="I717" t="s">
        <v>1300</v>
      </c>
      <c r="J717" t="s">
        <v>1305</v>
      </c>
      <c r="K717" t="s">
        <v>1306</v>
      </c>
      <c r="L717" t="s">
        <v>1324</v>
      </c>
      <c r="M717">
        <v>1</v>
      </c>
      <c r="N717">
        <v>0.1</v>
      </c>
      <c r="O717">
        <v>80.81</v>
      </c>
      <c r="P717">
        <v>11.26</v>
      </c>
      <c r="Q717" t="s">
        <v>1332</v>
      </c>
      <c r="R717" t="b">
        <f t="shared" si="34"/>
        <v>0</v>
      </c>
      <c r="S717" t="b">
        <f t="shared" si="35"/>
        <v>0</v>
      </c>
      <c r="T717" t="b">
        <f t="shared" si="36"/>
        <v>0</v>
      </c>
    </row>
    <row r="718" spans="1:20" x14ac:dyDescent="0.3">
      <c r="A718">
        <v>717</v>
      </c>
      <c r="B718" t="s">
        <v>733</v>
      </c>
      <c r="C718" s="2">
        <v>45958</v>
      </c>
      <c r="D718" s="2">
        <v>45961</v>
      </c>
      <c r="E718" t="s">
        <v>1017</v>
      </c>
      <c r="F718" t="s">
        <v>1257</v>
      </c>
      <c r="G718" t="s">
        <v>1271</v>
      </c>
      <c r="H718" t="s">
        <v>1287</v>
      </c>
      <c r="I718" t="s">
        <v>1294</v>
      </c>
      <c r="J718" t="s">
        <v>1305</v>
      </c>
      <c r="K718" t="s">
        <v>1307</v>
      </c>
      <c r="L718" t="s">
        <v>1315</v>
      </c>
      <c r="M718">
        <v>1</v>
      </c>
      <c r="N718">
        <v>0</v>
      </c>
      <c r="O718">
        <v>1715.62</v>
      </c>
      <c r="P718">
        <v>377.06</v>
      </c>
      <c r="Q718" t="s">
        <v>1333</v>
      </c>
      <c r="R718" t="b">
        <f t="shared" si="34"/>
        <v>0</v>
      </c>
      <c r="S718" t="b">
        <f t="shared" si="35"/>
        <v>0</v>
      </c>
      <c r="T718" t="b">
        <f t="shared" si="36"/>
        <v>0</v>
      </c>
    </row>
    <row r="719" spans="1:20" x14ac:dyDescent="0.3">
      <c r="A719">
        <v>718</v>
      </c>
      <c r="B719" t="s">
        <v>734</v>
      </c>
      <c r="C719" s="2">
        <v>45761</v>
      </c>
      <c r="D719" s="2">
        <v>45763</v>
      </c>
      <c r="E719" t="s">
        <v>1017</v>
      </c>
      <c r="F719" t="s">
        <v>1171</v>
      </c>
      <c r="G719" t="s">
        <v>1277</v>
      </c>
      <c r="H719" t="s">
        <v>1288</v>
      </c>
      <c r="I719" t="s">
        <v>1300</v>
      </c>
      <c r="J719" t="s">
        <v>1305</v>
      </c>
      <c r="K719" t="s">
        <v>1306</v>
      </c>
      <c r="L719" t="s">
        <v>1310</v>
      </c>
      <c r="M719">
        <v>5</v>
      </c>
      <c r="N719">
        <v>0</v>
      </c>
      <c r="O719">
        <v>3222.93</v>
      </c>
      <c r="P719">
        <v>957.41</v>
      </c>
      <c r="Q719" t="s">
        <v>1331</v>
      </c>
      <c r="R719" t="b">
        <f t="shared" si="34"/>
        <v>0</v>
      </c>
      <c r="S719" t="b">
        <f t="shared" si="35"/>
        <v>0</v>
      </c>
      <c r="T719" t="b">
        <f t="shared" si="36"/>
        <v>0</v>
      </c>
    </row>
    <row r="720" spans="1:20" x14ac:dyDescent="0.3">
      <c r="A720">
        <v>719</v>
      </c>
      <c r="B720" t="s">
        <v>735</v>
      </c>
      <c r="C720" s="2">
        <v>45761</v>
      </c>
      <c r="D720" s="2">
        <v>45766</v>
      </c>
      <c r="E720" t="s">
        <v>1018</v>
      </c>
      <c r="F720" t="s">
        <v>1092</v>
      </c>
      <c r="G720" t="s">
        <v>1278</v>
      </c>
      <c r="H720" t="s">
        <v>1287</v>
      </c>
      <c r="I720" t="s">
        <v>1292</v>
      </c>
      <c r="J720" t="s">
        <v>1303</v>
      </c>
      <c r="K720" t="s">
        <v>1308</v>
      </c>
      <c r="L720" t="s">
        <v>1326</v>
      </c>
      <c r="M720">
        <v>1</v>
      </c>
      <c r="N720">
        <v>0.05</v>
      </c>
      <c r="O720">
        <v>6349.28</v>
      </c>
      <c r="P720">
        <v>1207.1199999999999</v>
      </c>
      <c r="Q720" t="s">
        <v>1332</v>
      </c>
      <c r="R720" t="b">
        <f t="shared" si="34"/>
        <v>0</v>
      </c>
      <c r="S720" t="b">
        <f t="shared" si="35"/>
        <v>0</v>
      </c>
      <c r="T720" t="b">
        <f t="shared" si="36"/>
        <v>0</v>
      </c>
    </row>
    <row r="721" spans="1:20" x14ac:dyDescent="0.3">
      <c r="A721">
        <v>720</v>
      </c>
      <c r="B721" t="s">
        <v>736</v>
      </c>
      <c r="C721" s="2">
        <v>45834</v>
      </c>
      <c r="D721" s="2">
        <v>45839</v>
      </c>
      <c r="E721" t="s">
        <v>1017</v>
      </c>
      <c r="F721" t="s">
        <v>1091</v>
      </c>
      <c r="G721" t="s">
        <v>1282</v>
      </c>
      <c r="H721" t="s">
        <v>1287</v>
      </c>
      <c r="I721" t="s">
        <v>1294</v>
      </c>
      <c r="J721" t="s">
        <v>1305</v>
      </c>
      <c r="K721" t="s">
        <v>1307</v>
      </c>
      <c r="L721" t="s">
        <v>1311</v>
      </c>
      <c r="M721">
        <v>3</v>
      </c>
      <c r="N721">
        <v>0</v>
      </c>
      <c r="O721">
        <v>854.75</v>
      </c>
      <c r="P721">
        <v>174.86</v>
      </c>
      <c r="Q721" t="s">
        <v>1331</v>
      </c>
      <c r="R721" t="b">
        <f t="shared" si="34"/>
        <v>0</v>
      </c>
      <c r="S721" t="b">
        <f t="shared" si="35"/>
        <v>0</v>
      </c>
      <c r="T721" t="b">
        <f t="shared" si="36"/>
        <v>0</v>
      </c>
    </row>
    <row r="722" spans="1:20" x14ac:dyDescent="0.3">
      <c r="A722">
        <v>721</v>
      </c>
      <c r="B722" t="s">
        <v>737</v>
      </c>
      <c r="C722" s="2">
        <v>45703</v>
      </c>
      <c r="D722" s="2">
        <v>45707</v>
      </c>
      <c r="E722" t="s">
        <v>1017</v>
      </c>
      <c r="F722" t="s">
        <v>1146</v>
      </c>
      <c r="G722" t="s">
        <v>1269</v>
      </c>
      <c r="H722" t="s">
        <v>1289</v>
      </c>
      <c r="I722" t="s">
        <v>1292</v>
      </c>
      <c r="J722" t="s">
        <v>1303</v>
      </c>
      <c r="K722" t="s">
        <v>1308</v>
      </c>
      <c r="L722" t="s">
        <v>1318</v>
      </c>
      <c r="M722">
        <v>1</v>
      </c>
      <c r="N722">
        <v>0.2</v>
      </c>
      <c r="O722">
        <v>4184.8500000000004</v>
      </c>
      <c r="P722">
        <v>10.86</v>
      </c>
      <c r="Q722" t="s">
        <v>1331</v>
      </c>
      <c r="R722" t="b">
        <f t="shared" si="34"/>
        <v>0</v>
      </c>
      <c r="S722" t="b">
        <f t="shared" si="35"/>
        <v>0</v>
      </c>
      <c r="T722" t="b">
        <f t="shared" si="36"/>
        <v>0</v>
      </c>
    </row>
    <row r="723" spans="1:20" x14ac:dyDescent="0.3">
      <c r="A723">
        <v>722</v>
      </c>
      <c r="B723" t="s">
        <v>738</v>
      </c>
      <c r="C723" s="2">
        <v>45972</v>
      </c>
      <c r="D723" s="2">
        <v>45974</v>
      </c>
      <c r="E723" t="s">
        <v>1018</v>
      </c>
      <c r="F723" t="s">
        <v>1085</v>
      </c>
      <c r="G723" t="s">
        <v>1270</v>
      </c>
      <c r="H723" t="s">
        <v>1289</v>
      </c>
      <c r="I723" t="s">
        <v>1292</v>
      </c>
      <c r="J723" t="s">
        <v>1303</v>
      </c>
      <c r="K723" t="s">
        <v>1308</v>
      </c>
      <c r="L723" t="s">
        <v>1327</v>
      </c>
      <c r="M723">
        <v>4</v>
      </c>
      <c r="N723">
        <v>0</v>
      </c>
      <c r="O723">
        <v>7494.58</v>
      </c>
      <c r="P723">
        <v>2789.02</v>
      </c>
      <c r="Q723" t="s">
        <v>1330</v>
      </c>
      <c r="R723" t="b">
        <f t="shared" si="34"/>
        <v>0</v>
      </c>
      <c r="S723" t="b">
        <f t="shared" si="35"/>
        <v>0</v>
      </c>
      <c r="T723" t="b">
        <f t="shared" si="36"/>
        <v>0</v>
      </c>
    </row>
    <row r="724" spans="1:20" x14ac:dyDescent="0.3">
      <c r="A724">
        <v>723</v>
      </c>
      <c r="B724" t="s">
        <v>739</v>
      </c>
      <c r="C724" s="2">
        <v>45874</v>
      </c>
      <c r="D724" s="2">
        <v>45878</v>
      </c>
      <c r="E724" t="s">
        <v>1018</v>
      </c>
      <c r="F724" t="s">
        <v>1200</v>
      </c>
      <c r="G724" t="s">
        <v>1285</v>
      </c>
      <c r="H724" t="s">
        <v>1287</v>
      </c>
      <c r="I724" t="s">
        <v>1295</v>
      </c>
      <c r="J724" t="s">
        <v>1305</v>
      </c>
      <c r="K724" t="s">
        <v>1306</v>
      </c>
      <c r="L724" t="s">
        <v>1324</v>
      </c>
      <c r="M724">
        <v>1</v>
      </c>
      <c r="N724">
        <v>0</v>
      </c>
      <c r="O724">
        <v>86.4</v>
      </c>
      <c r="P724">
        <v>25.7</v>
      </c>
      <c r="Q724" t="s">
        <v>1331</v>
      </c>
      <c r="R724" t="b">
        <f t="shared" si="34"/>
        <v>0</v>
      </c>
      <c r="S724" t="b">
        <f t="shared" si="35"/>
        <v>0</v>
      </c>
      <c r="T724" t="b">
        <f t="shared" si="36"/>
        <v>0</v>
      </c>
    </row>
    <row r="725" spans="1:20" x14ac:dyDescent="0.3">
      <c r="A725">
        <v>724</v>
      </c>
      <c r="B725" t="s">
        <v>740</v>
      </c>
      <c r="C725" s="2">
        <v>45798</v>
      </c>
      <c r="D725" s="2">
        <v>45801</v>
      </c>
      <c r="E725" t="s">
        <v>1017</v>
      </c>
      <c r="F725" t="s">
        <v>1201</v>
      </c>
      <c r="G725" t="s">
        <v>1282</v>
      </c>
      <c r="H725" t="s">
        <v>1287</v>
      </c>
      <c r="I725" t="s">
        <v>1292</v>
      </c>
      <c r="J725" t="s">
        <v>1303</v>
      </c>
      <c r="K725" t="s">
        <v>1306</v>
      </c>
      <c r="L725" t="s">
        <v>1323</v>
      </c>
      <c r="M725">
        <v>2</v>
      </c>
      <c r="N725">
        <v>0.05</v>
      </c>
      <c r="O725">
        <v>325.60000000000002</v>
      </c>
      <c r="P725">
        <v>76.22</v>
      </c>
      <c r="Q725" t="s">
        <v>1331</v>
      </c>
      <c r="R725" t="b">
        <f t="shared" si="34"/>
        <v>0</v>
      </c>
      <c r="S725" t="b">
        <f t="shared" si="35"/>
        <v>0</v>
      </c>
      <c r="T725" t="b">
        <f t="shared" si="36"/>
        <v>0</v>
      </c>
    </row>
    <row r="726" spans="1:20" x14ac:dyDescent="0.3">
      <c r="A726">
        <v>725</v>
      </c>
      <c r="B726" t="s">
        <v>741</v>
      </c>
      <c r="C726" s="2">
        <v>45718</v>
      </c>
      <c r="D726" s="2">
        <v>45722</v>
      </c>
      <c r="E726" t="s">
        <v>1017</v>
      </c>
      <c r="F726" t="s">
        <v>1200</v>
      </c>
      <c r="G726" t="s">
        <v>1273</v>
      </c>
      <c r="H726" t="s">
        <v>1288</v>
      </c>
      <c r="I726" t="s">
        <v>1300</v>
      </c>
      <c r="J726" t="s">
        <v>1305</v>
      </c>
      <c r="K726" t="s">
        <v>1306</v>
      </c>
      <c r="L726" t="s">
        <v>1328</v>
      </c>
      <c r="M726">
        <v>4</v>
      </c>
      <c r="N726">
        <v>0</v>
      </c>
      <c r="O726">
        <v>477.3</v>
      </c>
      <c r="P726">
        <v>124.9</v>
      </c>
      <c r="Q726" t="s">
        <v>1333</v>
      </c>
      <c r="R726" t="b">
        <f t="shared" si="34"/>
        <v>0</v>
      </c>
      <c r="S726" t="b">
        <f t="shared" si="35"/>
        <v>0</v>
      </c>
      <c r="T726" t="b">
        <f t="shared" si="36"/>
        <v>0</v>
      </c>
    </row>
    <row r="727" spans="1:20" x14ac:dyDescent="0.3">
      <c r="A727">
        <v>726</v>
      </c>
      <c r="B727" t="s">
        <v>742</v>
      </c>
      <c r="C727" s="2">
        <v>45783</v>
      </c>
      <c r="D727" s="2">
        <v>45787</v>
      </c>
      <c r="E727" t="s">
        <v>1018</v>
      </c>
      <c r="F727" t="s">
        <v>1023</v>
      </c>
      <c r="G727" t="s">
        <v>1286</v>
      </c>
      <c r="H727" t="s">
        <v>1288</v>
      </c>
      <c r="I727" t="s">
        <v>1292</v>
      </c>
      <c r="J727" t="s">
        <v>1303</v>
      </c>
      <c r="K727" t="s">
        <v>1308</v>
      </c>
      <c r="L727" t="s">
        <v>1326</v>
      </c>
      <c r="M727">
        <v>2</v>
      </c>
      <c r="N727">
        <v>0.2</v>
      </c>
      <c r="O727">
        <v>10759.75</v>
      </c>
      <c r="P727">
        <v>902.7</v>
      </c>
      <c r="Q727" t="s">
        <v>1332</v>
      </c>
      <c r="R727" t="b">
        <f t="shared" si="34"/>
        <v>0</v>
      </c>
      <c r="S727" t="b">
        <f t="shared" si="35"/>
        <v>0</v>
      </c>
      <c r="T727" t="b">
        <f t="shared" si="36"/>
        <v>0</v>
      </c>
    </row>
    <row r="728" spans="1:20" x14ac:dyDescent="0.3">
      <c r="A728">
        <v>727</v>
      </c>
      <c r="B728" t="s">
        <v>743</v>
      </c>
      <c r="C728" s="2">
        <v>45885</v>
      </c>
      <c r="D728" s="2">
        <v>45889</v>
      </c>
      <c r="E728" t="s">
        <v>1018</v>
      </c>
      <c r="F728" t="s">
        <v>1100</v>
      </c>
      <c r="G728" t="s">
        <v>1272</v>
      </c>
      <c r="H728" t="s">
        <v>1288</v>
      </c>
      <c r="I728" t="s">
        <v>1300</v>
      </c>
      <c r="J728" t="s">
        <v>1305</v>
      </c>
      <c r="K728" t="s">
        <v>1309</v>
      </c>
      <c r="L728" t="s">
        <v>1320</v>
      </c>
      <c r="M728">
        <v>2</v>
      </c>
      <c r="N728">
        <v>0.05</v>
      </c>
      <c r="O728">
        <v>2190.29</v>
      </c>
      <c r="P728">
        <v>552.75</v>
      </c>
      <c r="Q728" t="s">
        <v>1330</v>
      </c>
      <c r="R728" t="b">
        <f t="shared" si="34"/>
        <v>0</v>
      </c>
      <c r="S728" t="b">
        <f t="shared" si="35"/>
        <v>0</v>
      </c>
      <c r="T728" t="b">
        <f t="shared" si="36"/>
        <v>0</v>
      </c>
    </row>
    <row r="729" spans="1:20" x14ac:dyDescent="0.3">
      <c r="A729">
        <v>728</v>
      </c>
      <c r="B729" t="s">
        <v>744</v>
      </c>
      <c r="C729" s="2">
        <v>45937</v>
      </c>
      <c r="D729" s="2">
        <v>45939</v>
      </c>
      <c r="E729" t="s">
        <v>1017</v>
      </c>
      <c r="F729" t="s">
        <v>1021</v>
      </c>
      <c r="G729" t="s">
        <v>1273</v>
      </c>
      <c r="H729" t="s">
        <v>1287</v>
      </c>
      <c r="I729" t="s">
        <v>1299</v>
      </c>
      <c r="J729" t="s">
        <v>1304</v>
      </c>
      <c r="K729" t="s">
        <v>1309</v>
      </c>
      <c r="L729" t="s">
        <v>1313</v>
      </c>
      <c r="M729">
        <v>1</v>
      </c>
      <c r="N729">
        <v>0.2</v>
      </c>
      <c r="O729">
        <v>1206.97</v>
      </c>
      <c r="P729">
        <v>175.9</v>
      </c>
      <c r="Q729" t="s">
        <v>1331</v>
      </c>
      <c r="R729" t="b">
        <f t="shared" si="34"/>
        <v>0</v>
      </c>
      <c r="S729" t="b">
        <f t="shared" si="35"/>
        <v>0</v>
      </c>
      <c r="T729" t="b">
        <f t="shared" si="36"/>
        <v>0</v>
      </c>
    </row>
    <row r="730" spans="1:20" x14ac:dyDescent="0.3">
      <c r="A730">
        <v>729</v>
      </c>
      <c r="B730" t="s">
        <v>745</v>
      </c>
      <c r="C730" s="2">
        <v>45746</v>
      </c>
      <c r="D730" s="2">
        <v>45751</v>
      </c>
      <c r="E730" t="s">
        <v>1017</v>
      </c>
      <c r="F730" t="s">
        <v>1115</v>
      </c>
      <c r="G730" t="s">
        <v>1281</v>
      </c>
      <c r="H730" t="s">
        <v>1287</v>
      </c>
      <c r="I730" t="s">
        <v>1294</v>
      </c>
      <c r="J730" t="s">
        <v>1305</v>
      </c>
      <c r="K730" t="s">
        <v>1307</v>
      </c>
      <c r="L730" t="s">
        <v>1322</v>
      </c>
      <c r="M730">
        <v>3</v>
      </c>
      <c r="N730">
        <v>0.25</v>
      </c>
      <c r="O730">
        <v>1620.5</v>
      </c>
      <c r="P730">
        <v>97.41</v>
      </c>
      <c r="Q730" t="s">
        <v>1332</v>
      </c>
      <c r="R730" t="b">
        <f t="shared" si="34"/>
        <v>0</v>
      </c>
      <c r="S730" t="b">
        <f t="shared" si="35"/>
        <v>0</v>
      </c>
      <c r="T730" t="b">
        <f t="shared" si="36"/>
        <v>0</v>
      </c>
    </row>
    <row r="731" spans="1:20" x14ac:dyDescent="0.3">
      <c r="A731">
        <v>730</v>
      </c>
      <c r="B731" t="s">
        <v>746</v>
      </c>
      <c r="C731" s="2">
        <v>45909</v>
      </c>
      <c r="D731" s="2">
        <v>45914</v>
      </c>
      <c r="E731" t="s">
        <v>1018</v>
      </c>
      <c r="F731" t="s">
        <v>1134</v>
      </c>
      <c r="G731" t="s">
        <v>1268</v>
      </c>
      <c r="H731" t="s">
        <v>1287</v>
      </c>
      <c r="I731" t="s">
        <v>1297</v>
      </c>
      <c r="J731" t="s">
        <v>1304</v>
      </c>
      <c r="K731" t="s">
        <v>1308</v>
      </c>
      <c r="L731" t="s">
        <v>1327</v>
      </c>
      <c r="M731">
        <v>1</v>
      </c>
      <c r="N731">
        <v>0.15</v>
      </c>
      <c r="O731">
        <v>1551.13</v>
      </c>
      <c r="P731">
        <v>316</v>
      </c>
      <c r="Q731" t="s">
        <v>1332</v>
      </c>
      <c r="R731" t="b">
        <f t="shared" si="34"/>
        <v>0</v>
      </c>
      <c r="S731" t="b">
        <f t="shared" si="35"/>
        <v>0</v>
      </c>
      <c r="T731" t="b">
        <f t="shared" si="36"/>
        <v>0</v>
      </c>
    </row>
    <row r="732" spans="1:20" x14ac:dyDescent="0.3">
      <c r="A732">
        <v>731</v>
      </c>
      <c r="B732" t="s">
        <v>747</v>
      </c>
      <c r="C732" s="2">
        <v>45836</v>
      </c>
      <c r="D732" s="2">
        <v>45841</v>
      </c>
      <c r="E732" t="s">
        <v>1017</v>
      </c>
      <c r="F732" t="s">
        <v>1095</v>
      </c>
      <c r="G732" t="s">
        <v>1280</v>
      </c>
      <c r="H732" t="s">
        <v>1289</v>
      </c>
      <c r="I732" t="s">
        <v>1291</v>
      </c>
      <c r="J732" t="s">
        <v>1302</v>
      </c>
      <c r="K732" t="s">
        <v>1306</v>
      </c>
      <c r="L732" t="s">
        <v>1321</v>
      </c>
      <c r="M732">
        <v>3</v>
      </c>
      <c r="N732">
        <v>0.1</v>
      </c>
      <c r="O732">
        <v>1222.1400000000001</v>
      </c>
      <c r="P732">
        <v>216.41</v>
      </c>
      <c r="Q732" t="s">
        <v>1331</v>
      </c>
      <c r="R732" t="b">
        <f t="shared" si="34"/>
        <v>0</v>
      </c>
      <c r="S732" t="b">
        <f t="shared" si="35"/>
        <v>0</v>
      </c>
      <c r="T732" t="b">
        <f t="shared" si="36"/>
        <v>0</v>
      </c>
    </row>
    <row r="733" spans="1:20" x14ac:dyDescent="0.3">
      <c r="A733">
        <v>732</v>
      </c>
      <c r="B733" t="s">
        <v>748</v>
      </c>
      <c r="C733" s="2">
        <v>45778</v>
      </c>
      <c r="D733" s="2">
        <v>45780</v>
      </c>
      <c r="E733" t="s">
        <v>1017</v>
      </c>
      <c r="F733" t="s">
        <v>1059</v>
      </c>
      <c r="G733" t="s">
        <v>1273</v>
      </c>
      <c r="H733" t="s">
        <v>1288</v>
      </c>
      <c r="I733" t="s">
        <v>1293</v>
      </c>
      <c r="J733" t="s">
        <v>1304</v>
      </c>
      <c r="K733" t="s">
        <v>1307</v>
      </c>
      <c r="L733" t="s">
        <v>1315</v>
      </c>
      <c r="M733">
        <v>2</v>
      </c>
      <c r="N733">
        <v>0.15</v>
      </c>
      <c r="O733">
        <v>3076.4</v>
      </c>
      <c r="P733">
        <v>462.72</v>
      </c>
      <c r="Q733" t="s">
        <v>1331</v>
      </c>
      <c r="R733" t="b">
        <f t="shared" si="34"/>
        <v>0</v>
      </c>
      <c r="S733" t="b">
        <f t="shared" si="35"/>
        <v>0</v>
      </c>
      <c r="T733" t="b">
        <f t="shared" si="36"/>
        <v>0</v>
      </c>
    </row>
    <row r="734" spans="1:20" x14ac:dyDescent="0.3">
      <c r="A734">
        <v>733</v>
      </c>
      <c r="B734" t="s">
        <v>749</v>
      </c>
      <c r="C734" s="2">
        <v>45844</v>
      </c>
      <c r="D734" s="2">
        <v>45845</v>
      </c>
      <c r="E734" t="s">
        <v>1018</v>
      </c>
      <c r="F734" t="s">
        <v>1131</v>
      </c>
      <c r="G734" t="s">
        <v>1272</v>
      </c>
      <c r="H734" t="s">
        <v>1287</v>
      </c>
      <c r="I734" t="s">
        <v>1296</v>
      </c>
      <c r="J734" t="s">
        <v>1304</v>
      </c>
      <c r="K734" t="s">
        <v>1306</v>
      </c>
      <c r="L734" t="s">
        <v>1323</v>
      </c>
      <c r="M734">
        <v>1</v>
      </c>
      <c r="N734">
        <v>0.05</v>
      </c>
      <c r="O734">
        <v>172.69</v>
      </c>
      <c r="P734">
        <v>50.56</v>
      </c>
      <c r="Q734" t="s">
        <v>1333</v>
      </c>
      <c r="R734" t="b">
        <f t="shared" si="34"/>
        <v>0</v>
      </c>
      <c r="S734" t="b">
        <f t="shared" si="35"/>
        <v>0</v>
      </c>
      <c r="T734" t="b">
        <f t="shared" si="36"/>
        <v>0</v>
      </c>
    </row>
    <row r="735" spans="1:20" x14ac:dyDescent="0.3">
      <c r="A735">
        <v>734</v>
      </c>
      <c r="B735" t="s">
        <v>750</v>
      </c>
      <c r="C735" s="2">
        <v>45719</v>
      </c>
      <c r="D735" s="2">
        <v>45724</v>
      </c>
      <c r="E735" t="s">
        <v>1017</v>
      </c>
      <c r="F735" t="s">
        <v>1054</v>
      </c>
      <c r="G735" t="s">
        <v>1279</v>
      </c>
      <c r="H735" t="s">
        <v>1287</v>
      </c>
      <c r="I735" t="s">
        <v>1294</v>
      </c>
      <c r="J735" t="s">
        <v>1305</v>
      </c>
      <c r="K735" t="s">
        <v>1309</v>
      </c>
      <c r="L735" t="s">
        <v>1329</v>
      </c>
      <c r="M735">
        <v>2</v>
      </c>
      <c r="N735">
        <v>0.2</v>
      </c>
      <c r="O735">
        <v>2899.09</v>
      </c>
      <c r="P735">
        <v>330.5</v>
      </c>
      <c r="Q735" t="s">
        <v>1333</v>
      </c>
      <c r="R735" t="b">
        <f t="shared" si="34"/>
        <v>0</v>
      </c>
      <c r="S735" t="b">
        <f t="shared" si="35"/>
        <v>0</v>
      </c>
      <c r="T735" t="b">
        <f t="shared" si="36"/>
        <v>0</v>
      </c>
    </row>
    <row r="736" spans="1:20" x14ac:dyDescent="0.3">
      <c r="A736">
        <v>735</v>
      </c>
      <c r="B736" t="s">
        <v>751</v>
      </c>
      <c r="C736" s="2">
        <v>45881</v>
      </c>
      <c r="D736" s="2">
        <v>45886</v>
      </c>
      <c r="E736" t="s">
        <v>1017</v>
      </c>
      <c r="F736" t="s">
        <v>1033</v>
      </c>
      <c r="G736" t="s">
        <v>1283</v>
      </c>
      <c r="H736" t="s">
        <v>1289</v>
      </c>
      <c r="I736" t="s">
        <v>1301</v>
      </c>
      <c r="J736" t="s">
        <v>1303</v>
      </c>
      <c r="K736" t="s">
        <v>1306</v>
      </c>
      <c r="L736" t="s">
        <v>1323</v>
      </c>
      <c r="M736">
        <v>3</v>
      </c>
      <c r="N736">
        <v>0</v>
      </c>
      <c r="O736">
        <v>565.71</v>
      </c>
      <c r="P736">
        <v>203.17</v>
      </c>
      <c r="Q736" t="s">
        <v>1330</v>
      </c>
      <c r="R736" t="b">
        <f t="shared" si="34"/>
        <v>0</v>
      </c>
      <c r="S736" t="b">
        <f t="shared" si="35"/>
        <v>0</v>
      </c>
      <c r="T736" t="b">
        <f t="shared" si="36"/>
        <v>0</v>
      </c>
    </row>
    <row r="737" spans="1:20" x14ac:dyDescent="0.3">
      <c r="A737">
        <v>736</v>
      </c>
      <c r="B737" t="s">
        <v>752</v>
      </c>
      <c r="C737" s="2">
        <v>45800</v>
      </c>
      <c r="D737" s="2">
        <v>45801</v>
      </c>
      <c r="E737" t="s">
        <v>1018</v>
      </c>
      <c r="F737" t="s">
        <v>1091</v>
      </c>
      <c r="G737" t="s">
        <v>1267</v>
      </c>
      <c r="H737" t="s">
        <v>1289</v>
      </c>
      <c r="I737" t="s">
        <v>1293</v>
      </c>
      <c r="J737" t="s">
        <v>1304</v>
      </c>
      <c r="K737" t="s">
        <v>1306</v>
      </c>
      <c r="L737" t="s">
        <v>1321</v>
      </c>
      <c r="M737">
        <v>4</v>
      </c>
      <c r="N737">
        <v>0.25</v>
      </c>
      <c r="O737">
        <v>1330.8</v>
      </c>
      <c r="P737">
        <v>-124.19</v>
      </c>
      <c r="Q737" t="s">
        <v>1334</v>
      </c>
      <c r="R737" t="b">
        <f t="shared" si="34"/>
        <v>0</v>
      </c>
      <c r="S737" t="b">
        <f t="shared" si="35"/>
        <v>0</v>
      </c>
      <c r="T737" t="b">
        <f t="shared" si="36"/>
        <v>0</v>
      </c>
    </row>
    <row r="738" spans="1:20" x14ac:dyDescent="0.3">
      <c r="A738">
        <v>737</v>
      </c>
      <c r="B738" t="s">
        <v>753</v>
      </c>
      <c r="C738" s="2">
        <v>45798</v>
      </c>
      <c r="D738" s="2">
        <v>45802</v>
      </c>
      <c r="E738" t="s">
        <v>1018</v>
      </c>
      <c r="F738" t="s">
        <v>1173</v>
      </c>
      <c r="G738" t="s">
        <v>1273</v>
      </c>
      <c r="H738" t="s">
        <v>1287</v>
      </c>
      <c r="I738" t="s">
        <v>1300</v>
      </c>
      <c r="J738" t="s">
        <v>1305</v>
      </c>
      <c r="K738" t="s">
        <v>1307</v>
      </c>
      <c r="L738" t="s">
        <v>1314</v>
      </c>
      <c r="M738">
        <v>2</v>
      </c>
      <c r="N738">
        <v>0.05</v>
      </c>
      <c r="O738">
        <v>1627.9</v>
      </c>
      <c r="P738">
        <v>465.74</v>
      </c>
      <c r="Q738" t="s">
        <v>1332</v>
      </c>
      <c r="R738" t="b">
        <f t="shared" si="34"/>
        <v>0</v>
      </c>
      <c r="S738" t="b">
        <f t="shared" si="35"/>
        <v>0</v>
      </c>
      <c r="T738" t="b">
        <f t="shared" si="36"/>
        <v>0</v>
      </c>
    </row>
    <row r="739" spans="1:20" x14ac:dyDescent="0.3">
      <c r="A739">
        <v>738</v>
      </c>
      <c r="B739" t="s">
        <v>754</v>
      </c>
      <c r="C739" s="2">
        <v>45798</v>
      </c>
      <c r="D739" s="2">
        <v>45803</v>
      </c>
      <c r="E739" t="s">
        <v>1017</v>
      </c>
      <c r="F739" t="s">
        <v>1179</v>
      </c>
      <c r="G739" t="s">
        <v>1280</v>
      </c>
      <c r="H739" t="s">
        <v>1289</v>
      </c>
      <c r="I739" t="s">
        <v>1291</v>
      </c>
      <c r="J739" t="s">
        <v>1302</v>
      </c>
      <c r="K739" t="s">
        <v>1307</v>
      </c>
      <c r="L739" t="s">
        <v>1311</v>
      </c>
      <c r="M739">
        <v>3</v>
      </c>
      <c r="N739">
        <v>0.15</v>
      </c>
      <c r="O739">
        <v>749.55</v>
      </c>
      <c r="P739">
        <v>57.97</v>
      </c>
      <c r="Q739" t="s">
        <v>1334</v>
      </c>
      <c r="R739" t="b">
        <f t="shared" si="34"/>
        <v>0</v>
      </c>
      <c r="S739" t="b">
        <f t="shared" si="35"/>
        <v>0</v>
      </c>
      <c r="T739" t="b">
        <f t="shared" si="36"/>
        <v>0</v>
      </c>
    </row>
    <row r="740" spans="1:20" x14ac:dyDescent="0.3">
      <c r="A740">
        <v>739</v>
      </c>
      <c r="B740" t="s">
        <v>755</v>
      </c>
      <c r="C740" s="2">
        <v>46017</v>
      </c>
      <c r="D740" s="2">
        <v>46022</v>
      </c>
      <c r="E740" t="s">
        <v>1017</v>
      </c>
      <c r="F740" t="s">
        <v>1026</v>
      </c>
      <c r="G740" t="s">
        <v>1283</v>
      </c>
      <c r="H740" t="s">
        <v>1288</v>
      </c>
      <c r="I740" t="s">
        <v>1293</v>
      </c>
      <c r="J740" t="s">
        <v>1304</v>
      </c>
      <c r="K740" t="s">
        <v>1309</v>
      </c>
      <c r="L740" t="s">
        <v>1313</v>
      </c>
      <c r="M740">
        <v>1</v>
      </c>
      <c r="N740">
        <v>0.1</v>
      </c>
      <c r="O740">
        <v>1399.3</v>
      </c>
      <c r="P740">
        <v>383.3</v>
      </c>
      <c r="Q740" t="s">
        <v>1333</v>
      </c>
      <c r="R740" t="b">
        <f t="shared" si="34"/>
        <v>0</v>
      </c>
      <c r="S740" t="b">
        <f t="shared" si="35"/>
        <v>0</v>
      </c>
      <c r="T740" t="b">
        <f t="shared" si="36"/>
        <v>0</v>
      </c>
    </row>
    <row r="741" spans="1:20" x14ac:dyDescent="0.3">
      <c r="A741">
        <v>740</v>
      </c>
      <c r="B741" t="s">
        <v>756</v>
      </c>
      <c r="C741" s="2">
        <v>46022</v>
      </c>
      <c r="D741" s="2">
        <v>46023</v>
      </c>
      <c r="E741" t="s">
        <v>1017</v>
      </c>
      <c r="F741" t="s">
        <v>1063</v>
      </c>
      <c r="G741" t="s">
        <v>1285</v>
      </c>
      <c r="H741" t="s">
        <v>1287</v>
      </c>
      <c r="I741" t="s">
        <v>1292</v>
      </c>
      <c r="J741" t="s">
        <v>1303</v>
      </c>
      <c r="K741" t="s">
        <v>1309</v>
      </c>
      <c r="L741" t="s">
        <v>1325</v>
      </c>
      <c r="M741">
        <v>1</v>
      </c>
      <c r="N741">
        <v>0.05</v>
      </c>
      <c r="O741">
        <v>1225.76</v>
      </c>
      <c r="P741">
        <v>292.27999999999997</v>
      </c>
      <c r="Q741" t="s">
        <v>1333</v>
      </c>
      <c r="R741" t="b">
        <f t="shared" si="34"/>
        <v>0</v>
      </c>
      <c r="S741" t="b">
        <f t="shared" si="35"/>
        <v>0</v>
      </c>
      <c r="T741" t="b">
        <f t="shared" si="36"/>
        <v>0</v>
      </c>
    </row>
    <row r="742" spans="1:20" x14ac:dyDescent="0.3">
      <c r="A742">
        <v>741</v>
      </c>
      <c r="B742" t="s">
        <v>757</v>
      </c>
      <c r="C742" s="2">
        <v>45960</v>
      </c>
      <c r="D742" s="2">
        <v>45962</v>
      </c>
      <c r="E742" t="s">
        <v>1018</v>
      </c>
      <c r="F742" t="s">
        <v>1097</v>
      </c>
      <c r="G742" t="s">
        <v>1277</v>
      </c>
      <c r="H742" t="s">
        <v>1289</v>
      </c>
      <c r="I742" t="s">
        <v>1296</v>
      </c>
      <c r="J742" t="s">
        <v>1304</v>
      </c>
      <c r="K742" t="s">
        <v>1306</v>
      </c>
      <c r="L742" t="s">
        <v>1324</v>
      </c>
      <c r="M742">
        <v>2</v>
      </c>
      <c r="N742">
        <v>0.1</v>
      </c>
      <c r="O742">
        <v>160.34</v>
      </c>
      <c r="P742">
        <v>33.33</v>
      </c>
      <c r="Q742" t="s">
        <v>1332</v>
      </c>
      <c r="R742" t="b">
        <f t="shared" si="34"/>
        <v>0</v>
      </c>
      <c r="S742" t="b">
        <f t="shared" si="35"/>
        <v>0</v>
      </c>
      <c r="T742" t="b">
        <f t="shared" si="36"/>
        <v>0</v>
      </c>
    </row>
    <row r="743" spans="1:20" x14ac:dyDescent="0.3">
      <c r="A743">
        <v>742</v>
      </c>
      <c r="B743" t="s">
        <v>758</v>
      </c>
      <c r="C743" s="2">
        <v>45725</v>
      </c>
      <c r="D743" s="2">
        <v>45730</v>
      </c>
      <c r="E743" t="s">
        <v>1017</v>
      </c>
      <c r="F743" t="s">
        <v>1148</v>
      </c>
      <c r="G743" t="s">
        <v>1277</v>
      </c>
      <c r="H743" t="s">
        <v>1288</v>
      </c>
      <c r="I743" t="s">
        <v>1300</v>
      </c>
      <c r="J743" t="s">
        <v>1305</v>
      </c>
      <c r="K743" t="s">
        <v>1308</v>
      </c>
      <c r="L743" t="s">
        <v>1326</v>
      </c>
      <c r="M743">
        <v>4</v>
      </c>
      <c r="N743">
        <v>0</v>
      </c>
      <c r="O743">
        <v>28526.83</v>
      </c>
      <c r="P743">
        <v>7366.07</v>
      </c>
      <c r="Q743" t="s">
        <v>1333</v>
      </c>
      <c r="R743" t="b">
        <f t="shared" si="34"/>
        <v>0</v>
      </c>
      <c r="S743" t="b">
        <f t="shared" si="35"/>
        <v>0</v>
      </c>
      <c r="T743" t="b">
        <f t="shared" si="36"/>
        <v>0</v>
      </c>
    </row>
    <row r="744" spans="1:20" x14ac:dyDescent="0.3">
      <c r="A744">
        <v>743</v>
      </c>
      <c r="B744" t="s">
        <v>759</v>
      </c>
      <c r="C744" s="2">
        <v>46019</v>
      </c>
      <c r="D744" s="2">
        <v>46024</v>
      </c>
      <c r="E744" t="s">
        <v>1018</v>
      </c>
      <c r="F744" t="s">
        <v>1204</v>
      </c>
      <c r="G744" t="s">
        <v>1279</v>
      </c>
      <c r="H744" t="s">
        <v>1287</v>
      </c>
      <c r="I744" t="s">
        <v>1293</v>
      </c>
      <c r="J744" t="s">
        <v>1304</v>
      </c>
      <c r="K744" t="s">
        <v>1307</v>
      </c>
      <c r="L744" t="s">
        <v>1322</v>
      </c>
      <c r="M744">
        <v>4</v>
      </c>
      <c r="N744">
        <v>0.1</v>
      </c>
      <c r="O744">
        <v>2398.4699999999998</v>
      </c>
      <c r="P744">
        <v>569.74</v>
      </c>
      <c r="Q744" t="s">
        <v>1334</v>
      </c>
      <c r="R744" t="b">
        <f t="shared" si="34"/>
        <v>0</v>
      </c>
      <c r="S744" t="b">
        <f t="shared" si="35"/>
        <v>0</v>
      </c>
      <c r="T744" t="b">
        <f t="shared" si="36"/>
        <v>0</v>
      </c>
    </row>
    <row r="745" spans="1:20" x14ac:dyDescent="0.3">
      <c r="A745">
        <v>744</v>
      </c>
      <c r="B745" t="s">
        <v>760</v>
      </c>
      <c r="C745" s="2">
        <v>45725</v>
      </c>
      <c r="D745" s="2">
        <v>45730</v>
      </c>
      <c r="E745" t="s">
        <v>1017</v>
      </c>
      <c r="F745" t="s">
        <v>1134</v>
      </c>
      <c r="G745" t="s">
        <v>1275</v>
      </c>
      <c r="H745" t="s">
        <v>1287</v>
      </c>
      <c r="I745" t="s">
        <v>1291</v>
      </c>
      <c r="J745" t="s">
        <v>1302</v>
      </c>
      <c r="K745" t="s">
        <v>1307</v>
      </c>
      <c r="L745" t="s">
        <v>1311</v>
      </c>
      <c r="M745">
        <v>2</v>
      </c>
      <c r="N745">
        <v>0.2</v>
      </c>
      <c r="O745">
        <v>469.33</v>
      </c>
      <c r="P745">
        <v>20.100000000000001</v>
      </c>
      <c r="Q745" t="s">
        <v>1333</v>
      </c>
      <c r="R745" t="b">
        <f t="shared" si="34"/>
        <v>0</v>
      </c>
      <c r="S745" t="b">
        <f t="shared" si="35"/>
        <v>0</v>
      </c>
      <c r="T745" t="b">
        <f t="shared" si="36"/>
        <v>0</v>
      </c>
    </row>
    <row r="746" spans="1:20" x14ac:dyDescent="0.3">
      <c r="A746">
        <v>745</v>
      </c>
      <c r="B746" t="s">
        <v>761</v>
      </c>
      <c r="C746" s="2">
        <v>45699</v>
      </c>
      <c r="D746" s="2">
        <v>45700</v>
      </c>
      <c r="E746" t="s">
        <v>1017</v>
      </c>
      <c r="F746" t="s">
        <v>1073</v>
      </c>
      <c r="G746" t="s">
        <v>1274</v>
      </c>
      <c r="H746" t="s">
        <v>1287</v>
      </c>
      <c r="I746" t="s">
        <v>1300</v>
      </c>
      <c r="J746" t="s">
        <v>1305</v>
      </c>
      <c r="K746" t="s">
        <v>1309</v>
      </c>
      <c r="L746" t="s">
        <v>1329</v>
      </c>
      <c r="M746">
        <v>1</v>
      </c>
      <c r="N746">
        <v>0.1</v>
      </c>
      <c r="O746">
        <v>1715.07</v>
      </c>
      <c r="P746">
        <v>405.33</v>
      </c>
      <c r="Q746" t="s">
        <v>1331</v>
      </c>
      <c r="R746" t="b">
        <f t="shared" si="34"/>
        <v>0</v>
      </c>
      <c r="S746" t="b">
        <f t="shared" si="35"/>
        <v>0</v>
      </c>
      <c r="T746" t="b">
        <f t="shared" si="36"/>
        <v>0</v>
      </c>
    </row>
    <row r="747" spans="1:20" x14ac:dyDescent="0.3">
      <c r="A747">
        <v>746</v>
      </c>
      <c r="B747" t="s">
        <v>762</v>
      </c>
      <c r="C747" s="2">
        <v>45964</v>
      </c>
      <c r="D747" s="2">
        <v>45969</v>
      </c>
      <c r="E747" t="s">
        <v>1017</v>
      </c>
      <c r="F747" t="s">
        <v>1105</v>
      </c>
      <c r="G747" t="s">
        <v>1275</v>
      </c>
      <c r="H747" t="s">
        <v>1288</v>
      </c>
      <c r="I747" t="s">
        <v>1298</v>
      </c>
      <c r="J747" t="s">
        <v>1303</v>
      </c>
      <c r="K747" t="s">
        <v>1307</v>
      </c>
      <c r="L747" t="s">
        <v>1316</v>
      </c>
      <c r="M747">
        <v>2</v>
      </c>
      <c r="N747">
        <v>0.1</v>
      </c>
      <c r="O747">
        <v>853.81</v>
      </c>
      <c r="P747">
        <v>149.36000000000001</v>
      </c>
      <c r="Q747" t="s">
        <v>1333</v>
      </c>
      <c r="R747" t="b">
        <f t="shared" si="34"/>
        <v>0</v>
      </c>
      <c r="S747" t="b">
        <f t="shared" si="35"/>
        <v>0</v>
      </c>
      <c r="T747" t="b">
        <f t="shared" si="36"/>
        <v>0</v>
      </c>
    </row>
    <row r="748" spans="1:20" x14ac:dyDescent="0.3">
      <c r="A748">
        <v>747</v>
      </c>
      <c r="B748" t="s">
        <v>763</v>
      </c>
      <c r="C748" s="2">
        <v>45704</v>
      </c>
      <c r="D748" s="2">
        <v>45708</v>
      </c>
      <c r="E748" t="s">
        <v>1018</v>
      </c>
      <c r="F748" t="s">
        <v>1169</v>
      </c>
      <c r="G748" t="s">
        <v>1286</v>
      </c>
      <c r="H748" t="s">
        <v>1287</v>
      </c>
      <c r="I748" t="s">
        <v>1298</v>
      </c>
      <c r="J748" t="s">
        <v>1303</v>
      </c>
      <c r="K748" t="s">
        <v>1307</v>
      </c>
      <c r="L748" t="s">
        <v>1315</v>
      </c>
      <c r="M748">
        <v>1</v>
      </c>
      <c r="N748">
        <v>0.25</v>
      </c>
      <c r="O748">
        <v>1283.9000000000001</v>
      </c>
      <c r="P748">
        <v>-167.48</v>
      </c>
      <c r="Q748" t="s">
        <v>1332</v>
      </c>
      <c r="R748" t="b">
        <f t="shared" si="34"/>
        <v>0</v>
      </c>
      <c r="S748" t="b">
        <f t="shared" si="35"/>
        <v>0</v>
      </c>
      <c r="T748" t="b">
        <f t="shared" si="36"/>
        <v>0</v>
      </c>
    </row>
    <row r="749" spans="1:20" x14ac:dyDescent="0.3">
      <c r="A749">
        <v>748</v>
      </c>
      <c r="B749" t="s">
        <v>764</v>
      </c>
      <c r="C749" s="2">
        <v>45949</v>
      </c>
      <c r="D749" s="2">
        <v>45952</v>
      </c>
      <c r="E749" t="s">
        <v>1018</v>
      </c>
      <c r="F749" t="s">
        <v>1040</v>
      </c>
      <c r="G749" t="s">
        <v>1272</v>
      </c>
      <c r="H749" t="s">
        <v>1287</v>
      </c>
      <c r="I749" t="s">
        <v>1299</v>
      </c>
      <c r="J749" t="s">
        <v>1304</v>
      </c>
      <c r="K749" t="s">
        <v>1307</v>
      </c>
      <c r="L749" t="s">
        <v>1322</v>
      </c>
      <c r="M749">
        <v>2</v>
      </c>
      <c r="N749">
        <v>0.2</v>
      </c>
      <c r="O749">
        <v>1107.7</v>
      </c>
      <c r="P749">
        <v>195.65</v>
      </c>
      <c r="Q749" t="s">
        <v>1331</v>
      </c>
      <c r="R749" t="b">
        <f t="shared" si="34"/>
        <v>0</v>
      </c>
      <c r="S749" t="b">
        <f t="shared" si="35"/>
        <v>0</v>
      </c>
      <c r="T749" t="b">
        <f t="shared" si="36"/>
        <v>0</v>
      </c>
    </row>
    <row r="750" spans="1:20" x14ac:dyDescent="0.3">
      <c r="A750">
        <v>749</v>
      </c>
      <c r="B750" t="s">
        <v>765</v>
      </c>
      <c r="C750" s="2">
        <v>45681</v>
      </c>
      <c r="D750" s="2">
        <v>45684</v>
      </c>
      <c r="E750" t="s">
        <v>1017</v>
      </c>
      <c r="F750" t="s">
        <v>1196</v>
      </c>
      <c r="G750" t="s">
        <v>1270</v>
      </c>
      <c r="H750" t="s">
        <v>1288</v>
      </c>
      <c r="I750" t="s">
        <v>1296</v>
      </c>
      <c r="J750" t="s">
        <v>1304</v>
      </c>
      <c r="K750" t="s">
        <v>1308</v>
      </c>
      <c r="L750" t="s">
        <v>1318</v>
      </c>
      <c r="M750">
        <v>2</v>
      </c>
      <c r="N750">
        <v>0.1</v>
      </c>
      <c r="O750">
        <v>10304.81</v>
      </c>
      <c r="P750">
        <v>1623.97</v>
      </c>
      <c r="Q750" t="s">
        <v>1333</v>
      </c>
      <c r="R750" t="b">
        <f t="shared" si="34"/>
        <v>0</v>
      </c>
      <c r="S750" t="b">
        <f t="shared" si="35"/>
        <v>0</v>
      </c>
      <c r="T750" t="b">
        <f t="shared" si="36"/>
        <v>0</v>
      </c>
    </row>
    <row r="751" spans="1:20" x14ac:dyDescent="0.3">
      <c r="A751">
        <v>750</v>
      </c>
      <c r="B751" t="s">
        <v>766</v>
      </c>
      <c r="C751" s="2">
        <v>45913</v>
      </c>
      <c r="D751" s="2">
        <v>45917</v>
      </c>
      <c r="E751" t="s">
        <v>1017</v>
      </c>
      <c r="F751" t="s">
        <v>1233</v>
      </c>
      <c r="G751" t="s">
        <v>1268</v>
      </c>
      <c r="H751" t="s">
        <v>1287</v>
      </c>
      <c r="I751" t="s">
        <v>1296</v>
      </c>
      <c r="J751" t="s">
        <v>1304</v>
      </c>
      <c r="K751" t="s">
        <v>1309</v>
      </c>
      <c r="L751" t="s">
        <v>1329</v>
      </c>
      <c r="M751">
        <v>2</v>
      </c>
      <c r="N751">
        <v>0.1</v>
      </c>
      <c r="O751">
        <v>3334.83</v>
      </c>
      <c r="P751">
        <v>888.66</v>
      </c>
      <c r="Q751" t="s">
        <v>1332</v>
      </c>
      <c r="R751" t="b">
        <f t="shared" si="34"/>
        <v>0</v>
      </c>
      <c r="S751" t="b">
        <f t="shared" si="35"/>
        <v>0</v>
      </c>
      <c r="T751" t="b">
        <f t="shared" si="36"/>
        <v>0</v>
      </c>
    </row>
    <row r="752" spans="1:20" x14ac:dyDescent="0.3">
      <c r="A752">
        <v>751</v>
      </c>
      <c r="B752" t="s">
        <v>767</v>
      </c>
      <c r="C752" s="2">
        <v>45893</v>
      </c>
      <c r="D752" s="2">
        <v>45895</v>
      </c>
      <c r="E752" t="s">
        <v>1018</v>
      </c>
      <c r="F752" t="s">
        <v>1122</v>
      </c>
      <c r="G752" t="s">
        <v>1284</v>
      </c>
      <c r="H752" t="s">
        <v>1289</v>
      </c>
      <c r="I752" t="s">
        <v>1290</v>
      </c>
      <c r="J752" t="s">
        <v>1302</v>
      </c>
      <c r="K752" t="s">
        <v>1309</v>
      </c>
      <c r="L752" t="s">
        <v>1313</v>
      </c>
      <c r="M752">
        <v>1</v>
      </c>
      <c r="N752">
        <v>0</v>
      </c>
      <c r="O752">
        <v>1528.3</v>
      </c>
      <c r="P752">
        <v>389.47</v>
      </c>
      <c r="Q752" t="s">
        <v>1333</v>
      </c>
      <c r="R752" t="b">
        <f t="shared" si="34"/>
        <v>0</v>
      </c>
      <c r="S752" t="b">
        <f t="shared" si="35"/>
        <v>0</v>
      </c>
      <c r="T752" t="b">
        <f t="shared" si="36"/>
        <v>0</v>
      </c>
    </row>
    <row r="753" spans="1:20" x14ac:dyDescent="0.3">
      <c r="A753">
        <v>752</v>
      </c>
      <c r="B753" t="s">
        <v>768</v>
      </c>
      <c r="C753" s="2">
        <v>45936</v>
      </c>
      <c r="D753" s="2">
        <v>45940</v>
      </c>
      <c r="E753" t="s">
        <v>1018</v>
      </c>
      <c r="F753" t="s">
        <v>1210</v>
      </c>
      <c r="G753" t="s">
        <v>1272</v>
      </c>
      <c r="H753" t="s">
        <v>1289</v>
      </c>
      <c r="I753" t="s">
        <v>1294</v>
      </c>
      <c r="J753" t="s">
        <v>1305</v>
      </c>
      <c r="K753" t="s">
        <v>1306</v>
      </c>
      <c r="L753" t="s">
        <v>1310</v>
      </c>
      <c r="M753">
        <v>4</v>
      </c>
      <c r="N753">
        <v>0.1</v>
      </c>
      <c r="O753">
        <v>2273.61</v>
      </c>
      <c r="P753">
        <v>241.87</v>
      </c>
      <c r="Q753" t="s">
        <v>1331</v>
      </c>
      <c r="R753" t="b">
        <f t="shared" si="34"/>
        <v>0</v>
      </c>
      <c r="S753" t="b">
        <f t="shared" si="35"/>
        <v>0</v>
      </c>
      <c r="T753" t="b">
        <f t="shared" si="36"/>
        <v>0</v>
      </c>
    </row>
    <row r="754" spans="1:20" x14ac:dyDescent="0.3">
      <c r="A754">
        <v>753</v>
      </c>
      <c r="B754" t="s">
        <v>769</v>
      </c>
      <c r="C754" s="2">
        <v>45785</v>
      </c>
      <c r="D754" s="2">
        <v>45788</v>
      </c>
      <c r="E754" t="s">
        <v>1017</v>
      </c>
      <c r="F754" t="s">
        <v>1022</v>
      </c>
      <c r="G754" t="s">
        <v>1269</v>
      </c>
      <c r="H754" t="s">
        <v>1287</v>
      </c>
      <c r="I754" t="s">
        <v>1290</v>
      </c>
      <c r="J754" t="s">
        <v>1302</v>
      </c>
      <c r="K754" t="s">
        <v>1309</v>
      </c>
      <c r="L754" t="s">
        <v>1320</v>
      </c>
      <c r="M754">
        <v>3</v>
      </c>
      <c r="N754">
        <v>0.1</v>
      </c>
      <c r="O754">
        <v>3171.4</v>
      </c>
      <c r="P754">
        <v>739.73</v>
      </c>
      <c r="Q754" t="s">
        <v>1333</v>
      </c>
      <c r="R754" t="b">
        <f t="shared" si="34"/>
        <v>0</v>
      </c>
      <c r="S754" t="b">
        <f t="shared" si="35"/>
        <v>0</v>
      </c>
      <c r="T754" t="b">
        <f t="shared" si="36"/>
        <v>0</v>
      </c>
    </row>
    <row r="755" spans="1:20" x14ac:dyDescent="0.3">
      <c r="A755">
        <v>754</v>
      </c>
      <c r="B755" t="s">
        <v>770</v>
      </c>
      <c r="C755" s="2">
        <v>45905</v>
      </c>
      <c r="D755" s="2">
        <v>45906</v>
      </c>
      <c r="E755" t="s">
        <v>1017</v>
      </c>
      <c r="F755" t="s">
        <v>1210</v>
      </c>
      <c r="G755" t="s">
        <v>1273</v>
      </c>
      <c r="H755" t="s">
        <v>1288</v>
      </c>
      <c r="I755" t="s">
        <v>1300</v>
      </c>
      <c r="J755" t="s">
        <v>1305</v>
      </c>
      <c r="K755" t="s">
        <v>1308</v>
      </c>
      <c r="L755" t="s">
        <v>1327</v>
      </c>
      <c r="M755">
        <v>1</v>
      </c>
      <c r="N755">
        <v>0.05</v>
      </c>
      <c r="O755">
        <v>1627.65</v>
      </c>
      <c r="P755">
        <v>483.56</v>
      </c>
      <c r="Q755" t="s">
        <v>1331</v>
      </c>
      <c r="R755" t="b">
        <f t="shared" si="34"/>
        <v>0</v>
      </c>
      <c r="S755" t="b">
        <f t="shared" si="35"/>
        <v>0</v>
      </c>
      <c r="T755" t="b">
        <f t="shared" si="36"/>
        <v>0</v>
      </c>
    </row>
    <row r="756" spans="1:20" x14ac:dyDescent="0.3">
      <c r="A756">
        <v>755</v>
      </c>
      <c r="B756" t="s">
        <v>771</v>
      </c>
      <c r="C756" s="2">
        <v>45885</v>
      </c>
      <c r="D756" s="2">
        <v>45887</v>
      </c>
      <c r="E756" t="s">
        <v>1017</v>
      </c>
      <c r="F756" t="s">
        <v>1258</v>
      </c>
      <c r="G756" t="s">
        <v>1268</v>
      </c>
      <c r="H756" t="s">
        <v>1289</v>
      </c>
      <c r="I756" t="s">
        <v>1297</v>
      </c>
      <c r="J756" t="s">
        <v>1304</v>
      </c>
      <c r="K756" t="s">
        <v>1307</v>
      </c>
      <c r="L756" t="s">
        <v>1314</v>
      </c>
      <c r="M756">
        <v>3</v>
      </c>
      <c r="N756">
        <v>0.1</v>
      </c>
      <c r="O756">
        <v>2430.2199999999998</v>
      </c>
      <c r="P756">
        <v>462.03</v>
      </c>
      <c r="Q756" t="s">
        <v>1330</v>
      </c>
      <c r="R756" t="b">
        <f t="shared" si="34"/>
        <v>0</v>
      </c>
      <c r="S756" t="b">
        <f t="shared" si="35"/>
        <v>0</v>
      </c>
      <c r="T756" t="b">
        <f t="shared" si="36"/>
        <v>0</v>
      </c>
    </row>
    <row r="757" spans="1:20" x14ac:dyDescent="0.3">
      <c r="A757">
        <v>756</v>
      </c>
      <c r="B757" t="s">
        <v>772</v>
      </c>
      <c r="C757" s="2">
        <v>45816</v>
      </c>
      <c r="D757" s="2">
        <v>45821</v>
      </c>
      <c r="E757" t="s">
        <v>1018</v>
      </c>
      <c r="F757" t="s">
        <v>1218</v>
      </c>
      <c r="G757" t="s">
        <v>1278</v>
      </c>
      <c r="H757" t="s">
        <v>1288</v>
      </c>
      <c r="I757" t="s">
        <v>1291</v>
      </c>
      <c r="J757" t="s">
        <v>1302</v>
      </c>
      <c r="K757" t="s">
        <v>1307</v>
      </c>
      <c r="L757" t="s">
        <v>1322</v>
      </c>
      <c r="M757">
        <v>1</v>
      </c>
      <c r="N757">
        <v>0.05</v>
      </c>
      <c r="O757">
        <v>687.06</v>
      </c>
      <c r="P757">
        <v>183.06</v>
      </c>
      <c r="Q757" t="s">
        <v>1331</v>
      </c>
      <c r="R757" t="b">
        <f t="shared" si="34"/>
        <v>0</v>
      </c>
      <c r="S757" t="b">
        <f t="shared" si="35"/>
        <v>0</v>
      </c>
      <c r="T757" t="b">
        <f t="shared" si="36"/>
        <v>0</v>
      </c>
    </row>
    <row r="758" spans="1:20" x14ac:dyDescent="0.3">
      <c r="A758">
        <v>757</v>
      </c>
      <c r="B758" t="s">
        <v>773</v>
      </c>
      <c r="C758" s="2">
        <v>45955</v>
      </c>
      <c r="D758" s="2">
        <v>45959</v>
      </c>
      <c r="E758" t="s">
        <v>1018</v>
      </c>
      <c r="F758" t="s">
        <v>1151</v>
      </c>
      <c r="G758" t="s">
        <v>1280</v>
      </c>
      <c r="H758" t="s">
        <v>1288</v>
      </c>
      <c r="I758" t="s">
        <v>1301</v>
      </c>
      <c r="J758" t="s">
        <v>1303</v>
      </c>
      <c r="K758" t="s">
        <v>1306</v>
      </c>
      <c r="L758" t="s">
        <v>1310</v>
      </c>
      <c r="M758">
        <v>3</v>
      </c>
      <c r="N758">
        <v>0.1</v>
      </c>
      <c r="O758">
        <v>1772.93</v>
      </c>
      <c r="P758">
        <v>371.65</v>
      </c>
      <c r="Q758" t="s">
        <v>1331</v>
      </c>
      <c r="R758" t="b">
        <f t="shared" si="34"/>
        <v>0</v>
      </c>
      <c r="S758" t="b">
        <f t="shared" si="35"/>
        <v>0</v>
      </c>
      <c r="T758" t="b">
        <f t="shared" si="36"/>
        <v>0</v>
      </c>
    </row>
    <row r="759" spans="1:20" x14ac:dyDescent="0.3">
      <c r="A759">
        <v>758</v>
      </c>
      <c r="B759" t="s">
        <v>774</v>
      </c>
      <c r="C759" s="2">
        <v>45738</v>
      </c>
      <c r="D759" s="2">
        <v>45741</v>
      </c>
      <c r="E759" t="s">
        <v>1018</v>
      </c>
      <c r="F759" t="s">
        <v>1168</v>
      </c>
      <c r="G759" t="s">
        <v>1271</v>
      </c>
      <c r="H759" t="s">
        <v>1288</v>
      </c>
      <c r="I759" t="s">
        <v>1298</v>
      </c>
      <c r="J759" t="s">
        <v>1303</v>
      </c>
      <c r="K759" t="s">
        <v>1307</v>
      </c>
      <c r="L759" t="s">
        <v>1311</v>
      </c>
      <c r="M759">
        <v>2</v>
      </c>
      <c r="N759">
        <v>0</v>
      </c>
      <c r="O759">
        <v>580.54</v>
      </c>
      <c r="P759">
        <v>169.39</v>
      </c>
      <c r="Q759" t="s">
        <v>1333</v>
      </c>
      <c r="R759" t="b">
        <f t="shared" si="34"/>
        <v>0</v>
      </c>
      <c r="S759" t="b">
        <f t="shared" si="35"/>
        <v>0</v>
      </c>
      <c r="T759" t="b">
        <f t="shared" si="36"/>
        <v>0</v>
      </c>
    </row>
    <row r="760" spans="1:20" x14ac:dyDescent="0.3">
      <c r="A760">
        <v>759</v>
      </c>
      <c r="B760" t="s">
        <v>775</v>
      </c>
      <c r="C760" s="2">
        <v>45774</v>
      </c>
      <c r="D760" s="2">
        <v>45776</v>
      </c>
      <c r="E760" t="s">
        <v>1018</v>
      </c>
      <c r="F760" t="s">
        <v>1031</v>
      </c>
      <c r="G760" t="s">
        <v>1279</v>
      </c>
      <c r="H760" t="s">
        <v>1288</v>
      </c>
      <c r="I760" t="s">
        <v>1298</v>
      </c>
      <c r="J760" t="s">
        <v>1303</v>
      </c>
      <c r="K760" t="s">
        <v>1308</v>
      </c>
      <c r="L760" t="s">
        <v>1318</v>
      </c>
      <c r="M760">
        <v>1</v>
      </c>
      <c r="N760">
        <v>0.1</v>
      </c>
      <c r="O760">
        <v>5045.74</v>
      </c>
      <c r="P760">
        <v>1258.19</v>
      </c>
      <c r="Q760" t="s">
        <v>1331</v>
      </c>
      <c r="R760" t="b">
        <f t="shared" si="34"/>
        <v>0</v>
      </c>
      <c r="S760" t="b">
        <f t="shared" si="35"/>
        <v>0</v>
      </c>
      <c r="T760" t="b">
        <f t="shared" si="36"/>
        <v>0</v>
      </c>
    </row>
    <row r="761" spans="1:20" x14ac:dyDescent="0.3">
      <c r="A761">
        <v>760</v>
      </c>
      <c r="B761" t="s">
        <v>776</v>
      </c>
      <c r="C761" s="2">
        <v>45708</v>
      </c>
      <c r="D761" s="2">
        <v>45711</v>
      </c>
      <c r="E761" t="s">
        <v>1017</v>
      </c>
      <c r="F761" t="s">
        <v>1148</v>
      </c>
      <c r="G761" t="s">
        <v>1279</v>
      </c>
      <c r="H761" t="s">
        <v>1289</v>
      </c>
      <c r="I761" t="s">
        <v>1299</v>
      </c>
      <c r="J761" t="s">
        <v>1304</v>
      </c>
      <c r="K761" t="s">
        <v>1307</v>
      </c>
      <c r="L761" t="s">
        <v>1314</v>
      </c>
      <c r="M761">
        <v>1</v>
      </c>
      <c r="N761">
        <v>0.05</v>
      </c>
      <c r="O761">
        <v>841.05</v>
      </c>
      <c r="P761">
        <v>126.09</v>
      </c>
      <c r="Q761" t="s">
        <v>1331</v>
      </c>
      <c r="R761" t="b">
        <f t="shared" si="34"/>
        <v>0</v>
      </c>
      <c r="S761" t="b">
        <f t="shared" si="35"/>
        <v>0</v>
      </c>
      <c r="T761" t="b">
        <f t="shared" si="36"/>
        <v>0</v>
      </c>
    </row>
    <row r="762" spans="1:20" x14ac:dyDescent="0.3">
      <c r="A762">
        <v>761</v>
      </c>
      <c r="B762" t="s">
        <v>777</v>
      </c>
      <c r="C762" s="2">
        <v>45951</v>
      </c>
      <c r="D762" s="2">
        <v>45956</v>
      </c>
      <c r="E762" t="s">
        <v>1017</v>
      </c>
      <c r="F762" t="s">
        <v>1168</v>
      </c>
      <c r="G762" t="s">
        <v>1278</v>
      </c>
      <c r="H762" t="s">
        <v>1289</v>
      </c>
      <c r="I762" t="s">
        <v>1295</v>
      </c>
      <c r="J762" t="s">
        <v>1305</v>
      </c>
      <c r="K762" t="s">
        <v>1307</v>
      </c>
      <c r="L762" t="s">
        <v>1316</v>
      </c>
      <c r="M762">
        <v>2</v>
      </c>
      <c r="N762">
        <v>0.2</v>
      </c>
      <c r="O762">
        <v>773.97</v>
      </c>
      <c r="P762">
        <v>98.35</v>
      </c>
      <c r="Q762" t="s">
        <v>1332</v>
      </c>
      <c r="R762" t="b">
        <f t="shared" si="34"/>
        <v>0</v>
      </c>
      <c r="S762" t="b">
        <f t="shared" si="35"/>
        <v>0</v>
      </c>
      <c r="T762" t="b">
        <f t="shared" si="36"/>
        <v>0</v>
      </c>
    </row>
    <row r="763" spans="1:20" x14ac:dyDescent="0.3">
      <c r="A763">
        <v>762</v>
      </c>
      <c r="B763" t="s">
        <v>778</v>
      </c>
      <c r="C763" s="2">
        <v>45939</v>
      </c>
      <c r="D763" s="2">
        <v>45943</v>
      </c>
      <c r="E763" t="s">
        <v>1018</v>
      </c>
      <c r="F763" t="s">
        <v>1133</v>
      </c>
      <c r="G763" t="s">
        <v>1275</v>
      </c>
      <c r="H763" t="s">
        <v>1287</v>
      </c>
      <c r="I763" t="s">
        <v>1300</v>
      </c>
      <c r="J763" t="s">
        <v>1305</v>
      </c>
      <c r="K763" t="s">
        <v>1308</v>
      </c>
      <c r="L763" t="s">
        <v>1326</v>
      </c>
      <c r="M763">
        <v>4</v>
      </c>
      <c r="N763">
        <v>0</v>
      </c>
      <c r="O763">
        <v>28542.81</v>
      </c>
      <c r="P763">
        <v>8892.7099999999991</v>
      </c>
      <c r="Q763" t="s">
        <v>1330</v>
      </c>
      <c r="R763" t="b">
        <f t="shared" si="34"/>
        <v>0</v>
      </c>
      <c r="S763" t="b">
        <f t="shared" si="35"/>
        <v>0</v>
      </c>
      <c r="T763" t="b">
        <f t="shared" si="36"/>
        <v>0</v>
      </c>
    </row>
    <row r="764" spans="1:20" x14ac:dyDescent="0.3">
      <c r="A764">
        <v>763</v>
      </c>
      <c r="B764" t="s">
        <v>779</v>
      </c>
      <c r="C764" s="2">
        <v>45724</v>
      </c>
      <c r="D764" s="2">
        <v>45729</v>
      </c>
      <c r="E764" t="s">
        <v>1019</v>
      </c>
      <c r="F764" t="s">
        <v>1147</v>
      </c>
      <c r="G764" t="s">
        <v>1274</v>
      </c>
      <c r="H764" t="s">
        <v>1287</v>
      </c>
      <c r="I764" t="s">
        <v>1292</v>
      </c>
      <c r="J764" t="s">
        <v>1303</v>
      </c>
      <c r="K764" t="s">
        <v>1308</v>
      </c>
      <c r="L764" t="s">
        <v>1326</v>
      </c>
      <c r="M764">
        <v>4</v>
      </c>
      <c r="N764">
        <v>0.2</v>
      </c>
      <c r="O764">
        <v>22312.01</v>
      </c>
      <c r="P764">
        <v>1879.72</v>
      </c>
      <c r="Q764" t="s">
        <v>1331</v>
      </c>
      <c r="R764" t="b">
        <f t="shared" si="34"/>
        <v>0</v>
      </c>
      <c r="S764" t="b">
        <f t="shared" si="35"/>
        <v>0</v>
      </c>
      <c r="T764" t="b">
        <f t="shared" si="36"/>
        <v>0</v>
      </c>
    </row>
    <row r="765" spans="1:20" x14ac:dyDescent="0.3">
      <c r="A765">
        <v>764</v>
      </c>
      <c r="B765" t="s">
        <v>780</v>
      </c>
      <c r="C765" s="2">
        <v>45848</v>
      </c>
      <c r="D765" s="2">
        <v>45849</v>
      </c>
      <c r="E765" t="s">
        <v>1017</v>
      </c>
      <c r="F765" t="s">
        <v>1239</v>
      </c>
      <c r="G765" t="s">
        <v>1283</v>
      </c>
      <c r="H765" t="s">
        <v>1287</v>
      </c>
      <c r="I765" t="s">
        <v>1295</v>
      </c>
      <c r="J765" t="s">
        <v>1305</v>
      </c>
      <c r="K765" t="s">
        <v>1306</v>
      </c>
      <c r="L765" t="s">
        <v>1321</v>
      </c>
      <c r="M765">
        <v>1</v>
      </c>
      <c r="N765">
        <v>0.2</v>
      </c>
      <c r="O765">
        <v>353.24</v>
      </c>
      <c r="P765">
        <v>73.11</v>
      </c>
      <c r="Q765" t="s">
        <v>1333</v>
      </c>
      <c r="R765" t="b">
        <f t="shared" si="34"/>
        <v>0</v>
      </c>
      <c r="S765" t="b">
        <f t="shared" si="35"/>
        <v>0</v>
      </c>
      <c r="T765" t="b">
        <f t="shared" si="36"/>
        <v>0</v>
      </c>
    </row>
    <row r="766" spans="1:20" x14ac:dyDescent="0.3">
      <c r="A766">
        <v>765</v>
      </c>
      <c r="B766" t="s">
        <v>781</v>
      </c>
      <c r="C766" s="2">
        <v>45686</v>
      </c>
      <c r="D766" s="2">
        <v>45691</v>
      </c>
      <c r="E766" t="s">
        <v>1017</v>
      </c>
      <c r="F766" t="s">
        <v>1023</v>
      </c>
      <c r="G766" t="s">
        <v>1280</v>
      </c>
      <c r="H766" t="s">
        <v>1287</v>
      </c>
      <c r="I766" t="s">
        <v>1297</v>
      </c>
      <c r="J766" t="s">
        <v>1304</v>
      </c>
      <c r="K766" t="s">
        <v>1309</v>
      </c>
      <c r="L766" t="s">
        <v>1317</v>
      </c>
      <c r="M766">
        <v>3</v>
      </c>
      <c r="N766">
        <v>0</v>
      </c>
      <c r="O766">
        <v>2430.89</v>
      </c>
      <c r="P766">
        <v>575.54999999999995</v>
      </c>
      <c r="Q766" t="s">
        <v>1331</v>
      </c>
      <c r="R766" t="b">
        <f t="shared" si="34"/>
        <v>0</v>
      </c>
      <c r="S766" t="b">
        <f t="shared" si="35"/>
        <v>0</v>
      </c>
      <c r="T766" t="b">
        <f t="shared" si="36"/>
        <v>0</v>
      </c>
    </row>
    <row r="767" spans="1:20" x14ac:dyDescent="0.3">
      <c r="A767">
        <v>766</v>
      </c>
      <c r="B767" t="s">
        <v>782</v>
      </c>
      <c r="C767" s="2">
        <v>45813</v>
      </c>
      <c r="D767" s="2">
        <v>45815</v>
      </c>
      <c r="E767" t="s">
        <v>1019</v>
      </c>
      <c r="F767" t="s">
        <v>1164</v>
      </c>
      <c r="G767" t="s">
        <v>1281</v>
      </c>
      <c r="H767" t="s">
        <v>1289</v>
      </c>
      <c r="I767" t="s">
        <v>1294</v>
      </c>
      <c r="J767" t="s">
        <v>1305</v>
      </c>
      <c r="K767" t="s">
        <v>1308</v>
      </c>
      <c r="L767" t="s">
        <v>1318</v>
      </c>
      <c r="M767">
        <v>3</v>
      </c>
      <c r="N767">
        <v>0.05</v>
      </c>
      <c r="O767">
        <v>14981.81</v>
      </c>
      <c r="P767">
        <v>3851.85</v>
      </c>
      <c r="Q767" t="s">
        <v>1331</v>
      </c>
      <c r="R767" t="b">
        <f t="shared" si="34"/>
        <v>0</v>
      </c>
      <c r="S767" t="b">
        <f t="shared" si="35"/>
        <v>0</v>
      </c>
      <c r="T767" t="b">
        <f t="shared" si="36"/>
        <v>0</v>
      </c>
    </row>
    <row r="768" spans="1:20" x14ac:dyDescent="0.3">
      <c r="A768">
        <v>767</v>
      </c>
      <c r="B768" t="s">
        <v>783</v>
      </c>
      <c r="C768" s="2">
        <v>45663</v>
      </c>
      <c r="D768" s="2">
        <v>45665</v>
      </c>
      <c r="E768" t="s">
        <v>1019</v>
      </c>
      <c r="F768" t="s">
        <v>1140</v>
      </c>
      <c r="G768" t="s">
        <v>1271</v>
      </c>
      <c r="H768" t="s">
        <v>1288</v>
      </c>
      <c r="I768" t="s">
        <v>1291</v>
      </c>
      <c r="J768" t="s">
        <v>1302</v>
      </c>
      <c r="K768" t="s">
        <v>1308</v>
      </c>
      <c r="L768" t="s">
        <v>1312</v>
      </c>
      <c r="M768">
        <v>1</v>
      </c>
      <c r="N768">
        <v>0.15</v>
      </c>
      <c r="O768">
        <v>1127.8</v>
      </c>
      <c r="P768">
        <v>304.36</v>
      </c>
      <c r="Q768" t="s">
        <v>1333</v>
      </c>
      <c r="R768" t="b">
        <f t="shared" si="34"/>
        <v>0</v>
      </c>
      <c r="S768" t="b">
        <f t="shared" si="35"/>
        <v>0</v>
      </c>
      <c r="T768" t="b">
        <f t="shared" si="36"/>
        <v>0</v>
      </c>
    </row>
    <row r="769" spans="1:20" x14ac:dyDescent="0.3">
      <c r="A769">
        <v>768</v>
      </c>
      <c r="B769" t="s">
        <v>784</v>
      </c>
      <c r="C769" s="2">
        <v>45807</v>
      </c>
      <c r="D769" s="2">
        <v>45810</v>
      </c>
      <c r="E769" t="s">
        <v>1018</v>
      </c>
      <c r="F769" t="s">
        <v>1119</v>
      </c>
      <c r="G769" t="s">
        <v>1275</v>
      </c>
      <c r="H769" t="s">
        <v>1289</v>
      </c>
      <c r="I769" t="s">
        <v>1294</v>
      </c>
      <c r="J769" t="s">
        <v>1305</v>
      </c>
      <c r="K769" t="s">
        <v>1309</v>
      </c>
      <c r="L769" t="s">
        <v>1313</v>
      </c>
      <c r="M769">
        <v>2</v>
      </c>
      <c r="N769">
        <v>0.1</v>
      </c>
      <c r="O769">
        <v>2659.07</v>
      </c>
      <c r="P769">
        <v>756.81</v>
      </c>
      <c r="Q769" t="s">
        <v>1331</v>
      </c>
      <c r="R769" t="b">
        <f t="shared" si="34"/>
        <v>0</v>
      </c>
      <c r="S769" t="b">
        <f t="shared" si="35"/>
        <v>0</v>
      </c>
      <c r="T769" t="b">
        <f t="shared" si="36"/>
        <v>0</v>
      </c>
    </row>
    <row r="770" spans="1:20" x14ac:dyDescent="0.3">
      <c r="A770">
        <v>769</v>
      </c>
      <c r="B770" t="s">
        <v>785</v>
      </c>
      <c r="C770" s="2">
        <v>45666</v>
      </c>
      <c r="D770" s="2">
        <v>45669</v>
      </c>
      <c r="E770" t="s">
        <v>1018</v>
      </c>
      <c r="F770" t="s">
        <v>1256</v>
      </c>
      <c r="G770" t="s">
        <v>1273</v>
      </c>
      <c r="H770" t="s">
        <v>1288</v>
      </c>
      <c r="I770" t="s">
        <v>1299</v>
      </c>
      <c r="J770" t="s">
        <v>1304</v>
      </c>
      <c r="K770" t="s">
        <v>1308</v>
      </c>
      <c r="L770" t="s">
        <v>1312</v>
      </c>
      <c r="M770">
        <v>2</v>
      </c>
      <c r="N770">
        <v>0.1</v>
      </c>
      <c r="O770">
        <v>2390.0100000000002</v>
      </c>
      <c r="P770">
        <v>632.52</v>
      </c>
      <c r="Q770" t="s">
        <v>1330</v>
      </c>
      <c r="R770" t="b">
        <f t="shared" si="34"/>
        <v>0</v>
      </c>
      <c r="S770" t="b">
        <f t="shared" si="35"/>
        <v>0</v>
      </c>
      <c r="T770" t="b">
        <f t="shared" si="36"/>
        <v>0</v>
      </c>
    </row>
    <row r="771" spans="1:20" x14ac:dyDescent="0.3">
      <c r="A771">
        <v>770</v>
      </c>
      <c r="B771" t="s">
        <v>786</v>
      </c>
      <c r="C771" s="2">
        <v>45922</v>
      </c>
      <c r="D771" s="2">
        <v>45924</v>
      </c>
      <c r="E771" t="s">
        <v>1017</v>
      </c>
      <c r="F771" t="s">
        <v>1198</v>
      </c>
      <c r="G771" t="s">
        <v>1279</v>
      </c>
      <c r="H771" t="s">
        <v>1289</v>
      </c>
      <c r="I771" t="s">
        <v>1298</v>
      </c>
      <c r="J771" t="s">
        <v>1303</v>
      </c>
      <c r="K771" t="s">
        <v>1309</v>
      </c>
      <c r="L771" t="s">
        <v>1329</v>
      </c>
      <c r="M771">
        <v>5</v>
      </c>
      <c r="N771">
        <v>0.2</v>
      </c>
      <c r="O771">
        <v>7296.68</v>
      </c>
      <c r="P771">
        <v>1196.6300000000001</v>
      </c>
      <c r="Q771" t="s">
        <v>1330</v>
      </c>
      <c r="R771" t="b">
        <f t="shared" ref="R771:R834" si="37">D771&lt;C771</f>
        <v>0</v>
      </c>
      <c r="S771" t="b">
        <f t="shared" ref="S771:S834" si="38">M771&lt;=0</f>
        <v>0</v>
      </c>
      <c r="T771" t="b">
        <f t="shared" ref="T771:T834" si="39">OR(N771&lt;0,N771&gt;1)</f>
        <v>0</v>
      </c>
    </row>
    <row r="772" spans="1:20" x14ac:dyDescent="0.3">
      <c r="A772">
        <v>771</v>
      </c>
      <c r="B772" t="s">
        <v>787</v>
      </c>
      <c r="C772" s="2">
        <v>46013</v>
      </c>
      <c r="D772" s="2">
        <v>46017</v>
      </c>
      <c r="E772" t="s">
        <v>1017</v>
      </c>
      <c r="F772" t="s">
        <v>1138</v>
      </c>
      <c r="G772" t="s">
        <v>1275</v>
      </c>
      <c r="H772" t="s">
        <v>1287</v>
      </c>
      <c r="I772" t="s">
        <v>1292</v>
      </c>
      <c r="J772" t="s">
        <v>1303</v>
      </c>
      <c r="K772" t="s">
        <v>1308</v>
      </c>
      <c r="L772" t="s">
        <v>1318</v>
      </c>
      <c r="M772">
        <v>2</v>
      </c>
      <c r="N772">
        <v>0.1</v>
      </c>
      <c r="O772">
        <v>9446.25</v>
      </c>
      <c r="P772">
        <v>1860.98</v>
      </c>
      <c r="Q772" t="s">
        <v>1333</v>
      </c>
      <c r="R772" t="b">
        <f t="shared" si="37"/>
        <v>0</v>
      </c>
      <c r="S772" t="b">
        <f t="shared" si="38"/>
        <v>0</v>
      </c>
      <c r="T772" t="b">
        <f t="shared" si="39"/>
        <v>0</v>
      </c>
    </row>
    <row r="773" spans="1:20" x14ac:dyDescent="0.3">
      <c r="A773">
        <v>772</v>
      </c>
      <c r="B773" t="s">
        <v>788</v>
      </c>
      <c r="C773" s="2">
        <v>45897</v>
      </c>
      <c r="D773" s="2">
        <v>45901</v>
      </c>
      <c r="E773" t="s">
        <v>1017</v>
      </c>
      <c r="F773" t="s">
        <v>1201</v>
      </c>
      <c r="G773" t="s">
        <v>1269</v>
      </c>
      <c r="H773" t="s">
        <v>1287</v>
      </c>
      <c r="I773" t="s">
        <v>1300</v>
      </c>
      <c r="J773" t="s">
        <v>1305</v>
      </c>
      <c r="K773" t="s">
        <v>1307</v>
      </c>
      <c r="L773" t="s">
        <v>1315</v>
      </c>
      <c r="M773">
        <v>2</v>
      </c>
      <c r="N773">
        <v>0.15</v>
      </c>
      <c r="O773">
        <v>3072.2</v>
      </c>
      <c r="P773">
        <v>157.77000000000001</v>
      </c>
      <c r="Q773" t="s">
        <v>1333</v>
      </c>
      <c r="R773" t="b">
        <f t="shared" si="37"/>
        <v>0</v>
      </c>
      <c r="S773" t="b">
        <f t="shared" si="38"/>
        <v>0</v>
      </c>
      <c r="T773" t="b">
        <f t="shared" si="39"/>
        <v>0</v>
      </c>
    </row>
    <row r="774" spans="1:20" x14ac:dyDescent="0.3">
      <c r="A774">
        <v>773</v>
      </c>
      <c r="B774" t="s">
        <v>789</v>
      </c>
      <c r="C774" s="2">
        <v>45741</v>
      </c>
      <c r="D774" s="2">
        <v>45743</v>
      </c>
      <c r="E774" t="s">
        <v>1017</v>
      </c>
      <c r="F774" t="s">
        <v>1098</v>
      </c>
      <c r="G774" t="s">
        <v>1270</v>
      </c>
      <c r="H774" t="s">
        <v>1287</v>
      </c>
      <c r="I774" t="s">
        <v>1293</v>
      </c>
      <c r="J774" t="s">
        <v>1304</v>
      </c>
      <c r="K774" t="s">
        <v>1309</v>
      </c>
      <c r="L774" t="s">
        <v>1329</v>
      </c>
      <c r="M774">
        <v>3</v>
      </c>
      <c r="N774">
        <v>0.1</v>
      </c>
      <c r="O774">
        <v>5200.2700000000004</v>
      </c>
      <c r="P774">
        <v>1353.56</v>
      </c>
      <c r="Q774" t="s">
        <v>1330</v>
      </c>
      <c r="R774" t="b">
        <f t="shared" si="37"/>
        <v>0</v>
      </c>
      <c r="S774" t="b">
        <f t="shared" si="38"/>
        <v>0</v>
      </c>
      <c r="T774" t="b">
        <f t="shared" si="39"/>
        <v>0</v>
      </c>
    </row>
    <row r="775" spans="1:20" x14ac:dyDescent="0.3">
      <c r="A775">
        <v>774</v>
      </c>
      <c r="B775" t="s">
        <v>790</v>
      </c>
      <c r="C775" s="2">
        <v>45813</v>
      </c>
      <c r="D775" s="2">
        <v>45815</v>
      </c>
      <c r="E775" t="s">
        <v>1017</v>
      </c>
      <c r="F775" t="s">
        <v>1246</v>
      </c>
      <c r="G775" t="s">
        <v>1280</v>
      </c>
      <c r="H775" t="s">
        <v>1287</v>
      </c>
      <c r="I775" t="s">
        <v>1295</v>
      </c>
      <c r="J775" t="s">
        <v>1305</v>
      </c>
      <c r="K775" t="s">
        <v>1307</v>
      </c>
      <c r="L775" t="s">
        <v>1315</v>
      </c>
      <c r="M775">
        <v>2</v>
      </c>
      <c r="N775">
        <v>0.2</v>
      </c>
      <c r="O775">
        <v>3019.12</v>
      </c>
      <c r="P775">
        <v>105.41</v>
      </c>
      <c r="Q775" t="s">
        <v>1331</v>
      </c>
      <c r="R775" t="b">
        <f t="shared" si="37"/>
        <v>0</v>
      </c>
      <c r="S775" t="b">
        <f t="shared" si="38"/>
        <v>0</v>
      </c>
      <c r="T775" t="b">
        <f t="shared" si="39"/>
        <v>0</v>
      </c>
    </row>
    <row r="776" spans="1:20" x14ac:dyDescent="0.3">
      <c r="A776">
        <v>775</v>
      </c>
      <c r="B776" t="s">
        <v>791</v>
      </c>
      <c r="C776" s="2">
        <v>45961</v>
      </c>
      <c r="D776" s="2">
        <v>45964</v>
      </c>
      <c r="E776" t="s">
        <v>1017</v>
      </c>
      <c r="F776" t="s">
        <v>1076</v>
      </c>
      <c r="G776" t="s">
        <v>1285</v>
      </c>
      <c r="H776" t="s">
        <v>1287</v>
      </c>
      <c r="I776" t="s">
        <v>1294</v>
      </c>
      <c r="J776" t="s">
        <v>1305</v>
      </c>
      <c r="K776" t="s">
        <v>1309</v>
      </c>
      <c r="L776" t="s">
        <v>1329</v>
      </c>
      <c r="M776">
        <v>3</v>
      </c>
      <c r="N776">
        <v>0.1</v>
      </c>
      <c r="O776">
        <v>4906.43</v>
      </c>
      <c r="P776">
        <v>1134.58</v>
      </c>
      <c r="Q776" t="s">
        <v>1331</v>
      </c>
      <c r="R776" t="b">
        <f t="shared" si="37"/>
        <v>0</v>
      </c>
      <c r="S776" t="b">
        <f t="shared" si="38"/>
        <v>0</v>
      </c>
      <c r="T776" t="b">
        <f t="shared" si="39"/>
        <v>0</v>
      </c>
    </row>
    <row r="777" spans="1:20" x14ac:dyDescent="0.3">
      <c r="A777">
        <v>776</v>
      </c>
      <c r="B777" t="s">
        <v>792</v>
      </c>
      <c r="C777" s="2">
        <v>45722</v>
      </c>
      <c r="D777" s="2">
        <v>45725</v>
      </c>
      <c r="E777" t="s">
        <v>1019</v>
      </c>
      <c r="F777" t="s">
        <v>1152</v>
      </c>
      <c r="G777" t="s">
        <v>1277</v>
      </c>
      <c r="H777" t="s">
        <v>1287</v>
      </c>
      <c r="I777" t="s">
        <v>1295</v>
      </c>
      <c r="J777" t="s">
        <v>1305</v>
      </c>
      <c r="K777" t="s">
        <v>1306</v>
      </c>
      <c r="L777" t="s">
        <v>1328</v>
      </c>
      <c r="M777">
        <v>3</v>
      </c>
      <c r="N777">
        <v>0</v>
      </c>
      <c r="O777">
        <v>354.17</v>
      </c>
      <c r="P777">
        <v>108.65</v>
      </c>
      <c r="Q777" t="s">
        <v>1333</v>
      </c>
      <c r="R777" t="b">
        <f t="shared" si="37"/>
        <v>0</v>
      </c>
      <c r="S777" t="b">
        <f t="shared" si="38"/>
        <v>0</v>
      </c>
      <c r="T777" t="b">
        <f t="shared" si="39"/>
        <v>0</v>
      </c>
    </row>
    <row r="778" spans="1:20" x14ac:dyDescent="0.3">
      <c r="A778">
        <v>777</v>
      </c>
      <c r="B778" t="s">
        <v>793</v>
      </c>
      <c r="C778" s="2">
        <v>45816</v>
      </c>
      <c r="D778" s="2">
        <v>45820</v>
      </c>
      <c r="E778" t="s">
        <v>1017</v>
      </c>
      <c r="F778" t="s">
        <v>1136</v>
      </c>
      <c r="G778" t="s">
        <v>1283</v>
      </c>
      <c r="H778" t="s">
        <v>1287</v>
      </c>
      <c r="I778" t="s">
        <v>1295</v>
      </c>
      <c r="J778" t="s">
        <v>1305</v>
      </c>
      <c r="K778" t="s">
        <v>1308</v>
      </c>
      <c r="L778" t="s">
        <v>1327</v>
      </c>
      <c r="M778">
        <v>4</v>
      </c>
      <c r="N778">
        <v>0</v>
      </c>
      <c r="O778">
        <v>7220.49</v>
      </c>
      <c r="P778">
        <v>2213.2800000000002</v>
      </c>
      <c r="Q778" t="s">
        <v>1334</v>
      </c>
      <c r="R778" t="b">
        <f t="shared" si="37"/>
        <v>0</v>
      </c>
      <c r="S778" t="b">
        <f t="shared" si="38"/>
        <v>0</v>
      </c>
      <c r="T778" t="b">
        <f t="shared" si="39"/>
        <v>0</v>
      </c>
    </row>
    <row r="779" spans="1:20" x14ac:dyDescent="0.3">
      <c r="A779">
        <v>778</v>
      </c>
      <c r="B779" t="s">
        <v>794</v>
      </c>
      <c r="C779" s="2">
        <v>45929</v>
      </c>
      <c r="D779" s="2">
        <v>45931</v>
      </c>
      <c r="E779" t="s">
        <v>1017</v>
      </c>
      <c r="F779" t="s">
        <v>1130</v>
      </c>
      <c r="G779" t="s">
        <v>1268</v>
      </c>
      <c r="H779" t="s">
        <v>1287</v>
      </c>
      <c r="I779" t="s">
        <v>1292</v>
      </c>
      <c r="J779" t="s">
        <v>1303</v>
      </c>
      <c r="K779" t="s">
        <v>1306</v>
      </c>
      <c r="L779" t="s">
        <v>1321</v>
      </c>
      <c r="M779">
        <v>1</v>
      </c>
      <c r="N779">
        <v>0</v>
      </c>
      <c r="O779">
        <v>459.81</v>
      </c>
      <c r="P779">
        <v>113.96</v>
      </c>
      <c r="Q779" t="s">
        <v>1331</v>
      </c>
      <c r="R779" t="b">
        <f t="shared" si="37"/>
        <v>0</v>
      </c>
      <c r="S779" t="b">
        <f t="shared" si="38"/>
        <v>0</v>
      </c>
      <c r="T779" t="b">
        <f t="shared" si="39"/>
        <v>0</v>
      </c>
    </row>
    <row r="780" spans="1:20" x14ac:dyDescent="0.3">
      <c r="A780">
        <v>779</v>
      </c>
      <c r="B780" t="s">
        <v>795</v>
      </c>
      <c r="C780" s="2">
        <v>45725</v>
      </c>
      <c r="D780" s="2">
        <v>45730</v>
      </c>
      <c r="E780" t="s">
        <v>1018</v>
      </c>
      <c r="F780" t="s">
        <v>1170</v>
      </c>
      <c r="G780" t="s">
        <v>1286</v>
      </c>
      <c r="H780" t="s">
        <v>1287</v>
      </c>
      <c r="I780" t="s">
        <v>1295</v>
      </c>
      <c r="J780" t="s">
        <v>1305</v>
      </c>
      <c r="K780" t="s">
        <v>1309</v>
      </c>
      <c r="L780" t="s">
        <v>1325</v>
      </c>
      <c r="M780">
        <v>3</v>
      </c>
      <c r="N780">
        <v>0</v>
      </c>
      <c r="O780">
        <v>3900.98</v>
      </c>
      <c r="P780">
        <v>1385.19</v>
      </c>
      <c r="Q780" t="s">
        <v>1331</v>
      </c>
      <c r="R780" t="b">
        <f t="shared" si="37"/>
        <v>0</v>
      </c>
      <c r="S780" t="b">
        <f t="shared" si="38"/>
        <v>0</v>
      </c>
      <c r="T780" t="b">
        <f t="shared" si="39"/>
        <v>0</v>
      </c>
    </row>
    <row r="781" spans="1:20" x14ac:dyDescent="0.3">
      <c r="A781">
        <v>780</v>
      </c>
      <c r="B781" t="s">
        <v>796</v>
      </c>
      <c r="C781" s="2">
        <v>45853</v>
      </c>
      <c r="D781" s="2">
        <v>45858</v>
      </c>
      <c r="E781" t="s">
        <v>1017</v>
      </c>
      <c r="F781" t="s">
        <v>1211</v>
      </c>
      <c r="G781" t="s">
        <v>1269</v>
      </c>
      <c r="H781" t="s">
        <v>1287</v>
      </c>
      <c r="I781" t="s">
        <v>1300</v>
      </c>
      <c r="J781" t="s">
        <v>1305</v>
      </c>
      <c r="K781" t="s">
        <v>1306</v>
      </c>
      <c r="L781" t="s">
        <v>1328</v>
      </c>
      <c r="M781">
        <v>1</v>
      </c>
      <c r="N781">
        <v>0.2</v>
      </c>
      <c r="O781">
        <v>93.39</v>
      </c>
      <c r="P781">
        <v>7.22</v>
      </c>
      <c r="Q781" t="s">
        <v>1331</v>
      </c>
      <c r="R781" t="b">
        <f t="shared" si="37"/>
        <v>0</v>
      </c>
      <c r="S781" t="b">
        <f t="shared" si="38"/>
        <v>0</v>
      </c>
      <c r="T781" t="b">
        <f t="shared" si="39"/>
        <v>0</v>
      </c>
    </row>
    <row r="782" spans="1:20" x14ac:dyDescent="0.3">
      <c r="A782">
        <v>781</v>
      </c>
      <c r="B782" t="s">
        <v>797</v>
      </c>
      <c r="C782" s="2">
        <v>45684</v>
      </c>
      <c r="D782" s="2">
        <v>45685</v>
      </c>
      <c r="E782" t="s">
        <v>1017</v>
      </c>
      <c r="F782" t="s">
        <v>1162</v>
      </c>
      <c r="G782" t="s">
        <v>1274</v>
      </c>
      <c r="H782" t="s">
        <v>1287</v>
      </c>
      <c r="I782" t="s">
        <v>1300</v>
      </c>
      <c r="J782" t="s">
        <v>1305</v>
      </c>
      <c r="K782" t="s">
        <v>1309</v>
      </c>
      <c r="L782" t="s">
        <v>1317</v>
      </c>
      <c r="M782">
        <v>2</v>
      </c>
      <c r="N782">
        <v>0.1</v>
      </c>
      <c r="O782">
        <v>1488.58</v>
      </c>
      <c r="P782">
        <v>272.06</v>
      </c>
      <c r="Q782" t="s">
        <v>1331</v>
      </c>
      <c r="R782" t="b">
        <f t="shared" si="37"/>
        <v>0</v>
      </c>
      <c r="S782" t="b">
        <f t="shared" si="38"/>
        <v>0</v>
      </c>
      <c r="T782" t="b">
        <f t="shared" si="39"/>
        <v>0</v>
      </c>
    </row>
    <row r="783" spans="1:20" x14ac:dyDescent="0.3">
      <c r="A783">
        <v>782</v>
      </c>
      <c r="B783" t="s">
        <v>798</v>
      </c>
      <c r="C783" s="2">
        <v>45833</v>
      </c>
      <c r="D783" s="2">
        <v>45834</v>
      </c>
      <c r="E783" t="s">
        <v>1017</v>
      </c>
      <c r="F783" t="s">
        <v>1147</v>
      </c>
      <c r="G783" t="s">
        <v>1278</v>
      </c>
      <c r="H783" t="s">
        <v>1287</v>
      </c>
      <c r="I783" t="s">
        <v>1298</v>
      </c>
      <c r="J783" t="s">
        <v>1303</v>
      </c>
      <c r="K783" t="s">
        <v>1306</v>
      </c>
      <c r="L783" t="s">
        <v>1323</v>
      </c>
      <c r="M783">
        <v>2</v>
      </c>
      <c r="N783">
        <v>0.05</v>
      </c>
      <c r="O783">
        <v>326.52999999999997</v>
      </c>
      <c r="P783">
        <v>75.58</v>
      </c>
      <c r="Q783" t="s">
        <v>1332</v>
      </c>
      <c r="R783" t="b">
        <f t="shared" si="37"/>
        <v>0</v>
      </c>
      <c r="S783" t="b">
        <f t="shared" si="38"/>
        <v>0</v>
      </c>
      <c r="T783" t="b">
        <f t="shared" si="39"/>
        <v>0</v>
      </c>
    </row>
    <row r="784" spans="1:20" x14ac:dyDescent="0.3">
      <c r="A784">
        <v>783</v>
      </c>
      <c r="B784" t="s">
        <v>799</v>
      </c>
      <c r="C784" s="2">
        <v>45835</v>
      </c>
      <c r="D784" s="2">
        <v>45838</v>
      </c>
      <c r="E784" t="s">
        <v>1017</v>
      </c>
      <c r="F784" t="s">
        <v>1030</v>
      </c>
      <c r="G784" t="s">
        <v>1286</v>
      </c>
      <c r="H784" t="s">
        <v>1287</v>
      </c>
      <c r="I784" t="s">
        <v>1298</v>
      </c>
      <c r="J784" t="s">
        <v>1303</v>
      </c>
      <c r="K784" t="s">
        <v>1309</v>
      </c>
      <c r="L784" t="s">
        <v>1329</v>
      </c>
      <c r="M784">
        <v>4</v>
      </c>
      <c r="N784">
        <v>0</v>
      </c>
      <c r="O784">
        <v>7583.54</v>
      </c>
      <c r="P784">
        <v>2112.83</v>
      </c>
      <c r="Q784" t="s">
        <v>1333</v>
      </c>
      <c r="R784" t="b">
        <f t="shared" si="37"/>
        <v>0</v>
      </c>
      <c r="S784" t="b">
        <f t="shared" si="38"/>
        <v>0</v>
      </c>
      <c r="T784" t="b">
        <f t="shared" si="39"/>
        <v>0</v>
      </c>
    </row>
    <row r="785" spans="1:20" x14ac:dyDescent="0.3">
      <c r="A785">
        <v>784</v>
      </c>
      <c r="B785" t="s">
        <v>800</v>
      </c>
      <c r="C785" s="2">
        <v>46010</v>
      </c>
      <c r="D785" s="2">
        <v>46014</v>
      </c>
      <c r="E785" t="s">
        <v>1017</v>
      </c>
      <c r="F785" t="s">
        <v>1135</v>
      </c>
      <c r="G785" t="s">
        <v>1271</v>
      </c>
      <c r="H785" t="s">
        <v>1289</v>
      </c>
      <c r="I785" t="s">
        <v>1292</v>
      </c>
      <c r="J785" t="s">
        <v>1303</v>
      </c>
      <c r="K785" t="s">
        <v>1307</v>
      </c>
      <c r="L785" t="s">
        <v>1315</v>
      </c>
      <c r="M785">
        <v>1</v>
      </c>
      <c r="N785">
        <v>0.1</v>
      </c>
      <c r="O785">
        <v>1578.51</v>
      </c>
      <c r="P785">
        <v>382.22</v>
      </c>
      <c r="Q785" t="s">
        <v>1331</v>
      </c>
      <c r="R785" t="b">
        <f t="shared" si="37"/>
        <v>0</v>
      </c>
      <c r="S785" t="b">
        <f t="shared" si="38"/>
        <v>0</v>
      </c>
      <c r="T785" t="b">
        <f t="shared" si="39"/>
        <v>0</v>
      </c>
    </row>
    <row r="786" spans="1:20" x14ac:dyDescent="0.3">
      <c r="A786">
        <v>785</v>
      </c>
      <c r="B786" t="s">
        <v>801</v>
      </c>
      <c r="C786" s="2">
        <v>45890</v>
      </c>
      <c r="D786" s="2">
        <v>45891</v>
      </c>
      <c r="E786" t="s">
        <v>1017</v>
      </c>
      <c r="F786" t="s">
        <v>1090</v>
      </c>
      <c r="G786" t="s">
        <v>1272</v>
      </c>
      <c r="H786" t="s">
        <v>1287</v>
      </c>
      <c r="I786" t="s">
        <v>1301</v>
      </c>
      <c r="J786" t="s">
        <v>1303</v>
      </c>
      <c r="K786" t="s">
        <v>1308</v>
      </c>
      <c r="L786" t="s">
        <v>1326</v>
      </c>
      <c r="M786">
        <v>2</v>
      </c>
      <c r="N786">
        <v>0.05</v>
      </c>
      <c r="O786">
        <v>13623.38</v>
      </c>
      <c r="P786">
        <v>4811.59</v>
      </c>
      <c r="Q786" t="s">
        <v>1332</v>
      </c>
      <c r="R786" t="b">
        <f t="shared" si="37"/>
        <v>0</v>
      </c>
      <c r="S786" t="b">
        <f t="shared" si="38"/>
        <v>0</v>
      </c>
      <c r="T786" t="b">
        <f t="shared" si="39"/>
        <v>0</v>
      </c>
    </row>
    <row r="787" spans="1:20" x14ac:dyDescent="0.3">
      <c r="A787">
        <v>786</v>
      </c>
      <c r="B787" t="s">
        <v>802</v>
      </c>
      <c r="C787" s="2">
        <v>45832</v>
      </c>
      <c r="D787" s="2">
        <v>45836</v>
      </c>
      <c r="E787" t="s">
        <v>1017</v>
      </c>
      <c r="F787" t="s">
        <v>1206</v>
      </c>
      <c r="G787" t="s">
        <v>1280</v>
      </c>
      <c r="H787" t="s">
        <v>1287</v>
      </c>
      <c r="I787" t="s">
        <v>1301</v>
      </c>
      <c r="J787" t="s">
        <v>1303</v>
      </c>
      <c r="K787" t="s">
        <v>1306</v>
      </c>
      <c r="L787" t="s">
        <v>1328</v>
      </c>
      <c r="M787">
        <v>2</v>
      </c>
      <c r="N787">
        <v>0.1</v>
      </c>
      <c r="O787">
        <v>206.69</v>
      </c>
      <c r="P787">
        <v>33.54</v>
      </c>
      <c r="Q787" t="s">
        <v>1331</v>
      </c>
      <c r="R787" t="b">
        <f t="shared" si="37"/>
        <v>0</v>
      </c>
      <c r="S787" t="b">
        <f t="shared" si="38"/>
        <v>0</v>
      </c>
      <c r="T787" t="b">
        <f t="shared" si="39"/>
        <v>0</v>
      </c>
    </row>
    <row r="788" spans="1:20" x14ac:dyDescent="0.3">
      <c r="A788">
        <v>787</v>
      </c>
      <c r="B788" t="s">
        <v>803</v>
      </c>
      <c r="C788" s="2">
        <v>45832</v>
      </c>
      <c r="D788" s="2">
        <v>45835</v>
      </c>
      <c r="E788" t="s">
        <v>1017</v>
      </c>
      <c r="F788" t="s">
        <v>1033</v>
      </c>
      <c r="G788" t="s">
        <v>1280</v>
      </c>
      <c r="H788" t="s">
        <v>1287</v>
      </c>
      <c r="I788" t="s">
        <v>1296</v>
      </c>
      <c r="J788" t="s">
        <v>1304</v>
      </c>
      <c r="K788" t="s">
        <v>1307</v>
      </c>
      <c r="L788" t="s">
        <v>1315</v>
      </c>
      <c r="M788">
        <v>2</v>
      </c>
      <c r="N788">
        <v>0.05</v>
      </c>
      <c r="O788">
        <v>3250.64</v>
      </c>
      <c r="P788">
        <v>822.14</v>
      </c>
      <c r="Q788" t="s">
        <v>1332</v>
      </c>
      <c r="R788" t="b">
        <f t="shared" si="37"/>
        <v>0</v>
      </c>
      <c r="S788" t="b">
        <f t="shared" si="38"/>
        <v>0</v>
      </c>
      <c r="T788" t="b">
        <f t="shared" si="39"/>
        <v>0</v>
      </c>
    </row>
    <row r="789" spans="1:20" x14ac:dyDescent="0.3">
      <c r="A789">
        <v>788</v>
      </c>
      <c r="B789" t="s">
        <v>804</v>
      </c>
      <c r="C789" s="2">
        <v>45914</v>
      </c>
      <c r="D789" s="2">
        <v>45915</v>
      </c>
      <c r="E789" t="s">
        <v>1018</v>
      </c>
      <c r="F789" t="s">
        <v>1259</v>
      </c>
      <c r="G789" t="s">
        <v>1284</v>
      </c>
      <c r="H789" t="s">
        <v>1287</v>
      </c>
      <c r="I789" t="s">
        <v>1300</v>
      </c>
      <c r="J789" t="s">
        <v>1305</v>
      </c>
      <c r="K789" t="s">
        <v>1309</v>
      </c>
      <c r="L789" t="s">
        <v>1329</v>
      </c>
      <c r="M789">
        <v>2</v>
      </c>
      <c r="N789">
        <v>0</v>
      </c>
      <c r="O789">
        <v>3683.94</v>
      </c>
      <c r="P789">
        <v>944.54</v>
      </c>
      <c r="Q789" t="s">
        <v>1331</v>
      </c>
      <c r="R789" t="b">
        <f t="shared" si="37"/>
        <v>0</v>
      </c>
      <c r="S789" t="b">
        <f t="shared" si="38"/>
        <v>0</v>
      </c>
      <c r="T789" t="b">
        <f t="shared" si="39"/>
        <v>0</v>
      </c>
    </row>
    <row r="790" spans="1:20" x14ac:dyDescent="0.3">
      <c r="A790">
        <v>789</v>
      </c>
      <c r="B790" t="s">
        <v>805</v>
      </c>
      <c r="C790" s="2">
        <v>45794</v>
      </c>
      <c r="D790" s="2">
        <v>45795</v>
      </c>
      <c r="E790" t="s">
        <v>1017</v>
      </c>
      <c r="F790" t="s">
        <v>1147</v>
      </c>
      <c r="G790" t="s">
        <v>1286</v>
      </c>
      <c r="H790" t="s">
        <v>1287</v>
      </c>
      <c r="I790" t="s">
        <v>1300</v>
      </c>
      <c r="J790" t="s">
        <v>1305</v>
      </c>
      <c r="K790" t="s">
        <v>1306</v>
      </c>
      <c r="L790" t="s">
        <v>1328</v>
      </c>
      <c r="M790">
        <v>2</v>
      </c>
      <c r="N790">
        <v>0</v>
      </c>
      <c r="O790">
        <v>234.19</v>
      </c>
      <c r="P790">
        <v>74.52</v>
      </c>
      <c r="Q790" t="s">
        <v>1331</v>
      </c>
      <c r="R790" t="b">
        <f t="shared" si="37"/>
        <v>0</v>
      </c>
      <c r="S790" t="b">
        <f t="shared" si="38"/>
        <v>0</v>
      </c>
      <c r="T790" t="b">
        <f t="shared" si="39"/>
        <v>0</v>
      </c>
    </row>
    <row r="791" spans="1:20" x14ac:dyDescent="0.3">
      <c r="A791">
        <v>790</v>
      </c>
      <c r="B791" t="s">
        <v>806</v>
      </c>
      <c r="C791" s="2">
        <v>45707</v>
      </c>
      <c r="D791" s="2">
        <v>45712</v>
      </c>
      <c r="E791" t="s">
        <v>1017</v>
      </c>
      <c r="F791" t="s">
        <v>1204</v>
      </c>
      <c r="G791" t="s">
        <v>1286</v>
      </c>
      <c r="H791" t="s">
        <v>1287</v>
      </c>
      <c r="I791" t="s">
        <v>1291</v>
      </c>
      <c r="J791" t="s">
        <v>1302</v>
      </c>
      <c r="K791" t="s">
        <v>1309</v>
      </c>
      <c r="L791" t="s">
        <v>1329</v>
      </c>
      <c r="M791">
        <v>3</v>
      </c>
      <c r="N791">
        <v>0.1</v>
      </c>
      <c r="O791">
        <v>5004.57</v>
      </c>
      <c r="P791">
        <v>1286.8</v>
      </c>
      <c r="Q791" t="s">
        <v>1333</v>
      </c>
      <c r="R791" t="b">
        <f t="shared" si="37"/>
        <v>0</v>
      </c>
      <c r="S791" t="b">
        <f t="shared" si="38"/>
        <v>0</v>
      </c>
      <c r="T791" t="b">
        <f t="shared" si="39"/>
        <v>0</v>
      </c>
    </row>
    <row r="792" spans="1:20" x14ac:dyDescent="0.3">
      <c r="A792">
        <v>791</v>
      </c>
      <c r="B792" t="s">
        <v>807</v>
      </c>
      <c r="C792" s="2">
        <v>45872</v>
      </c>
      <c r="D792" s="2">
        <v>45875</v>
      </c>
      <c r="E792" t="s">
        <v>1018</v>
      </c>
      <c r="F792" t="s">
        <v>1110</v>
      </c>
      <c r="G792" t="s">
        <v>1286</v>
      </c>
      <c r="H792" t="s">
        <v>1287</v>
      </c>
      <c r="I792" t="s">
        <v>1298</v>
      </c>
      <c r="J792" t="s">
        <v>1303</v>
      </c>
      <c r="K792" t="s">
        <v>1309</v>
      </c>
      <c r="L792" t="s">
        <v>1313</v>
      </c>
      <c r="M792">
        <v>3</v>
      </c>
      <c r="N792">
        <v>0.1</v>
      </c>
      <c r="O792">
        <v>3852.36</v>
      </c>
      <c r="P792">
        <v>783.81</v>
      </c>
      <c r="Q792" t="s">
        <v>1334</v>
      </c>
      <c r="R792" t="b">
        <f t="shared" si="37"/>
        <v>0</v>
      </c>
      <c r="S792" t="b">
        <f t="shared" si="38"/>
        <v>0</v>
      </c>
      <c r="T792" t="b">
        <f t="shared" si="39"/>
        <v>0</v>
      </c>
    </row>
    <row r="793" spans="1:20" x14ac:dyDescent="0.3">
      <c r="A793">
        <v>792</v>
      </c>
      <c r="B793" t="s">
        <v>808</v>
      </c>
      <c r="C793" s="2">
        <v>46018</v>
      </c>
      <c r="D793" s="2">
        <v>46022</v>
      </c>
      <c r="E793" t="s">
        <v>1017</v>
      </c>
      <c r="F793" t="s">
        <v>1247</v>
      </c>
      <c r="G793" t="s">
        <v>1267</v>
      </c>
      <c r="H793" t="s">
        <v>1287</v>
      </c>
      <c r="I793" t="s">
        <v>1301</v>
      </c>
      <c r="J793" t="s">
        <v>1303</v>
      </c>
      <c r="K793" t="s">
        <v>1308</v>
      </c>
      <c r="L793" t="s">
        <v>1326</v>
      </c>
      <c r="M793">
        <v>3</v>
      </c>
      <c r="N793">
        <v>0.1</v>
      </c>
      <c r="O793">
        <v>18604.73</v>
      </c>
      <c r="P793">
        <v>5139.43</v>
      </c>
      <c r="Q793" t="s">
        <v>1331</v>
      </c>
      <c r="R793" t="b">
        <f t="shared" si="37"/>
        <v>0</v>
      </c>
      <c r="S793" t="b">
        <f t="shared" si="38"/>
        <v>0</v>
      </c>
      <c r="T793" t="b">
        <f t="shared" si="39"/>
        <v>0</v>
      </c>
    </row>
    <row r="794" spans="1:20" x14ac:dyDescent="0.3">
      <c r="A794">
        <v>793</v>
      </c>
      <c r="B794" t="s">
        <v>809</v>
      </c>
      <c r="C794" s="2">
        <v>45858</v>
      </c>
      <c r="D794" s="2">
        <v>45861</v>
      </c>
      <c r="E794" t="s">
        <v>1019</v>
      </c>
      <c r="F794" t="s">
        <v>1186</v>
      </c>
      <c r="G794" t="s">
        <v>1281</v>
      </c>
      <c r="H794" t="s">
        <v>1287</v>
      </c>
      <c r="I794" t="s">
        <v>1299</v>
      </c>
      <c r="J794" t="s">
        <v>1304</v>
      </c>
      <c r="K794" t="s">
        <v>1309</v>
      </c>
      <c r="L794" t="s">
        <v>1317</v>
      </c>
      <c r="M794">
        <v>1</v>
      </c>
      <c r="N794">
        <v>0.1</v>
      </c>
      <c r="O794">
        <v>693.71</v>
      </c>
      <c r="P794">
        <v>43.19</v>
      </c>
      <c r="Q794" t="s">
        <v>1332</v>
      </c>
      <c r="R794" t="b">
        <f t="shared" si="37"/>
        <v>0</v>
      </c>
      <c r="S794" t="b">
        <f t="shared" si="38"/>
        <v>0</v>
      </c>
      <c r="T794" t="b">
        <f t="shared" si="39"/>
        <v>0</v>
      </c>
    </row>
    <row r="795" spans="1:20" x14ac:dyDescent="0.3">
      <c r="A795">
        <v>794</v>
      </c>
      <c r="B795" t="s">
        <v>810</v>
      </c>
      <c r="C795" s="2">
        <v>45764</v>
      </c>
      <c r="D795" s="2">
        <v>45766</v>
      </c>
      <c r="E795" t="s">
        <v>1018</v>
      </c>
      <c r="F795" t="s">
        <v>1155</v>
      </c>
      <c r="G795" t="s">
        <v>1269</v>
      </c>
      <c r="H795" t="s">
        <v>1287</v>
      </c>
      <c r="I795" t="s">
        <v>1292</v>
      </c>
      <c r="J795" t="s">
        <v>1303</v>
      </c>
      <c r="K795" t="s">
        <v>1307</v>
      </c>
      <c r="L795" t="s">
        <v>1314</v>
      </c>
      <c r="M795">
        <v>1</v>
      </c>
      <c r="N795">
        <v>0.15</v>
      </c>
      <c r="O795">
        <v>739.36</v>
      </c>
      <c r="P795">
        <v>106.22</v>
      </c>
      <c r="Q795" t="s">
        <v>1330</v>
      </c>
      <c r="R795" t="b">
        <f t="shared" si="37"/>
        <v>0</v>
      </c>
      <c r="S795" t="b">
        <f t="shared" si="38"/>
        <v>0</v>
      </c>
      <c r="T795" t="b">
        <f t="shared" si="39"/>
        <v>0</v>
      </c>
    </row>
    <row r="796" spans="1:20" x14ac:dyDescent="0.3">
      <c r="A796">
        <v>795</v>
      </c>
      <c r="B796" t="s">
        <v>811</v>
      </c>
      <c r="C796" s="2">
        <v>45971</v>
      </c>
      <c r="D796" s="2">
        <v>45975</v>
      </c>
      <c r="E796" t="s">
        <v>1018</v>
      </c>
      <c r="F796" t="s">
        <v>1055</v>
      </c>
      <c r="G796" t="s">
        <v>1282</v>
      </c>
      <c r="H796" t="s">
        <v>1287</v>
      </c>
      <c r="I796" t="s">
        <v>1297</v>
      </c>
      <c r="J796" t="s">
        <v>1304</v>
      </c>
      <c r="K796" t="s">
        <v>1306</v>
      </c>
      <c r="L796" t="s">
        <v>1321</v>
      </c>
      <c r="M796">
        <v>2</v>
      </c>
      <c r="N796">
        <v>0.05</v>
      </c>
      <c r="O796">
        <v>892.44</v>
      </c>
      <c r="P796">
        <v>236.82</v>
      </c>
      <c r="Q796" t="s">
        <v>1331</v>
      </c>
      <c r="R796" t="b">
        <f t="shared" si="37"/>
        <v>0</v>
      </c>
      <c r="S796" t="b">
        <f t="shared" si="38"/>
        <v>0</v>
      </c>
      <c r="T796" t="b">
        <f t="shared" si="39"/>
        <v>0</v>
      </c>
    </row>
    <row r="797" spans="1:20" x14ac:dyDescent="0.3">
      <c r="A797">
        <v>796</v>
      </c>
      <c r="B797" t="s">
        <v>812</v>
      </c>
      <c r="C797" s="2">
        <v>45741</v>
      </c>
      <c r="D797" s="2">
        <v>45745</v>
      </c>
      <c r="E797" t="s">
        <v>1017</v>
      </c>
      <c r="F797" t="s">
        <v>1055</v>
      </c>
      <c r="G797" t="s">
        <v>1277</v>
      </c>
      <c r="H797" t="s">
        <v>1288</v>
      </c>
      <c r="I797" t="s">
        <v>1293</v>
      </c>
      <c r="J797" t="s">
        <v>1304</v>
      </c>
      <c r="K797" t="s">
        <v>1309</v>
      </c>
      <c r="L797" t="s">
        <v>1320</v>
      </c>
      <c r="M797">
        <v>1</v>
      </c>
      <c r="N797">
        <v>0.1</v>
      </c>
      <c r="O797">
        <v>1125.04</v>
      </c>
      <c r="P797">
        <v>226.91</v>
      </c>
      <c r="Q797" t="s">
        <v>1331</v>
      </c>
      <c r="R797" t="b">
        <f t="shared" si="37"/>
        <v>0</v>
      </c>
      <c r="S797" t="b">
        <f t="shared" si="38"/>
        <v>0</v>
      </c>
      <c r="T797" t="b">
        <f t="shared" si="39"/>
        <v>0</v>
      </c>
    </row>
    <row r="798" spans="1:20" x14ac:dyDescent="0.3">
      <c r="A798">
        <v>797</v>
      </c>
      <c r="B798" t="s">
        <v>813</v>
      </c>
      <c r="C798" s="2">
        <v>45792</v>
      </c>
      <c r="D798" s="2">
        <v>45794</v>
      </c>
      <c r="E798" t="s">
        <v>1017</v>
      </c>
      <c r="F798" t="s">
        <v>1068</v>
      </c>
      <c r="G798" t="s">
        <v>1284</v>
      </c>
      <c r="H798" t="s">
        <v>1287</v>
      </c>
      <c r="I798" t="s">
        <v>1297</v>
      </c>
      <c r="J798" t="s">
        <v>1304</v>
      </c>
      <c r="K798" t="s">
        <v>1309</v>
      </c>
      <c r="L798" t="s">
        <v>1317</v>
      </c>
      <c r="M798">
        <v>2</v>
      </c>
      <c r="N798">
        <v>0.05</v>
      </c>
      <c r="O798">
        <v>1532.33</v>
      </c>
      <c r="P798">
        <v>536.54</v>
      </c>
      <c r="Q798" t="s">
        <v>1331</v>
      </c>
      <c r="R798" t="b">
        <f t="shared" si="37"/>
        <v>0</v>
      </c>
      <c r="S798" t="b">
        <f t="shared" si="38"/>
        <v>0</v>
      </c>
      <c r="T798" t="b">
        <f t="shared" si="39"/>
        <v>0</v>
      </c>
    </row>
    <row r="799" spans="1:20" x14ac:dyDescent="0.3">
      <c r="A799">
        <v>798</v>
      </c>
      <c r="B799" t="s">
        <v>814</v>
      </c>
      <c r="C799" s="2">
        <v>45747</v>
      </c>
      <c r="D799" s="2">
        <v>45751</v>
      </c>
      <c r="E799" t="s">
        <v>1018</v>
      </c>
      <c r="F799" t="s">
        <v>1083</v>
      </c>
      <c r="G799" t="s">
        <v>1268</v>
      </c>
      <c r="H799" t="s">
        <v>1289</v>
      </c>
      <c r="I799" t="s">
        <v>1292</v>
      </c>
      <c r="J799" t="s">
        <v>1303</v>
      </c>
      <c r="K799" t="s">
        <v>1309</v>
      </c>
      <c r="L799" t="s">
        <v>1320</v>
      </c>
      <c r="M799">
        <v>3</v>
      </c>
      <c r="N799">
        <v>0</v>
      </c>
      <c r="O799">
        <v>3515.96</v>
      </c>
      <c r="P799">
        <v>819.18</v>
      </c>
      <c r="Q799" t="s">
        <v>1330</v>
      </c>
      <c r="R799" t="b">
        <f t="shared" si="37"/>
        <v>0</v>
      </c>
      <c r="S799" t="b">
        <f t="shared" si="38"/>
        <v>0</v>
      </c>
      <c r="T799" t="b">
        <f t="shared" si="39"/>
        <v>0</v>
      </c>
    </row>
    <row r="800" spans="1:20" x14ac:dyDescent="0.3">
      <c r="A800">
        <v>799</v>
      </c>
      <c r="B800" t="s">
        <v>815</v>
      </c>
      <c r="C800" s="2">
        <v>45713</v>
      </c>
      <c r="D800" s="2">
        <v>45717</v>
      </c>
      <c r="E800" t="s">
        <v>1017</v>
      </c>
      <c r="F800" t="s">
        <v>1193</v>
      </c>
      <c r="G800" t="s">
        <v>1280</v>
      </c>
      <c r="H800" t="s">
        <v>1289</v>
      </c>
      <c r="I800" t="s">
        <v>1291</v>
      </c>
      <c r="J800" t="s">
        <v>1302</v>
      </c>
      <c r="K800" t="s">
        <v>1307</v>
      </c>
      <c r="L800" t="s">
        <v>1311</v>
      </c>
      <c r="M800">
        <v>2</v>
      </c>
      <c r="N800">
        <v>0.05</v>
      </c>
      <c r="O800">
        <v>548.92999999999995</v>
      </c>
      <c r="P800">
        <v>59.11</v>
      </c>
      <c r="Q800" t="s">
        <v>1331</v>
      </c>
      <c r="R800" t="b">
        <f t="shared" si="37"/>
        <v>0</v>
      </c>
      <c r="S800" t="b">
        <f t="shared" si="38"/>
        <v>0</v>
      </c>
      <c r="T800" t="b">
        <f t="shared" si="39"/>
        <v>0</v>
      </c>
    </row>
    <row r="801" spans="1:20" x14ac:dyDescent="0.3">
      <c r="A801">
        <v>800</v>
      </c>
      <c r="B801" t="s">
        <v>816</v>
      </c>
      <c r="C801" s="2">
        <v>45720</v>
      </c>
      <c r="D801" s="2">
        <v>45724</v>
      </c>
      <c r="E801" t="s">
        <v>1017</v>
      </c>
      <c r="F801" t="s">
        <v>1132</v>
      </c>
      <c r="G801" t="s">
        <v>1272</v>
      </c>
      <c r="H801" t="s">
        <v>1287</v>
      </c>
      <c r="I801" t="s">
        <v>1295</v>
      </c>
      <c r="J801" t="s">
        <v>1305</v>
      </c>
      <c r="K801" t="s">
        <v>1308</v>
      </c>
      <c r="L801" t="s">
        <v>1319</v>
      </c>
      <c r="M801">
        <v>2</v>
      </c>
      <c r="N801">
        <v>0.2</v>
      </c>
      <c r="O801">
        <v>7571.78</v>
      </c>
      <c r="P801">
        <v>369.37</v>
      </c>
      <c r="Q801" t="s">
        <v>1331</v>
      </c>
      <c r="R801" t="b">
        <f t="shared" si="37"/>
        <v>0</v>
      </c>
      <c r="S801" t="b">
        <f t="shared" si="38"/>
        <v>0</v>
      </c>
      <c r="T801" t="b">
        <f t="shared" si="39"/>
        <v>0</v>
      </c>
    </row>
    <row r="802" spans="1:20" x14ac:dyDescent="0.3">
      <c r="A802">
        <v>801</v>
      </c>
      <c r="B802" t="s">
        <v>817</v>
      </c>
      <c r="C802" s="2">
        <v>45736</v>
      </c>
      <c r="D802" s="2">
        <v>45741</v>
      </c>
      <c r="E802" t="s">
        <v>1017</v>
      </c>
      <c r="F802" t="s">
        <v>1223</v>
      </c>
      <c r="G802" t="s">
        <v>1273</v>
      </c>
      <c r="H802" t="s">
        <v>1289</v>
      </c>
      <c r="I802" t="s">
        <v>1298</v>
      </c>
      <c r="J802" t="s">
        <v>1303</v>
      </c>
      <c r="K802" t="s">
        <v>1307</v>
      </c>
      <c r="L802" t="s">
        <v>1311</v>
      </c>
      <c r="M802">
        <v>3</v>
      </c>
      <c r="N802">
        <v>0.2</v>
      </c>
      <c r="O802">
        <v>687.36</v>
      </c>
      <c r="P802">
        <v>30.66</v>
      </c>
      <c r="Q802" t="s">
        <v>1333</v>
      </c>
      <c r="R802" t="b">
        <f t="shared" si="37"/>
        <v>0</v>
      </c>
      <c r="S802" t="b">
        <f t="shared" si="38"/>
        <v>0</v>
      </c>
      <c r="T802" t="b">
        <f t="shared" si="39"/>
        <v>0</v>
      </c>
    </row>
    <row r="803" spans="1:20" x14ac:dyDescent="0.3">
      <c r="A803">
        <v>802</v>
      </c>
      <c r="B803" t="s">
        <v>818</v>
      </c>
      <c r="C803" s="2">
        <v>45799</v>
      </c>
      <c r="D803" s="2">
        <v>45804</v>
      </c>
      <c r="E803" t="s">
        <v>1017</v>
      </c>
      <c r="F803" t="s">
        <v>1029</v>
      </c>
      <c r="G803" t="s">
        <v>1269</v>
      </c>
      <c r="H803" t="s">
        <v>1288</v>
      </c>
      <c r="I803" t="s">
        <v>1295</v>
      </c>
      <c r="J803" t="s">
        <v>1305</v>
      </c>
      <c r="K803" t="s">
        <v>1307</v>
      </c>
      <c r="L803" t="s">
        <v>1314</v>
      </c>
      <c r="M803">
        <v>3</v>
      </c>
      <c r="N803">
        <v>0</v>
      </c>
      <c r="O803">
        <v>2615.41</v>
      </c>
      <c r="P803">
        <v>451.99</v>
      </c>
      <c r="Q803" t="s">
        <v>1333</v>
      </c>
      <c r="R803" t="b">
        <f t="shared" si="37"/>
        <v>0</v>
      </c>
      <c r="S803" t="b">
        <f t="shared" si="38"/>
        <v>0</v>
      </c>
      <c r="T803" t="b">
        <f t="shared" si="39"/>
        <v>0</v>
      </c>
    </row>
    <row r="804" spans="1:20" x14ac:dyDescent="0.3">
      <c r="A804">
        <v>803</v>
      </c>
      <c r="B804" t="s">
        <v>819</v>
      </c>
      <c r="C804" s="2">
        <v>45946</v>
      </c>
      <c r="D804" s="2">
        <v>45948</v>
      </c>
      <c r="E804" t="s">
        <v>1017</v>
      </c>
      <c r="F804" t="s">
        <v>1037</v>
      </c>
      <c r="G804" t="s">
        <v>1273</v>
      </c>
      <c r="H804" t="s">
        <v>1287</v>
      </c>
      <c r="I804" t="s">
        <v>1292</v>
      </c>
      <c r="J804" t="s">
        <v>1303</v>
      </c>
      <c r="K804" t="s">
        <v>1309</v>
      </c>
      <c r="L804" t="s">
        <v>1313</v>
      </c>
      <c r="M804">
        <v>1</v>
      </c>
      <c r="N804">
        <v>0.05</v>
      </c>
      <c r="O804">
        <v>1434.67</v>
      </c>
      <c r="P804">
        <v>258.77</v>
      </c>
      <c r="Q804" t="s">
        <v>1332</v>
      </c>
      <c r="R804" t="b">
        <f t="shared" si="37"/>
        <v>0</v>
      </c>
      <c r="S804" t="b">
        <f t="shared" si="38"/>
        <v>0</v>
      </c>
      <c r="T804" t="b">
        <f t="shared" si="39"/>
        <v>0</v>
      </c>
    </row>
    <row r="805" spans="1:20" x14ac:dyDescent="0.3">
      <c r="A805">
        <v>804</v>
      </c>
      <c r="B805" t="s">
        <v>820</v>
      </c>
      <c r="C805" s="2">
        <v>45718</v>
      </c>
      <c r="D805" s="2">
        <v>45722</v>
      </c>
      <c r="E805" t="s">
        <v>1018</v>
      </c>
      <c r="F805" t="s">
        <v>1087</v>
      </c>
      <c r="G805" t="s">
        <v>1276</v>
      </c>
      <c r="H805" t="s">
        <v>1287</v>
      </c>
      <c r="I805" t="s">
        <v>1292</v>
      </c>
      <c r="J805" t="s">
        <v>1303</v>
      </c>
      <c r="K805" t="s">
        <v>1306</v>
      </c>
      <c r="L805" t="s">
        <v>1324</v>
      </c>
      <c r="M805">
        <v>1</v>
      </c>
      <c r="N805">
        <v>0.05</v>
      </c>
      <c r="O805">
        <v>81.95</v>
      </c>
      <c r="P805">
        <v>11.54</v>
      </c>
      <c r="Q805" t="s">
        <v>1332</v>
      </c>
      <c r="R805" t="b">
        <f t="shared" si="37"/>
        <v>0</v>
      </c>
      <c r="S805" t="b">
        <f t="shared" si="38"/>
        <v>0</v>
      </c>
      <c r="T805" t="b">
        <f t="shared" si="39"/>
        <v>0</v>
      </c>
    </row>
    <row r="806" spans="1:20" x14ac:dyDescent="0.3">
      <c r="A806">
        <v>805</v>
      </c>
      <c r="B806" t="s">
        <v>821</v>
      </c>
      <c r="C806" s="2">
        <v>45832</v>
      </c>
      <c r="D806" s="2">
        <v>45835</v>
      </c>
      <c r="E806" t="s">
        <v>1017</v>
      </c>
      <c r="F806" t="s">
        <v>1033</v>
      </c>
      <c r="G806" t="s">
        <v>1276</v>
      </c>
      <c r="H806" t="s">
        <v>1287</v>
      </c>
      <c r="I806" t="s">
        <v>1294</v>
      </c>
      <c r="J806" t="s">
        <v>1305</v>
      </c>
      <c r="K806" t="s">
        <v>1308</v>
      </c>
      <c r="L806" t="s">
        <v>1312</v>
      </c>
      <c r="M806">
        <v>1</v>
      </c>
      <c r="N806">
        <v>0</v>
      </c>
      <c r="O806">
        <v>1287.47</v>
      </c>
      <c r="P806">
        <v>240.49</v>
      </c>
      <c r="Q806" t="s">
        <v>1331</v>
      </c>
      <c r="R806" t="b">
        <f t="shared" si="37"/>
        <v>0</v>
      </c>
      <c r="S806" t="b">
        <f t="shared" si="38"/>
        <v>0</v>
      </c>
      <c r="T806" t="b">
        <f t="shared" si="39"/>
        <v>0</v>
      </c>
    </row>
    <row r="807" spans="1:20" x14ac:dyDescent="0.3">
      <c r="A807">
        <v>806</v>
      </c>
      <c r="B807" t="s">
        <v>822</v>
      </c>
      <c r="C807" s="2">
        <v>45843</v>
      </c>
      <c r="D807" s="2">
        <v>45845</v>
      </c>
      <c r="E807" t="s">
        <v>1017</v>
      </c>
      <c r="F807" t="s">
        <v>1248</v>
      </c>
      <c r="G807" t="s">
        <v>1269</v>
      </c>
      <c r="H807" t="s">
        <v>1287</v>
      </c>
      <c r="I807" t="s">
        <v>1301</v>
      </c>
      <c r="J807" t="s">
        <v>1303</v>
      </c>
      <c r="K807" t="s">
        <v>1306</v>
      </c>
      <c r="L807" t="s">
        <v>1323</v>
      </c>
      <c r="M807">
        <v>3</v>
      </c>
      <c r="N807">
        <v>0.1</v>
      </c>
      <c r="O807">
        <v>474.53</v>
      </c>
      <c r="P807">
        <v>37.36</v>
      </c>
      <c r="Q807" t="s">
        <v>1333</v>
      </c>
      <c r="R807" t="b">
        <f t="shared" si="37"/>
        <v>0</v>
      </c>
      <c r="S807" t="b">
        <f t="shared" si="38"/>
        <v>0</v>
      </c>
      <c r="T807" t="b">
        <f t="shared" si="39"/>
        <v>0</v>
      </c>
    </row>
    <row r="808" spans="1:20" x14ac:dyDescent="0.3">
      <c r="A808">
        <v>807</v>
      </c>
      <c r="B808" t="s">
        <v>823</v>
      </c>
      <c r="C808" s="2">
        <v>45813</v>
      </c>
      <c r="D808" s="2">
        <v>45815</v>
      </c>
      <c r="E808" t="s">
        <v>1018</v>
      </c>
      <c r="F808" t="s">
        <v>1086</v>
      </c>
      <c r="G808" t="s">
        <v>1277</v>
      </c>
      <c r="H808" t="s">
        <v>1287</v>
      </c>
      <c r="I808" t="s">
        <v>1294</v>
      </c>
      <c r="J808" t="s">
        <v>1305</v>
      </c>
      <c r="K808" t="s">
        <v>1309</v>
      </c>
      <c r="L808" t="s">
        <v>1317</v>
      </c>
      <c r="M808">
        <v>2</v>
      </c>
      <c r="N808">
        <v>0</v>
      </c>
      <c r="O808">
        <v>1677.82</v>
      </c>
      <c r="P808">
        <v>420.12</v>
      </c>
      <c r="Q808" t="s">
        <v>1331</v>
      </c>
      <c r="R808" t="b">
        <f t="shared" si="37"/>
        <v>0</v>
      </c>
      <c r="S808" t="b">
        <f t="shared" si="38"/>
        <v>0</v>
      </c>
      <c r="T808" t="b">
        <f t="shared" si="39"/>
        <v>0</v>
      </c>
    </row>
    <row r="809" spans="1:20" x14ac:dyDescent="0.3">
      <c r="A809">
        <v>808</v>
      </c>
      <c r="B809" t="s">
        <v>824</v>
      </c>
      <c r="C809" s="2">
        <v>45702</v>
      </c>
      <c r="D809" s="2">
        <v>45703</v>
      </c>
      <c r="E809" t="s">
        <v>1018</v>
      </c>
      <c r="F809" t="s">
        <v>1140</v>
      </c>
      <c r="G809" t="s">
        <v>1276</v>
      </c>
      <c r="H809" t="s">
        <v>1287</v>
      </c>
      <c r="I809" t="s">
        <v>1294</v>
      </c>
      <c r="J809" t="s">
        <v>1305</v>
      </c>
      <c r="K809" t="s">
        <v>1309</v>
      </c>
      <c r="L809" t="s">
        <v>1325</v>
      </c>
      <c r="M809">
        <v>3</v>
      </c>
      <c r="N809">
        <v>0.2</v>
      </c>
      <c r="O809">
        <v>3023.73</v>
      </c>
      <c r="P809">
        <v>545.44000000000005</v>
      </c>
      <c r="Q809" t="s">
        <v>1331</v>
      </c>
      <c r="R809" t="b">
        <f t="shared" si="37"/>
        <v>0</v>
      </c>
      <c r="S809" t="b">
        <f t="shared" si="38"/>
        <v>0</v>
      </c>
      <c r="T809" t="b">
        <f t="shared" si="39"/>
        <v>0</v>
      </c>
    </row>
    <row r="810" spans="1:20" x14ac:dyDescent="0.3">
      <c r="A810">
        <v>809</v>
      </c>
      <c r="B810" t="s">
        <v>825</v>
      </c>
      <c r="C810" s="2">
        <v>45836</v>
      </c>
      <c r="D810" s="2">
        <v>45838</v>
      </c>
      <c r="E810" t="s">
        <v>1017</v>
      </c>
      <c r="F810" t="s">
        <v>1184</v>
      </c>
      <c r="G810" t="s">
        <v>1270</v>
      </c>
      <c r="H810" t="s">
        <v>1288</v>
      </c>
      <c r="I810" t="s">
        <v>1293</v>
      </c>
      <c r="J810" t="s">
        <v>1304</v>
      </c>
      <c r="K810" t="s">
        <v>1309</v>
      </c>
      <c r="L810" t="s">
        <v>1313</v>
      </c>
      <c r="M810">
        <v>2</v>
      </c>
      <c r="N810">
        <v>0.1</v>
      </c>
      <c r="O810">
        <v>2631.1</v>
      </c>
      <c r="P810">
        <v>672.69</v>
      </c>
      <c r="Q810" t="s">
        <v>1332</v>
      </c>
      <c r="R810" t="b">
        <f t="shared" si="37"/>
        <v>0</v>
      </c>
      <c r="S810" t="b">
        <f t="shared" si="38"/>
        <v>0</v>
      </c>
      <c r="T810" t="b">
        <f t="shared" si="39"/>
        <v>0</v>
      </c>
    </row>
    <row r="811" spans="1:20" x14ac:dyDescent="0.3">
      <c r="A811">
        <v>810</v>
      </c>
      <c r="B811" t="s">
        <v>826</v>
      </c>
      <c r="C811" s="2">
        <v>45723</v>
      </c>
      <c r="D811" s="2">
        <v>45727</v>
      </c>
      <c r="E811" t="s">
        <v>1017</v>
      </c>
      <c r="F811" t="s">
        <v>1197</v>
      </c>
      <c r="G811" t="s">
        <v>1284</v>
      </c>
      <c r="H811" t="s">
        <v>1287</v>
      </c>
      <c r="I811" t="s">
        <v>1293</v>
      </c>
      <c r="J811" t="s">
        <v>1304</v>
      </c>
      <c r="K811" t="s">
        <v>1309</v>
      </c>
      <c r="L811" t="s">
        <v>1320</v>
      </c>
      <c r="M811">
        <v>2</v>
      </c>
      <c r="N811">
        <v>0.1</v>
      </c>
      <c r="O811">
        <v>2172.33</v>
      </c>
      <c r="P811">
        <v>342.41</v>
      </c>
      <c r="Q811" t="s">
        <v>1331</v>
      </c>
      <c r="R811" t="b">
        <f t="shared" si="37"/>
        <v>0</v>
      </c>
      <c r="S811" t="b">
        <f t="shared" si="38"/>
        <v>0</v>
      </c>
      <c r="T811" t="b">
        <f t="shared" si="39"/>
        <v>0</v>
      </c>
    </row>
    <row r="812" spans="1:20" x14ac:dyDescent="0.3">
      <c r="A812">
        <v>811</v>
      </c>
      <c r="B812" t="s">
        <v>827</v>
      </c>
      <c r="C812" s="2">
        <v>46011</v>
      </c>
      <c r="D812" s="2">
        <v>46014</v>
      </c>
      <c r="E812" t="s">
        <v>1018</v>
      </c>
      <c r="F812" t="s">
        <v>1054</v>
      </c>
      <c r="G812" t="s">
        <v>1283</v>
      </c>
      <c r="H812" t="s">
        <v>1288</v>
      </c>
      <c r="I812" t="s">
        <v>1292</v>
      </c>
      <c r="J812" t="s">
        <v>1303</v>
      </c>
      <c r="K812" t="s">
        <v>1307</v>
      </c>
      <c r="L812" t="s">
        <v>1311</v>
      </c>
      <c r="M812">
        <v>3</v>
      </c>
      <c r="N812">
        <v>0.2</v>
      </c>
      <c r="O812">
        <v>709.69</v>
      </c>
      <c r="P812">
        <v>83.1</v>
      </c>
      <c r="Q812" t="s">
        <v>1332</v>
      </c>
      <c r="R812" t="b">
        <f t="shared" si="37"/>
        <v>0</v>
      </c>
      <c r="S812" t="b">
        <f t="shared" si="38"/>
        <v>0</v>
      </c>
      <c r="T812" t="b">
        <f t="shared" si="39"/>
        <v>0</v>
      </c>
    </row>
    <row r="813" spans="1:20" x14ac:dyDescent="0.3">
      <c r="A813">
        <v>812</v>
      </c>
      <c r="B813" t="s">
        <v>828</v>
      </c>
      <c r="C813" s="2">
        <v>45832</v>
      </c>
      <c r="D813" s="2">
        <v>45833</v>
      </c>
      <c r="E813" t="s">
        <v>1017</v>
      </c>
      <c r="F813" t="s">
        <v>1223</v>
      </c>
      <c r="G813" t="s">
        <v>1275</v>
      </c>
      <c r="H813" t="s">
        <v>1289</v>
      </c>
      <c r="I813" t="s">
        <v>1296</v>
      </c>
      <c r="J813" t="s">
        <v>1304</v>
      </c>
      <c r="K813" t="s">
        <v>1306</v>
      </c>
      <c r="L813" t="s">
        <v>1323</v>
      </c>
      <c r="M813">
        <v>2</v>
      </c>
      <c r="N813">
        <v>0</v>
      </c>
      <c r="O813">
        <v>363</v>
      </c>
      <c r="P813">
        <v>71.55</v>
      </c>
      <c r="Q813" t="s">
        <v>1330</v>
      </c>
      <c r="R813" t="b">
        <f t="shared" si="37"/>
        <v>0</v>
      </c>
      <c r="S813" t="b">
        <f t="shared" si="38"/>
        <v>0</v>
      </c>
      <c r="T813" t="b">
        <f t="shared" si="39"/>
        <v>0</v>
      </c>
    </row>
    <row r="814" spans="1:20" x14ac:dyDescent="0.3">
      <c r="A814">
        <v>813</v>
      </c>
      <c r="B814" t="s">
        <v>829</v>
      </c>
      <c r="C814" s="2">
        <v>45694</v>
      </c>
      <c r="D814" s="2">
        <v>45697</v>
      </c>
      <c r="E814" t="s">
        <v>1017</v>
      </c>
      <c r="F814" t="s">
        <v>1170</v>
      </c>
      <c r="G814" t="s">
        <v>1272</v>
      </c>
      <c r="H814" t="s">
        <v>1288</v>
      </c>
      <c r="I814" t="s">
        <v>1300</v>
      </c>
      <c r="J814" t="s">
        <v>1305</v>
      </c>
      <c r="K814" t="s">
        <v>1307</v>
      </c>
      <c r="L814" t="s">
        <v>1315</v>
      </c>
      <c r="M814">
        <v>3</v>
      </c>
      <c r="N814">
        <v>0.15</v>
      </c>
      <c r="O814">
        <v>4576.7299999999996</v>
      </c>
      <c r="P814">
        <v>296.14999999999998</v>
      </c>
      <c r="Q814" t="s">
        <v>1332</v>
      </c>
      <c r="R814" t="b">
        <f t="shared" si="37"/>
        <v>0</v>
      </c>
      <c r="S814" t="b">
        <f t="shared" si="38"/>
        <v>0</v>
      </c>
      <c r="T814" t="b">
        <f t="shared" si="39"/>
        <v>0</v>
      </c>
    </row>
    <row r="815" spans="1:20" x14ac:dyDescent="0.3">
      <c r="A815">
        <v>814</v>
      </c>
      <c r="B815" t="s">
        <v>830</v>
      </c>
      <c r="C815" s="2">
        <v>45924</v>
      </c>
      <c r="D815" s="2">
        <v>45927</v>
      </c>
      <c r="E815" t="s">
        <v>1017</v>
      </c>
      <c r="F815" t="s">
        <v>1142</v>
      </c>
      <c r="G815" t="s">
        <v>1270</v>
      </c>
      <c r="H815" t="s">
        <v>1287</v>
      </c>
      <c r="I815" t="s">
        <v>1299</v>
      </c>
      <c r="J815" t="s">
        <v>1304</v>
      </c>
      <c r="K815" t="s">
        <v>1307</v>
      </c>
      <c r="L815" t="s">
        <v>1314</v>
      </c>
      <c r="M815">
        <v>4</v>
      </c>
      <c r="N815">
        <v>0.05</v>
      </c>
      <c r="O815">
        <v>3387.79</v>
      </c>
      <c r="P815">
        <v>755.37</v>
      </c>
      <c r="Q815" t="s">
        <v>1331</v>
      </c>
      <c r="R815" t="b">
        <f t="shared" si="37"/>
        <v>0</v>
      </c>
      <c r="S815" t="b">
        <f t="shared" si="38"/>
        <v>0</v>
      </c>
      <c r="T815" t="b">
        <f t="shared" si="39"/>
        <v>0</v>
      </c>
    </row>
    <row r="816" spans="1:20" x14ac:dyDescent="0.3">
      <c r="A816">
        <v>815</v>
      </c>
      <c r="B816" t="s">
        <v>831</v>
      </c>
      <c r="C816" s="2">
        <v>45744</v>
      </c>
      <c r="D816" s="2">
        <v>45748</v>
      </c>
      <c r="E816" t="s">
        <v>1017</v>
      </c>
      <c r="F816" t="s">
        <v>1190</v>
      </c>
      <c r="G816" t="s">
        <v>1278</v>
      </c>
      <c r="H816" t="s">
        <v>1289</v>
      </c>
      <c r="I816" t="s">
        <v>1290</v>
      </c>
      <c r="J816" t="s">
        <v>1302</v>
      </c>
      <c r="K816" t="s">
        <v>1307</v>
      </c>
      <c r="L816" t="s">
        <v>1311</v>
      </c>
      <c r="M816">
        <v>1</v>
      </c>
      <c r="N816">
        <v>0.2</v>
      </c>
      <c r="O816">
        <v>242.88</v>
      </c>
      <c r="P816">
        <v>17.3</v>
      </c>
      <c r="Q816" t="s">
        <v>1332</v>
      </c>
      <c r="R816" t="b">
        <f t="shared" si="37"/>
        <v>0</v>
      </c>
      <c r="S816" t="b">
        <f t="shared" si="38"/>
        <v>0</v>
      </c>
      <c r="T816" t="b">
        <f t="shared" si="39"/>
        <v>0</v>
      </c>
    </row>
    <row r="817" spans="1:20" x14ac:dyDescent="0.3">
      <c r="A817">
        <v>816</v>
      </c>
      <c r="B817" t="s">
        <v>832</v>
      </c>
      <c r="C817" s="2">
        <v>45665</v>
      </c>
      <c r="D817" s="2">
        <v>45670</v>
      </c>
      <c r="E817" t="s">
        <v>1017</v>
      </c>
      <c r="F817" t="s">
        <v>1200</v>
      </c>
      <c r="G817" t="s">
        <v>1282</v>
      </c>
      <c r="H817" t="s">
        <v>1287</v>
      </c>
      <c r="I817" t="s">
        <v>1298</v>
      </c>
      <c r="J817" t="s">
        <v>1303</v>
      </c>
      <c r="K817" t="s">
        <v>1306</v>
      </c>
      <c r="L817" t="s">
        <v>1321</v>
      </c>
      <c r="M817">
        <v>1</v>
      </c>
      <c r="N817">
        <v>0.1</v>
      </c>
      <c r="O817">
        <v>424.98</v>
      </c>
      <c r="P817">
        <v>144.94</v>
      </c>
      <c r="Q817" t="s">
        <v>1331</v>
      </c>
      <c r="R817" t="b">
        <f t="shared" si="37"/>
        <v>0</v>
      </c>
      <c r="S817" t="b">
        <f t="shared" si="38"/>
        <v>0</v>
      </c>
      <c r="T817" t="b">
        <f t="shared" si="39"/>
        <v>0</v>
      </c>
    </row>
    <row r="818" spans="1:20" x14ac:dyDescent="0.3">
      <c r="A818">
        <v>817</v>
      </c>
      <c r="B818" t="s">
        <v>833</v>
      </c>
      <c r="C818" s="2">
        <v>45836</v>
      </c>
      <c r="D818" s="2">
        <v>45841</v>
      </c>
      <c r="E818" t="s">
        <v>1017</v>
      </c>
      <c r="F818" t="s">
        <v>1184</v>
      </c>
      <c r="G818" t="s">
        <v>1280</v>
      </c>
      <c r="H818" t="s">
        <v>1287</v>
      </c>
      <c r="I818" t="s">
        <v>1296</v>
      </c>
      <c r="J818" t="s">
        <v>1304</v>
      </c>
      <c r="K818" t="s">
        <v>1306</v>
      </c>
      <c r="L818" t="s">
        <v>1324</v>
      </c>
      <c r="M818">
        <v>5</v>
      </c>
      <c r="N818">
        <v>0.2</v>
      </c>
      <c r="O818">
        <v>358.77</v>
      </c>
      <c r="P818">
        <v>33.69</v>
      </c>
      <c r="Q818" t="s">
        <v>1334</v>
      </c>
      <c r="R818" t="b">
        <f t="shared" si="37"/>
        <v>0</v>
      </c>
      <c r="S818" t="b">
        <f t="shared" si="38"/>
        <v>0</v>
      </c>
      <c r="T818" t="b">
        <f t="shared" si="39"/>
        <v>0</v>
      </c>
    </row>
    <row r="819" spans="1:20" x14ac:dyDescent="0.3">
      <c r="A819">
        <v>818</v>
      </c>
      <c r="B819" t="s">
        <v>834</v>
      </c>
      <c r="C819" s="2">
        <v>45963</v>
      </c>
      <c r="D819" s="2">
        <v>45966</v>
      </c>
      <c r="E819" t="s">
        <v>1018</v>
      </c>
      <c r="F819" t="s">
        <v>1140</v>
      </c>
      <c r="G819" t="s">
        <v>1276</v>
      </c>
      <c r="H819" t="s">
        <v>1287</v>
      </c>
      <c r="I819" t="s">
        <v>1294</v>
      </c>
      <c r="J819" t="s">
        <v>1305</v>
      </c>
      <c r="K819" t="s">
        <v>1307</v>
      </c>
      <c r="L819" t="s">
        <v>1315</v>
      </c>
      <c r="M819">
        <v>3</v>
      </c>
      <c r="N819">
        <v>0</v>
      </c>
      <c r="O819">
        <v>5207.1000000000004</v>
      </c>
      <c r="P819">
        <v>1155.22</v>
      </c>
      <c r="Q819" t="s">
        <v>1330</v>
      </c>
      <c r="R819" t="b">
        <f t="shared" si="37"/>
        <v>0</v>
      </c>
      <c r="S819" t="b">
        <f t="shared" si="38"/>
        <v>0</v>
      </c>
      <c r="T819" t="b">
        <f t="shared" si="39"/>
        <v>0</v>
      </c>
    </row>
    <row r="820" spans="1:20" x14ac:dyDescent="0.3">
      <c r="A820">
        <v>819</v>
      </c>
      <c r="B820" t="s">
        <v>835</v>
      </c>
      <c r="C820" s="2">
        <v>45999</v>
      </c>
      <c r="D820" s="2">
        <v>46002</v>
      </c>
      <c r="E820" t="s">
        <v>1017</v>
      </c>
      <c r="F820" t="s">
        <v>1222</v>
      </c>
      <c r="G820" t="s">
        <v>1271</v>
      </c>
      <c r="H820" t="s">
        <v>1289</v>
      </c>
      <c r="I820" t="s">
        <v>1295</v>
      </c>
      <c r="J820" t="s">
        <v>1305</v>
      </c>
      <c r="K820" t="s">
        <v>1307</v>
      </c>
      <c r="L820" t="s">
        <v>1315</v>
      </c>
      <c r="M820">
        <v>2</v>
      </c>
      <c r="N820">
        <v>0.05</v>
      </c>
      <c r="O820">
        <v>3340.9</v>
      </c>
      <c r="P820">
        <v>964.31</v>
      </c>
      <c r="Q820" t="s">
        <v>1333</v>
      </c>
      <c r="R820" t="b">
        <f t="shared" si="37"/>
        <v>0</v>
      </c>
      <c r="S820" t="b">
        <f t="shared" si="38"/>
        <v>0</v>
      </c>
      <c r="T820" t="b">
        <f t="shared" si="39"/>
        <v>0</v>
      </c>
    </row>
    <row r="821" spans="1:20" x14ac:dyDescent="0.3">
      <c r="A821">
        <v>820</v>
      </c>
      <c r="B821" t="s">
        <v>836</v>
      </c>
      <c r="C821" s="2">
        <v>45865</v>
      </c>
      <c r="D821" s="2">
        <v>45869</v>
      </c>
      <c r="E821" t="s">
        <v>1019</v>
      </c>
      <c r="F821" t="s">
        <v>1246</v>
      </c>
      <c r="G821" t="s">
        <v>1277</v>
      </c>
      <c r="H821" t="s">
        <v>1287</v>
      </c>
      <c r="I821" t="s">
        <v>1293</v>
      </c>
      <c r="J821" t="s">
        <v>1304</v>
      </c>
      <c r="K821" t="s">
        <v>1308</v>
      </c>
      <c r="L821" t="s">
        <v>1318</v>
      </c>
      <c r="M821">
        <v>1</v>
      </c>
      <c r="N821">
        <v>0</v>
      </c>
      <c r="O821">
        <v>5415.43</v>
      </c>
      <c r="P821">
        <v>1470.66</v>
      </c>
      <c r="Q821" t="s">
        <v>1331</v>
      </c>
      <c r="R821" t="b">
        <f t="shared" si="37"/>
        <v>0</v>
      </c>
      <c r="S821" t="b">
        <f t="shared" si="38"/>
        <v>0</v>
      </c>
      <c r="T821" t="b">
        <f t="shared" si="39"/>
        <v>0</v>
      </c>
    </row>
    <row r="822" spans="1:20" x14ac:dyDescent="0.3">
      <c r="A822">
        <v>821</v>
      </c>
      <c r="B822" t="s">
        <v>837</v>
      </c>
      <c r="C822" s="2">
        <v>45985</v>
      </c>
      <c r="D822" s="2">
        <v>45990</v>
      </c>
      <c r="E822" t="s">
        <v>1017</v>
      </c>
      <c r="F822" t="s">
        <v>1166</v>
      </c>
      <c r="G822" t="s">
        <v>1276</v>
      </c>
      <c r="H822" t="s">
        <v>1287</v>
      </c>
      <c r="I822" t="s">
        <v>1299</v>
      </c>
      <c r="J822" t="s">
        <v>1304</v>
      </c>
      <c r="K822" t="s">
        <v>1306</v>
      </c>
      <c r="L822" t="s">
        <v>1324</v>
      </c>
      <c r="M822">
        <v>2</v>
      </c>
      <c r="N822">
        <v>0.1</v>
      </c>
      <c r="O822">
        <v>160.51</v>
      </c>
      <c r="P822">
        <v>41.3</v>
      </c>
      <c r="Q822" t="s">
        <v>1332</v>
      </c>
      <c r="R822" t="b">
        <f t="shared" si="37"/>
        <v>0</v>
      </c>
      <c r="S822" t="b">
        <f t="shared" si="38"/>
        <v>0</v>
      </c>
      <c r="T822" t="b">
        <f t="shared" si="39"/>
        <v>0</v>
      </c>
    </row>
    <row r="823" spans="1:20" x14ac:dyDescent="0.3">
      <c r="A823">
        <v>822</v>
      </c>
      <c r="B823" t="s">
        <v>838</v>
      </c>
      <c r="C823" s="2">
        <v>45778</v>
      </c>
      <c r="D823" s="2">
        <v>45780</v>
      </c>
      <c r="E823" t="s">
        <v>1018</v>
      </c>
      <c r="F823" t="s">
        <v>1097</v>
      </c>
      <c r="G823" t="s">
        <v>1282</v>
      </c>
      <c r="H823" t="s">
        <v>1287</v>
      </c>
      <c r="I823" t="s">
        <v>1296</v>
      </c>
      <c r="J823" t="s">
        <v>1304</v>
      </c>
      <c r="K823" t="s">
        <v>1308</v>
      </c>
      <c r="L823" t="s">
        <v>1318</v>
      </c>
      <c r="M823">
        <v>1</v>
      </c>
      <c r="N823">
        <v>0</v>
      </c>
      <c r="O823">
        <v>5318.46</v>
      </c>
      <c r="P823">
        <v>1796.31</v>
      </c>
      <c r="Q823" t="s">
        <v>1330</v>
      </c>
      <c r="R823" t="b">
        <f t="shared" si="37"/>
        <v>0</v>
      </c>
      <c r="S823" t="b">
        <f t="shared" si="38"/>
        <v>0</v>
      </c>
      <c r="T823" t="b">
        <f t="shared" si="39"/>
        <v>0</v>
      </c>
    </row>
    <row r="824" spans="1:20" x14ac:dyDescent="0.3">
      <c r="A824">
        <v>823</v>
      </c>
      <c r="B824" t="s">
        <v>839</v>
      </c>
      <c r="C824" s="2">
        <v>45685</v>
      </c>
      <c r="D824" s="2">
        <v>45687</v>
      </c>
      <c r="E824" t="s">
        <v>1017</v>
      </c>
      <c r="F824" t="s">
        <v>1073</v>
      </c>
      <c r="G824" t="s">
        <v>1285</v>
      </c>
      <c r="H824" t="s">
        <v>1287</v>
      </c>
      <c r="I824" t="s">
        <v>1300</v>
      </c>
      <c r="J824" t="s">
        <v>1305</v>
      </c>
      <c r="K824" t="s">
        <v>1308</v>
      </c>
      <c r="L824" t="s">
        <v>1319</v>
      </c>
      <c r="M824">
        <v>4</v>
      </c>
      <c r="N824">
        <v>0</v>
      </c>
      <c r="O824">
        <v>17903.599999999999</v>
      </c>
      <c r="P824">
        <v>4202.46</v>
      </c>
      <c r="Q824" t="s">
        <v>1331</v>
      </c>
      <c r="R824" t="b">
        <f t="shared" si="37"/>
        <v>0</v>
      </c>
      <c r="S824" t="b">
        <f t="shared" si="38"/>
        <v>0</v>
      </c>
      <c r="T824" t="b">
        <f t="shared" si="39"/>
        <v>0</v>
      </c>
    </row>
    <row r="825" spans="1:20" x14ac:dyDescent="0.3">
      <c r="A825">
        <v>824</v>
      </c>
      <c r="B825" t="s">
        <v>840</v>
      </c>
      <c r="C825" s="2">
        <v>46006</v>
      </c>
      <c r="D825" s="2">
        <v>46010</v>
      </c>
      <c r="E825" t="s">
        <v>1017</v>
      </c>
      <c r="F825" t="s">
        <v>1066</v>
      </c>
      <c r="G825" t="s">
        <v>1276</v>
      </c>
      <c r="H825" t="s">
        <v>1287</v>
      </c>
      <c r="I825" t="s">
        <v>1301</v>
      </c>
      <c r="J825" t="s">
        <v>1303</v>
      </c>
      <c r="K825" t="s">
        <v>1308</v>
      </c>
      <c r="L825" t="s">
        <v>1326</v>
      </c>
      <c r="M825">
        <v>4</v>
      </c>
      <c r="N825">
        <v>0.2</v>
      </c>
      <c r="O825">
        <v>23023.5</v>
      </c>
      <c r="P825">
        <v>1276.6300000000001</v>
      </c>
      <c r="Q825" t="s">
        <v>1330</v>
      </c>
      <c r="R825" t="b">
        <f t="shared" si="37"/>
        <v>0</v>
      </c>
      <c r="S825" t="b">
        <f t="shared" si="38"/>
        <v>0</v>
      </c>
      <c r="T825" t="b">
        <f t="shared" si="39"/>
        <v>0</v>
      </c>
    </row>
    <row r="826" spans="1:20" x14ac:dyDescent="0.3">
      <c r="A826">
        <v>825</v>
      </c>
      <c r="B826" t="s">
        <v>841</v>
      </c>
      <c r="C826" s="2">
        <v>45909</v>
      </c>
      <c r="D826" s="2">
        <v>45912</v>
      </c>
      <c r="E826" t="s">
        <v>1017</v>
      </c>
      <c r="F826" t="s">
        <v>1260</v>
      </c>
      <c r="G826" t="s">
        <v>1269</v>
      </c>
      <c r="H826" t="s">
        <v>1287</v>
      </c>
      <c r="I826" t="s">
        <v>1300</v>
      </c>
      <c r="J826" t="s">
        <v>1305</v>
      </c>
      <c r="K826" t="s">
        <v>1309</v>
      </c>
      <c r="L826" t="s">
        <v>1313</v>
      </c>
      <c r="M826">
        <v>3</v>
      </c>
      <c r="N826">
        <v>0.1</v>
      </c>
      <c r="O826">
        <v>4209.76</v>
      </c>
      <c r="P826">
        <v>671.6</v>
      </c>
      <c r="Q826" t="s">
        <v>1331</v>
      </c>
      <c r="R826" t="b">
        <f t="shared" si="37"/>
        <v>0</v>
      </c>
      <c r="S826" t="b">
        <f t="shared" si="38"/>
        <v>0</v>
      </c>
      <c r="T826" t="b">
        <f t="shared" si="39"/>
        <v>0</v>
      </c>
    </row>
    <row r="827" spans="1:20" x14ac:dyDescent="0.3">
      <c r="A827">
        <v>826</v>
      </c>
      <c r="B827" t="s">
        <v>842</v>
      </c>
      <c r="C827" s="2">
        <v>45665</v>
      </c>
      <c r="D827" s="2">
        <v>45666</v>
      </c>
      <c r="E827" t="s">
        <v>1017</v>
      </c>
      <c r="F827" t="s">
        <v>1223</v>
      </c>
      <c r="G827" t="s">
        <v>1271</v>
      </c>
      <c r="H827" t="s">
        <v>1289</v>
      </c>
      <c r="I827" t="s">
        <v>1297</v>
      </c>
      <c r="J827" t="s">
        <v>1304</v>
      </c>
      <c r="K827" t="s">
        <v>1307</v>
      </c>
      <c r="L827" t="s">
        <v>1316</v>
      </c>
      <c r="M827">
        <v>2</v>
      </c>
      <c r="N827">
        <v>0.1</v>
      </c>
      <c r="O827">
        <v>899.9</v>
      </c>
      <c r="P827">
        <v>253.21</v>
      </c>
      <c r="Q827" t="s">
        <v>1333</v>
      </c>
      <c r="R827" t="b">
        <f t="shared" si="37"/>
        <v>0</v>
      </c>
      <c r="S827" t="b">
        <f t="shared" si="38"/>
        <v>0</v>
      </c>
      <c r="T827" t="b">
        <f t="shared" si="39"/>
        <v>0</v>
      </c>
    </row>
    <row r="828" spans="1:20" x14ac:dyDescent="0.3">
      <c r="A828">
        <v>827</v>
      </c>
      <c r="B828" t="s">
        <v>843</v>
      </c>
      <c r="C828" s="2">
        <v>45696</v>
      </c>
      <c r="D828" s="2">
        <v>45698</v>
      </c>
      <c r="E828" t="s">
        <v>1018</v>
      </c>
      <c r="F828" t="s">
        <v>1150</v>
      </c>
      <c r="G828" t="s">
        <v>1267</v>
      </c>
      <c r="H828" t="s">
        <v>1289</v>
      </c>
      <c r="I828" t="s">
        <v>1300</v>
      </c>
      <c r="J828" t="s">
        <v>1305</v>
      </c>
      <c r="K828" t="s">
        <v>1308</v>
      </c>
      <c r="L828" t="s">
        <v>1319</v>
      </c>
      <c r="M828">
        <v>2</v>
      </c>
      <c r="N828">
        <v>0.1</v>
      </c>
      <c r="O828">
        <v>8185.4</v>
      </c>
      <c r="P828">
        <v>1791.02</v>
      </c>
      <c r="Q828" t="s">
        <v>1334</v>
      </c>
      <c r="R828" t="b">
        <f t="shared" si="37"/>
        <v>0</v>
      </c>
      <c r="S828" t="b">
        <f t="shared" si="38"/>
        <v>0</v>
      </c>
      <c r="T828" t="b">
        <f t="shared" si="39"/>
        <v>0</v>
      </c>
    </row>
    <row r="829" spans="1:20" x14ac:dyDescent="0.3">
      <c r="A829">
        <v>828</v>
      </c>
      <c r="B829" t="s">
        <v>844</v>
      </c>
      <c r="C829" s="2">
        <v>45899</v>
      </c>
      <c r="D829" s="2">
        <v>45903</v>
      </c>
      <c r="E829" t="s">
        <v>1018</v>
      </c>
      <c r="F829" t="s">
        <v>1046</v>
      </c>
      <c r="G829" t="s">
        <v>1272</v>
      </c>
      <c r="H829" t="s">
        <v>1287</v>
      </c>
      <c r="I829" t="s">
        <v>1293</v>
      </c>
      <c r="J829" t="s">
        <v>1304</v>
      </c>
      <c r="K829" t="s">
        <v>1309</v>
      </c>
      <c r="L829" t="s">
        <v>1317</v>
      </c>
      <c r="M829">
        <v>1</v>
      </c>
      <c r="N829">
        <v>0.1</v>
      </c>
      <c r="O829">
        <v>699.46</v>
      </c>
      <c r="P829">
        <v>55.58</v>
      </c>
      <c r="Q829" t="s">
        <v>1332</v>
      </c>
      <c r="R829" t="b">
        <f t="shared" si="37"/>
        <v>0</v>
      </c>
      <c r="S829" t="b">
        <f t="shared" si="38"/>
        <v>0</v>
      </c>
      <c r="T829" t="b">
        <f t="shared" si="39"/>
        <v>0</v>
      </c>
    </row>
    <row r="830" spans="1:20" x14ac:dyDescent="0.3">
      <c r="A830">
        <v>829</v>
      </c>
      <c r="B830" t="s">
        <v>845</v>
      </c>
      <c r="C830" s="2">
        <v>45826</v>
      </c>
      <c r="D830" s="2">
        <v>45829</v>
      </c>
      <c r="E830" t="s">
        <v>1017</v>
      </c>
      <c r="F830" t="s">
        <v>1246</v>
      </c>
      <c r="G830" t="s">
        <v>1275</v>
      </c>
      <c r="H830" t="s">
        <v>1287</v>
      </c>
      <c r="I830" t="s">
        <v>1296</v>
      </c>
      <c r="J830" t="s">
        <v>1304</v>
      </c>
      <c r="K830" t="s">
        <v>1308</v>
      </c>
      <c r="L830" t="s">
        <v>1312</v>
      </c>
      <c r="M830">
        <v>1</v>
      </c>
      <c r="N830">
        <v>0</v>
      </c>
      <c r="O830">
        <v>1317.78</v>
      </c>
      <c r="P830">
        <v>323.17</v>
      </c>
      <c r="Q830" t="s">
        <v>1331</v>
      </c>
      <c r="R830" t="b">
        <f t="shared" si="37"/>
        <v>0</v>
      </c>
      <c r="S830" t="b">
        <f t="shared" si="38"/>
        <v>0</v>
      </c>
      <c r="T830" t="b">
        <f t="shared" si="39"/>
        <v>0</v>
      </c>
    </row>
    <row r="831" spans="1:20" x14ac:dyDescent="0.3">
      <c r="A831">
        <v>830</v>
      </c>
      <c r="B831" t="s">
        <v>846</v>
      </c>
      <c r="C831" s="2">
        <v>45997</v>
      </c>
      <c r="D831" s="2">
        <v>45998</v>
      </c>
      <c r="E831" t="s">
        <v>1017</v>
      </c>
      <c r="F831" t="s">
        <v>1147</v>
      </c>
      <c r="G831" t="s">
        <v>1280</v>
      </c>
      <c r="H831" t="s">
        <v>1289</v>
      </c>
      <c r="I831" t="s">
        <v>1292</v>
      </c>
      <c r="J831" t="s">
        <v>1303</v>
      </c>
      <c r="K831" t="s">
        <v>1308</v>
      </c>
      <c r="L831" t="s">
        <v>1327</v>
      </c>
      <c r="M831">
        <v>3</v>
      </c>
      <c r="N831">
        <v>0.1</v>
      </c>
      <c r="O831">
        <v>4957.0600000000004</v>
      </c>
      <c r="P831">
        <v>1296.19</v>
      </c>
      <c r="Q831" t="s">
        <v>1332</v>
      </c>
      <c r="R831" t="b">
        <f t="shared" si="37"/>
        <v>0</v>
      </c>
      <c r="S831" t="b">
        <f t="shared" si="38"/>
        <v>0</v>
      </c>
      <c r="T831" t="b">
        <f t="shared" si="39"/>
        <v>0</v>
      </c>
    </row>
    <row r="832" spans="1:20" x14ac:dyDescent="0.3">
      <c r="A832">
        <v>831</v>
      </c>
      <c r="B832" t="s">
        <v>847</v>
      </c>
      <c r="C832" s="2">
        <v>45933</v>
      </c>
      <c r="D832" s="2">
        <v>45937</v>
      </c>
      <c r="E832" t="s">
        <v>1018</v>
      </c>
      <c r="F832" t="s">
        <v>1261</v>
      </c>
      <c r="G832" t="s">
        <v>1286</v>
      </c>
      <c r="H832" t="s">
        <v>1289</v>
      </c>
      <c r="I832" t="s">
        <v>1290</v>
      </c>
      <c r="J832" t="s">
        <v>1302</v>
      </c>
      <c r="K832" t="s">
        <v>1306</v>
      </c>
      <c r="L832" t="s">
        <v>1323</v>
      </c>
      <c r="M832">
        <v>2</v>
      </c>
      <c r="N832">
        <v>0.1</v>
      </c>
      <c r="O832">
        <v>320.2</v>
      </c>
      <c r="P832">
        <v>54.58</v>
      </c>
      <c r="Q832" t="s">
        <v>1331</v>
      </c>
      <c r="R832" t="b">
        <f t="shared" si="37"/>
        <v>0</v>
      </c>
      <c r="S832" t="b">
        <f t="shared" si="38"/>
        <v>0</v>
      </c>
      <c r="T832" t="b">
        <f t="shared" si="39"/>
        <v>0</v>
      </c>
    </row>
    <row r="833" spans="1:20" x14ac:dyDescent="0.3">
      <c r="A833">
        <v>832</v>
      </c>
      <c r="B833" t="s">
        <v>848</v>
      </c>
      <c r="C833" s="2">
        <v>45957</v>
      </c>
      <c r="D833" s="2">
        <v>45960</v>
      </c>
      <c r="E833" t="s">
        <v>1019</v>
      </c>
      <c r="F833" t="s">
        <v>1262</v>
      </c>
      <c r="G833" t="s">
        <v>1270</v>
      </c>
      <c r="H833" t="s">
        <v>1288</v>
      </c>
      <c r="I833" t="s">
        <v>1294</v>
      </c>
      <c r="J833" t="s">
        <v>1305</v>
      </c>
      <c r="K833" t="s">
        <v>1306</v>
      </c>
      <c r="L833" t="s">
        <v>1323</v>
      </c>
      <c r="M833">
        <v>1</v>
      </c>
      <c r="N833">
        <v>0.1</v>
      </c>
      <c r="O833">
        <v>159.05000000000001</v>
      </c>
      <c r="P833">
        <v>37.85</v>
      </c>
      <c r="Q833" t="s">
        <v>1330</v>
      </c>
      <c r="R833" t="b">
        <f t="shared" si="37"/>
        <v>0</v>
      </c>
      <c r="S833" t="b">
        <f t="shared" si="38"/>
        <v>0</v>
      </c>
      <c r="T833" t="b">
        <f t="shared" si="39"/>
        <v>0</v>
      </c>
    </row>
    <row r="834" spans="1:20" x14ac:dyDescent="0.3">
      <c r="A834">
        <v>833</v>
      </c>
      <c r="B834" t="s">
        <v>849</v>
      </c>
      <c r="C834" s="2">
        <v>46019</v>
      </c>
      <c r="D834" s="2">
        <v>46021</v>
      </c>
      <c r="E834" t="s">
        <v>1017</v>
      </c>
      <c r="F834" t="s">
        <v>1167</v>
      </c>
      <c r="G834" t="s">
        <v>1284</v>
      </c>
      <c r="H834" t="s">
        <v>1289</v>
      </c>
      <c r="I834" t="s">
        <v>1298</v>
      </c>
      <c r="J834" t="s">
        <v>1303</v>
      </c>
      <c r="K834" t="s">
        <v>1309</v>
      </c>
      <c r="L834" t="s">
        <v>1325</v>
      </c>
      <c r="M834">
        <v>1</v>
      </c>
      <c r="N834">
        <v>0</v>
      </c>
      <c r="O834">
        <v>1355.53</v>
      </c>
      <c r="P834">
        <v>547.09</v>
      </c>
      <c r="Q834" t="s">
        <v>1331</v>
      </c>
      <c r="R834" t="b">
        <f t="shared" si="37"/>
        <v>0</v>
      </c>
      <c r="S834" t="b">
        <f t="shared" si="38"/>
        <v>0</v>
      </c>
      <c r="T834" t="b">
        <f t="shared" si="39"/>
        <v>0</v>
      </c>
    </row>
    <row r="835" spans="1:20" x14ac:dyDescent="0.3">
      <c r="A835">
        <v>834</v>
      </c>
      <c r="B835" t="s">
        <v>850</v>
      </c>
      <c r="C835" s="2">
        <v>45893</v>
      </c>
      <c r="D835" s="2">
        <v>45898</v>
      </c>
      <c r="E835" t="s">
        <v>1017</v>
      </c>
      <c r="F835" t="s">
        <v>1076</v>
      </c>
      <c r="G835" t="s">
        <v>1270</v>
      </c>
      <c r="H835" t="s">
        <v>1288</v>
      </c>
      <c r="I835" t="s">
        <v>1299</v>
      </c>
      <c r="J835" t="s">
        <v>1304</v>
      </c>
      <c r="K835" t="s">
        <v>1308</v>
      </c>
      <c r="L835" t="s">
        <v>1318</v>
      </c>
      <c r="M835">
        <v>4</v>
      </c>
      <c r="N835">
        <v>0</v>
      </c>
      <c r="O835">
        <v>21771.54</v>
      </c>
      <c r="P835">
        <v>6769.62</v>
      </c>
      <c r="Q835" t="s">
        <v>1332</v>
      </c>
      <c r="R835" t="b">
        <f t="shared" ref="R835:R898" si="40">D835&lt;C835</f>
        <v>0</v>
      </c>
      <c r="S835" t="b">
        <f t="shared" ref="S835:S898" si="41">M835&lt;=0</f>
        <v>0</v>
      </c>
      <c r="T835" t="b">
        <f t="shared" ref="T835:T898" si="42">OR(N835&lt;0,N835&gt;1)</f>
        <v>0</v>
      </c>
    </row>
    <row r="836" spans="1:20" x14ac:dyDescent="0.3">
      <c r="A836">
        <v>835</v>
      </c>
      <c r="B836" t="s">
        <v>851</v>
      </c>
      <c r="C836" s="2">
        <v>45658</v>
      </c>
      <c r="D836" s="2">
        <v>45662</v>
      </c>
      <c r="E836" t="s">
        <v>1017</v>
      </c>
      <c r="F836" t="s">
        <v>1162</v>
      </c>
      <c r="G836" t="s">
        <v>1276</v>
      </c>
      <c r="H836" t="s">
        <v>1288</v>
      </c>
      <c r="I836" t="s">
        <v>1295</v>
      </c>
      <c r="J836" t="s">
        <v>1305</v>
      </c>
      <c r="K836" t="s">
        <v>1306</v>
      </c>
      <c r="L836" t="s">
        <v>1324</v>
      </c>
      <c r="M836">
        <v>2</v>
      </c>
      <c r="N836">
        <v>0</v>
      </c>
      <c r="O836">
        <v>181.53</v>
      </c>
      <c r="P836">
        <v>34.04</v>
      </c>
      <c r="Q836" t="s">
        <v>1330</v>
      </c>
      <c r="R836" t="b">
        <f t="shared" si="40"/>
        <v>0</v>
      </c>
      <c r="S836" t="b">
        <f t="shared" si="41"/>
        <v>0</v>
      </c>
      <c r="T836" t="b">
        <f t="shared" si="42"/>
        <v>0</v>
      </c>
    </row>
    <row r="837" spans="1:20" x14ac:dyDescent="0.3">
      <c r="A837">
        <v>836</v>
      </c>
      <c r="B837" t="s">
        <v>852</v>
      </c>
      <c r="C837" s="2">
        <v>45924</v>
      </c>
      <c r="D837" s="2">
        <v>45929</v>
      </c>
      <c r="E837" t="s">
        <v>1018</v>
      </c>
      <c r="F837" t="s">
        <v>1045</v>
      </c>
      <c r="G837" t="s">
        <v>1283</v>
      </c>
      <c r="H837" t="s">
        <v>1287</v>
      </c>
      <c r="I837" t="s">
        <v>1301</v>
      </c>
      <c r="J837" t="s">
        <v>1303</v>
      </c>
      <c r="K837" t="s">
        <v>1308</v>
      </c>
      <c r="L837" t="s">
        <v>1312</v>
      </c>
      <c r="M837">
        <v>1</v>
      </c>
      <c r="N837">
        <v>0.15</v>
      </c>
      <c r="O837">
        <v>1112.6600000000001</v>
      </c>
      <c r="P837">
        <v>215.31</v>
      </c>
      <c r="Q837" t="s">
        <v>1331</v>
      </c>
      <c r="R837" t="b">
        <f t="shared" si="40"/>
        <v>0</v>
      </c>
      <c r="S837" t="b">
        <f t="shared" si="41"/>
        <v>0</v>
      </c>
      <c r="T837" t="b">
        <f t="shared" si="42"/>
        <v>0</v>
      </c>
    </row>
    <row r="838" spans="1:20" x14ac:dyDescent="0.3">
      <c r="A838">
        <v>837</v>
      </c>
      <c r="B838" t="s">
        <v>853</v>
      </c>
      <c r="C838" s="2">
        <v>45907</v>
      </c>
      <c r="D838" s="2">
        <v>45909</v>
      </c>
      <c r="E838" t="s">
        <v>1017</v>
      </c>
      <c r="F838" t="s">
        <v>1200</v>
      </c>
      <c r="G838" t="s">
        <v>1280</v>
      </c>
      <c r="H838" t="s">
        <v>1287</v>
      </c>
      <c r="I838" t="s">
        <v>1300</v>
      </c>
      <c r="J838" t="s">
        <v>1305</v>
      </c>
      <c r="K838" t="s">
        <v>1309</v>
      </c>
      <c r="L838" t="s">
        <v>1329</v>
      </c>
      <c r="M838">
        <v>1</v>
      </c>
      <c r="N838">
        <v>0.05</v>
      </c>
      <c r="O838">
        <v>1842.56</v>
      </c>
      <c r="P838">
        <v>663.82</v>
      </c>
      <c r="Q838" t="s">
        <v>1330</v>
      </c>
      <c r="R838" t="b">
        <f t="shared" si="40"/>
        <v>0</v>
      </c>
      <c r="S838" t="b">
        <f t="shared" si="41"/>
        <v>0</v>
      </c>
      <c r="T838" t="b">
        <f t="shared" si="42"/>
        <v>0</v>
      </c>
    </row>
    <row r="839" spans="1:20" x14ac:dyDescent="0.3">
      <c r="A839">
        <v>838</v>
      </c>
      <c r="B839" t="s">
        <v>854</v>
      </c>
      <c r="C839" s="2">
        <v>45937</v>
      </c>
      <c r="D839" s="2">
        <v>45939</v>
      </c>
      <c r="E839" t="s">
        <v>1018</v>
      </c>
      <c r="F839" t="s">
        <v>1188</v>
      </c>
      <c r="G839" t="s">
        <v>1275</v>
      </c>
      <c r="H839" t="s">
        <v>1287</v>
      </c>
      <c r="I839" t="s">
        <v>1299</v>
      </c>
      <c r="J839" t="s">
        <v>1304</v>
      </c>
      <c r="K839" t="s">
        <v>1309</v>
      </c>
      <c r="L839" t="s">
        <v>1320</v>
      </c>
      <c r="M839">
        <v>2</v>
      </c>
      <c r="N839">
        <v>0.2</v>
      </c>
      <c r="O839">
        <v>1928.89</v>
      </c>
      <c r="P839">
        <v>403.6</v>
      </c>
      <c r="Q839" t="s">
        <v>1333</v>
      </c>
      <c r="R839" t="b">
        <f t="shared" si="40"/>
        <v>0</v>
      </c>
      <c r="S839" t="b">
        <f t="shared" si="41"/>
        <v>0</v>
      </c>
      <c r="T839" t="b">
        <f t="shared" si="42"/>
        <v>0</v>
      </c>
    </row>
    <row r="840" spans="1:20" x14ac:dyDescent="0.3">
      <c r="A840">
        <v>839</v>
      </c>
      <c r="B840" t="s">
        <v>855</v>
      </c>
      <c r="C840" s="2">
        <v>45901</v>
      </c>
      <c r="D840" s="2">
        <v>45906</v>
      </c>
      <c r="E840" t="s">
        <v>1017</v>
      </c>
      <c r="F840" t="s">
        <v>1229</v>
      </c>
      <c r="G840" t="s">
        <v>1278</v>
      </c>
      <c r="H840" t="s">
        <v>1287</v>
      </c>
      <c r="I840" t="s">
        <v>1292</v>
      </c>
      <c r="J840" t="s">
        <v>1303</v>
      </c>
      <c r="K840" t="s">
        <v>1307</v>
      </c>
      <c r="L840" t="s">
        <v>1314</v>
      </c>
      <c r="M840">
        <v>1</v>
      </c>
      <c r="N840">
        <v>0.2</v>
      </c>
      <c r="O840">
        <v>704.1</v>
      </c>
      <c r="P840">
        <v>36.42</v>
      </c>
      <c r="Q840" t="s">
        <v>1331</v>
      </c>
      <c r="R840" t="b">
        <f t="shared" si="40"/>
        <v>0</v>
      </c>
      <c r="S840" t="b">
        <f t="shared" si="41"/>
        <v>0</v>
      </c>
      <c r="T840" t="b">
        <f t="shared" si="42"/>
        <v>0</v>
      </c>
    </row>
    <row r="841" spans="1:20" x14ac:dyDescent="0.3">
      <c r="A841">
        <v>840</v>
      </c>
      <c r="B841" t="s">
        <v>856</v>
      </c>
      <c r="C841" s="2">
        <v>45971</v>
      </c>
      <c r="D841" s="2">
        <v>45972</v>
      </c>
      <c r="E841" t="s">
        <v>1019</v>
      </c>
      <c r="F841" t="s">
        <v>1113</v>
      </c>
      <c r="G841" t="s">
        <v>1268</v>
      </c>
      <c r="H841" t="s">
        <v>1287</v>
      </c>
      <c r="I841" t="s">
        <v>1297</v>
      </c>
      <c r="J841" t="s">
        <v>1304</v>
      </c>
      <c r="K841" t="s">
        <v>1307</v>
      </c>
      <c r="L841" t="s">
        <v>1314</v>
      </c>
      <c r="M841">
        <v>1</v>
      </c>
      <c r="N841">
        <v>0.1</v>
      </c>
      <c r="O841">
        <v>780.14</v>
      </c>
      <c r="P841">
        <v>96.04</v>
      </c>
      <c r="Q841" t="s">
        <v>1330</v>
      </c>
      <c r="R841" t="b">
        <f t="shared" si="40"/>
        <v>0</v>
      </c>
      <c r="S841" t="b">
        <f t="shared" si="41"/>
        <v>0</v>
      </c>
      <c r="T841" t="b">
        <f t="shared" si="42"/>
        <v>0</v>
      </c>
    </row>
    <row r="842" spans="1:20" x14ac:dyDescent="0.3">
      <c r="A842">
        <v>841</v>
      </c>
      <c r="B842" t="s">
        <v>857</v>
      </c>
      <c r="C842" s="2">
        <v>45825</v>
      </c>
      <c r="D842" s="2">
        <v>45826</v>
      </c>
      <c r="E842" t="s">
        <v>1018</v>
      </c>
      <c r="F842" t="s">
        <v>1162</v>
      </c>
      <c r="G842" t="s">
        <v>1282</v>
      </c>
      <c r="H842" t="s">
        <v>1287</v>
      </c>
      <c r="I842" t="s">
        <v>1297</v>
      </c>
      <c r="J842" t="s">
        <v>1304</v>
      </c>
      <c r="K842" t="s">
        <v>1306</v>
      </c>
      <c r="L842" t="s">
        <v>1328</v>
      </c>
      <c r="M842">
        <v>1</v>
      </c>
      <c r="N842">
        <v>0.05</v>
      </c>
      <c r="O842">
        <v>113.26</v>
      </c>
      <c r="P842">
        <v>37.119999999999997</v>
      </c>
      <c r="Q842" t="s">
        <v>1332</v>
      </c>
      <c r="R842" t="b">
        <f t="shared" si="40"/>
        <v>0</v>
      </c>
      <c r="S842" t="b">
        <f t="shared" si="41"/>
        <v>0</v>
      </c>
      <c r="T842" t="b">
        <f t="shared" si="42"/>
        <v>0</v>
      </c>
    </row>
    <row r="843" spans="1:20" x14ac:dyDescent="0.3">
      <c r="A843">
        <v>842</v>
      </c>
      <c r="B843" t="s">
        <v>858</v>
      </c>
      <c r="C843" s="2">
        <v>45735</v>
      </c>
      <c r="D843" s="2">
        <v>45737</v>
      </c>
      <c r="E843" t="s">
        <v>1018</v>
      </c>
      <c r="F843" t="s">
        <v>1124</v>
      </c>
      <c r="G843" t="s">
        <v>1277</v>
      </c>
      <c r="H843" t="s">
        <v>1288</v>
      </c>
      <c r="I843" t="s">
        <v>1292</v>
      </c>
      <c r="J843" t="s">
        <v>1303</v>
      </c>
      <c r="K843" t="s">
        <v>1307</v>
      </c>
      <c r="L843" t="s">
        <v>1322</v>
      </c>
      <c r="M843">
        <v>3</v>
      </c>
      <c r="N843">
        <v>0.05</v>
      </c>
      <c r="O843">
        <v>2055.61</v>
      </c>
      <c r="P843">
        <v>601.86</v>
      </c>
      <c r="Q843" t="s">
        <v>1331</v>
      </c>
      <c r="R843" t="b">
        <f t="shared" si="40"/>
        <v>0</v>
      </c>
      <c r="S843" t="b">
        <f t="shared" si="41"/>
        <v>0</v>
      </c>
      <c r="T843" t="b">
        <f t="shared" si="42"/>
        <v>0</v>
      </c>
    </row>
    <row r="844" spans="1:20" x14ac:dyDescent="0.3">
      <c r="A844">
        <v>843</v>
      </c>
      <c r="B844" t="s">
        <v>859</v>
      </c>
      <c r="C844" s="2">
        <v>45811</v>
      </c>
      <c r="D844" s="2">
        <v>45814</v>
      </c>
      <c r="E844" t="s">
        <v>1018</v>
      </c>
      <c r="F844" t="s">
        <v>1137</v>
      </c>
      <c r="G844" t="s">
        <v>1279</v>
      </c>
      <c r="H844" t="s">
        <v>1287</v>
      </c>
      <c r="I844" t="s">
        <v>1296</v>
      </c>
      <c r="J844" t="s">
        <v>1304</v>
      </c>
      <c r="K844" t="s">
        <v>1309</v>
      </c>
      <c r="L844" t="s">
        <v>1329</v>
      </c>
      <c r="M844">
        <v>1</v>
      </c>
      <c r="N844">
        <v>0.1</v>
      </c>
      <c r="O844">
        <v>1756.42</v>
      </c>
      <c r="P844">
        <v>279.54000000000002</v>
      </c>
      <c r="Q844" t="s">
        <v>1331</v>
      </c>
      <c r="R844" t="b">
        <f t="shared" si="40"/>
        <v>0</v>
      </c>
      <c r="S844" t="b">
        <f t="shared" si="41"/>
        <v>0</v>
      </c>
      <c r="T844" t="b">
        <f t="shared" si="42"/>
        <v>0</v>
      </c>
    </row>
    <row r="845" spans="1:20" x14ac:dyDescent="0.3">
      <c r="A845">
        <v>844</v>
      </c>
      <c r="B845" t="s">
        <v>860</v>
      </c>
      <c r="C845" s="2">
        <v>45904</v>
      </c>
      <c r="D845" s="2">
        <v>45909</v>
      </c>
      <c r="E845" t="s">
        <v>1017</v>
      </c>
      <c r="F845" t="s">
        <v>1074</v>
      </c>
      <c r="G845" t="s">
        <v>1276</v>
      </c>
      <c r="H845" t="s">
        <v>1289</v>
      </c>
      <c r="I845" t="s">
        <v>1298</v>
      </c>
      <c r="J845" t="s">
        <v>1303</v>
      </c>
      <c r="K845" t="s">
        <v>1307</v>
      </c>
      <c r="L845" t="s">
        <v>1315</v>
      </c>
      <c r="M845">
        <v>1</v>
      </c>
      <c r="N845">
        <v>0.1</v>
      </c>
      <c r="O845">
        <v>1618.64</v>
      </c>
      <c r="P845">
        <v>212.06</v>
      </c>
      <c r="Q845" t="s">
        <v>1331</v>
      </c>
      <c r="R845" t="b">
        <f t="shared" si="40"/>
        <v>0</v>
      </c>
      <c r="S845" t="b">
        <f t="shared" si="41"/>
        <v>0</v>
      </c>
      <c r="T845" t="b">
        <f t="shared" si="42"/>
        <v>0</v>
      </c>
    </row>
    <row r="846" spans="1:20" x14ac:dyDescent="0.3">
      <c r="A846">
        <v>845</v>
      </c>
      <c r="B846" t="s">
        <v>861</v>
      </c>
      <c r="C846" s="2">
        <v>45898</v>
      </c>
      <c r="D846" s="2">
        <v>45900</v>
      </c>
      <c r="E846" t="s">
        <v>1017</v>
      </c>
      <c r="F846" t="s">
        <v>1243</v>
      </c>
      <c r="G846" t="s">
        <v>1269</v>
      </c>
      <c r="H846" t="s">
        <v>1287</v>
      </c>
      <c r="I846" t="s">
        <v>1301</v>
      </c>
      <c r="J846" t="s">
        <v>1303</v>
      </c>
      <c r="K846" t="s">
        <v>1306</v>
      </c>
      <c r="L846" t="s">
        <v>1323</v>
      </c>
      <c r="M846">
        <v>1</v>
      </c>
      <c r="N846">
        <v>0</v>
      </c>
      <c r="O846">
        <v>178.12</v>
      </c>
      <c r="P846">
        <v>37.08</v>
      </c>
      <c r="Q846" t="s">
        <v>1334</v>
      </c>
      <c r="R846" t="b">
        <f t="shared" si="40"/>
        <v>0</v>
      </c>
      <c r="S846" t="b">
        <f t="shared" si="41"/>
        <v>0</v>
      </c>
      <c r="T846" t="b">
        <f t="shared" si="42"/>
        <v>0</v>
      </c>
    </row>
    <row r="847" spans="1:20" x14ac:dyDescent="0.3">
      <c r="A847">
        <v>846</v>
      </c>
      <c r="B847" t="s">
        <v>862</v>
      </c>
      <c r="C847" s="2">
        <v>45693</v>
      </c>
      <c r="D847" s="2">
        <v>45698</v>
      </c>
      <c r="E847" t="s">
        <v>1017</v>
      </c>
      <c r="F847" t="s">
        <v>1194</v>
      </c>
      <c r="G847" t="s">
        <v>1286</v>
      </c>
      <c r="H847" t="s">
        <v>1287</v>
      </c>
      <c r="I847" t="s">
        <v>1299</v>
      </c>
      <c r="J847" t="s">
        <v>1304</v>
      </c>
      <c r="K847" t="s">
        <v>1308</v>
      </c>
      <c r="L847" t="s">
        <v>1327</v>
      </c>
      <c r="M847">
        <v>1</v>
      </c>
      <c r="N847">
        <v>0.2</v>
      </c>
      <c r="O847">
        <v>1467.67</v>
      </c>
      <c r="P847">
        <v>322.7</v>
      </c>
      <c r="Q847" t="s">
        <v>1333</v>
      </c>
      <c r="R847" t="b">
        <f t="shared" si="40"/>
        <v>0</v>
      </c>
      <c r="S847" t="b">
        <f t="shared" si="41"/>
        <v>0</v>
      </c>
      <c r="T847" t="b">
        <f t="shared" si="42"/>
        <v>0</v>
      </c>
    </row>
    <row r="848" spans="1:20" x14ac:dyDescent="0.3">
      <c r="A848">
        <v>847</v>
      </c>
      <c r="B848" t="s">
        <v>863</v>
      </c>
      <c r="C848" s="2">
        <v>45844</v>
      </c>
      <c r="D848" s="2">
        <v>45847</v>
      </c>
      <c r="E848" t="s">
        <v>1017</v>
      </c>
      <c r="F848" t="s">
        <v>1202</v>
      </c>
      <c r="G848" t="s">
        <v>1280</v>
      </c>
      <c r="H848" t="s">
        <v>1289</v>
      </c>
      <c r="I848" t="s">
        <v>1294</v>
      </c>
      <c r="J848" t="s">
        <v>1305</v>
      </c>
      <c r="K848" t="s">
        <v>1308</v>
      </c>
      <c r="L848" t="s">
        <v>1327</v>
      </c>
      <c r="M848">
        <v>1</v>
      </c>
      <c r="N848">
        <v>0.05</v>
      </c>
      <c r="O848">
        <v>1768.34</v>
      </c>
      <c r="P848">
        <v>517.54</v>
      </c>
      <c r="Q848" t="s">
        <v>1332</v>
      </c>
      <c r="R848" t="b">
        <f t="shared" si="40"/>
        <v>0</v>
      </c>
      <c r="S848" t="b">
        <f t="shared" si="41"/>
        <v>0</v>
      </c>
      <c r="T848" t="b">
        <f t="shared" si="42"/>
        <v>0</v>
      </c>
    </row>
    <row r="849" spans="1:20" x14ac:dyDescent="0.3">
      <c r="A849">
        <v>848</v>
      </c>
      <c r="B849" t="s">
        <v>864</v>
      </c>
      <c r="C849" s="2">
        <v>45846</v>
      </c>
      <c r="D849" s="2">
        <v>45848</v>
      </c>
      <c r="E849" t="s">
        <v>1019</v>
      </c>
      <c r="F849" t="s">
        <v>1114</v>
      </c>
      <c r="G849" t="s">
        <v>1274</v>
      </c>
      <c r="H849" t="s">
        <v>1287</v>
      </c>
      <c r="I849" t="s">
        <v>1292</v>
      </c>
      <c r="J849" t="s">
        <v>1303</v>
      </c>
      <c r="K849" t="s">
        <v>1307</v>
      </c>
      <c r="L849" t="s">
        <v>1322</v>
      </c>
      <c r="M849">
        <v>2</v>
      </c>
      <c r="N849">
        <v>0</v>
      </c>
      <c r="O849">
        <v>1434.29</v>
      </c>
      <c r="P849">
        <v>329.04</v>
      </c>
      <c r="Q849" t="s">
        <v>1332</v>
      </c>
      <c r="R849" t="b">
        <f t="shared" si="40"/>
        <v>0</v>
      </c>
      <c r="S849" t="b">
        <f t="shared" si="41"/>
        <v>0</v>
      </c>
      <c r="T849" t="b">
        <f t="shared" si="42"/>
        <v>0</v>
      </c>
    </row>
    <row r="850" spans="1:20" x14ac:dyDescent="0.3">
      <c r="A850">
        <v>849</v>
      </c>
      <c r="B850" t="s">
        <v>865</v>
      </c>
      <c r="C850" s="2">
        <v>45766</v>
      </c>
      <c r="D850" s="2">
        <v>45767</v>
      </c>
      <c r="E850" t="s">
        <v>1017</v>
      </c>
      <c r="F850" t="s">
        <v>1078</v>
      </c>
      <c r="G850" t="s">
        <v>1286</v>
      </c>
      <c r="H850" t="s">
        <v>1287</v>
      </c>
      <c r="I850" t="s">
        <v>1301</v>
      </c>
      <c r="J850" t="s">
        <v>1303</v>
      </c>
      <c r="K850" t="s">
        <v>1306</v>
      </c>
      <c r="L850" t="s">
        <v>1323</v>
      </c>
      <c r="M850">
        <v>3</v>
      </c>
      <c r="N850">
        <v>0.25</v>
      </c>
      <c r="O850">
        <v>398</v>
      </c>
      <c r="P850">
        <v>31.91</v>
      </c>
      <c r="Q850" t="s">
        <v>1333</v>
      </c>
      <c r="R850" t="b">
        <f t="shared" si="40"/>
        <v>0</v>
      </c>
      <c r="S850" t="b">
        <f t="shared" si="41"/>
        <v>0</v>
      </c>
      <c r="T850" t="b">
        <f t="shared" si="42"/>
        <v>0</v>
      </c>
    </row>
    <row r="851" spans="1:20" x14ac:dyDescent="0.3">
      <c r="A851">
        <v>850</v>
      </c>
      <c r="B851" t="s">
        <v>866</v>
      </c>
      <c r="C851" s="2">
        <v>45916</v>
      </c>
      <c r="D851" s="2">
        <v>45917</v>
      </c>
      <c r="E851" t="s">
        <v>1017</v>
      </c>
      <c r="F851" t="s">
        <v>1093</v>
      </c>
      <c r="G851" t="s">
        <v>1284</v>
      </c>
      <c r="H851" t="s">
        <v>1289</v>
      </c>
      <c r="I851" t="s">
        <v>1294</v>
      </c>
      <c r="J851" t="s">
        <v>1305</v>
      </c>
      <c r="K851" t="s">
        <v>1306</v>
      </c>
      <c r="L851" t="s">
        <v>1310</v>
      </c>
      <c r="M851">
        <v>1</v>
      </c>
      <c r="N851">
        <v>0.1</v>
      </c>
      <c r="O851">
        <v>561.79</v>
      </c>
      <c r="P851">
        <v>152.02000000000001</v>
      </c>
      <c r="Q851" t="s">
        <v>1331</v>
      </c>
      <c r="R851" t="b">
        <f t="shared" si="40"/>
        <v>0</v>
      </c>
      <c r="S851" t="b">
        <f t="shared" si="41"/>
        <v>0</v>
      </c>
      <c r="T851" t="b">
        <f t="shared" si="42"/>
        <v>0</v>
      </c>
    </row>
    <row r="852" spans="1:20" x14ac:dyDescent="0.3">
      <c r="A852">
        <v>851</v>
      </c>
      <c r="B852" t="s">
        <v>867</v>
      </c>
      <c r="C852" s="2">
        <v>45940</v>
      </c>
      <c r="D852" s="2">
        <v>45944</v>
      </c>
      <c r="E852" t="s">
        <v>1017</v>
      </c>
      <c r="F852" t="s">
        <v>1045</v>
      </c>
      <c r="G852" t="s">
        <v>1281</v>
      </c>
      <c r="H852" t="s">
        <v>1287</v>
      </c>
      <c r="I852" t="s">
        <v>1295</v>
      </c>
      <c r="J852" t="s">
        <v>1305</v>
      </c>
      <c r="K852" t="s">
        <v>1308</v>
      </c>
      <c r="L852" t="s">
        <v>1319</v>
      </c>
      <c r="M852">
        <v>1</v>
      </c>
      <c r="N852">
        <v>0</v>
      </c>
      <c r="O852">
        <v>4706.9399999999996</v>
      </c>
      <c r="P852">
        <v>1167.79</v>
      </c>
      <c r="Q852" t="s">
        <v>1332</v>
      </c>
      <c r="R852" t="b">
        <f t="shared" si="40"/>
        <v>0</v>
      </c>
      <c r="S852" t="b">
        <f t="shared" si="41"/>
        <v>0</v>
      </c>
      <c r="T852" t="b">
        <f t="shared" si="42"/>
        <v>0</v>
      </c>
    </row>
    <row r="853" spans="1:20" x14ac:dyDescent="0.3">
      <c r="A853">
        <v>852</v>
      </c>
      <c r="B853" t="s">
        <v>868</v>
      </c>
      <c r="C853" s="2">
        <v>45955</v>
      </c>
      <c r="D853" s="2">
        <v>45958</v>
      </c>
      <c r="E853" t="s">
        <v>1017</v>
      </c>
      <c r="F853" t="s">
        <v>1173</v>
      </c>
      <c r="G853" t="s">
        <v>1271</v>
      </c>
      <c r="H853" t="s">
        <v>1287</v>
      </c>
      <c r="I853" t="s">
        <v>1291</v>
      </c>
      <c r="J853" t="s">
        <v>1302</v>
      </c>
      <c r="K853" t="s">
        <v>1309</v>
      </c>
      <c r="L853" t="s">
        <v>1325</v>
      </c>
      <c r="M853">
        <v>2</v>
      </c>
      <c r="N853">
        <v>0.05</v>
      </c>
      <c r="O853">
        <v>2346.92</v>
      </c>
      <c r="P853">
        <v>613.80999999999995</v>
      </c>
      <c r="Q853" t="s">
        <v>1332</v>
      </c>
      <c r="R853" t="b">
        <f t="shared" si="40"/>
        <v>0</v>
      </c>
      <c r="S853" t="b">
        <f t="shared" si="41"/>
        <v>0</v>
      </c>
      <c r="T853" t="b">
        <f t="shared" si="42"/>
        <v>0</v>
      </c>
    </row>
    <row r="854" spans="1:20" x14ac:dyDescent="0.3">
      <c r="A854">
        <v>853</v>
      </c>
      <c r="B854" t="s">
        <v>869</v>
      </c>
      <c r="C854" s="2">
        <v>45717</v>
      </c>
      <c r="D854" s="2">
        <v>45718</v>
      </c>
      <c r="E854" t="s">
        <v>1017</v>
      </c>
      <c r="F854" t="s">
        <v>1227</v>
      </c>
      <c r="G854" t="s">
        <v>1275</v>
      </c>
      <c r="H854" t="s">
        <v>1287</v>
      </c>
      <c r="I854" t="s">
        <v>1299</v>
      </c>
      <c r="J854" t="s">
        <v>1304</v>
      </c>
      <c r="K854" t="s">
        <v>1306</v>
      </c>
      <c r="L854" t="s">
        <v>1321</v>
      </c>
      <c r="M854">
        <v>1</v>
      </c>
      <c r="N854">
        <v>0</v>
      </c>
      <c r="O854">
        <v>446.93</v>
      </c>
      <c r="P854">
        <v>127.16</v>
      </c>
      <c r="Q854" t="s">
        <v>1333</v>
      </c>
      <c r="R854" t="b">
        <f t="shared" si="40"/>
        <v>0</v>
      </c>
      <c r="S854" t="b">
        <f t="shared" si="41"/>
        <v>0</v>
      </c>
      <c r="T854" t="b">
        <f t="shared" si="42"/>
        <v>0</v>
      </c>
    </row>
    <row r="855" spans="1:20" x14ac:dyDescent="0.3">
      <c r="A855">
        <v>854</v>
      </c>
      <c r="B855" t="s">
        <v>870</v>
      </c>
      <c r="C855" s="2">
        <v>45830</v>
      </c>
      <c r="D855" s="2">
        <v>45832</v>
      </c>
      <c r="E855" t="s">
        <v>1019</v>
      </c>
      <c r="F855" t="s">
        <v>1150</v>
      </c>
      <c r="G855" t="s">
        <v>1281</v>
      </c>
      <c r="H855" t="s">
        <v>1287</v>
      </c>
      <c r="I855" t="s">
        <v>1298</v>
      </c>
      <c r="J855" t="s">
        <v>1303</v>
      </c>
      <c r="K855" t="s">
        <v>1308</v>
      </c>
      <c r="L855" t="s">
        <v>1318</v>
      </c>
      <c r="M855">
        <v>2</v>
      </c>
      <c r="N855">
        <v>0.1</v>
      </c>
      <c r="O855">
        <v>10334.969999999999</v>
      </c>
      <c r="P855">
        <v>2198.39</v>
      </c>
      <c r="Q855" t="s">
        <v>1334</v>
      </c>
      <c r="R855" t="b">
        <f t="shared" si="40"/>
        <v>0</v>
      </c>
      <c r="S855" t="b">
        <f t="shared" si="41"/>
        <v>0</v>
      </c>
      <c r="T855" t="b">
        <f t="shared" si="42"/>
        <v>0</v>
      </c>
    </row>
    <row r="856" spans="1:20" x14ac:dyDescent="0.3">
      <c r="A856">
        <v>855</v>
      </c>
      <c r="B856" t="s">
        <v>871</v>
      </c>
      <c r="C856" s="2">
        <v>45998</v>
      </c>
      <c r="D856" s="2">
        <v>46002</v>
      </c>
      <c r="E856" t="s">
        <v>1017</v>
      </c>
      <c r="F856" t="s">
        <v>1137</v>
      </c>
      <c r="G856" t="s">
        <v>1286</v>
      </c>
      <c r="H856" t="s">
        <v>1287</v>
      </c>
      <c r="I856" t="s">
        <v>1290</v>
      </c>
      <c r="J856" t="s">
        <v>1302</v>
      </c>
      <c r="K856" t="s">
        <v>1307</v>
      </c>
      <c r="L856" t="s">
        <v>1314</v>
      </c>
      <c r="M856">
        <v>4</v>
      </c>
      <c r="N856">
        <v>0</v>
      </c>
      <c r="O856">
        <v>3689.06</v>
      </c>
      <c r="P856">
        <v>774.06</v>
      </c>
      <c r="Q856" t="s">
        <v>1331</v>
      </c>
      <c r="R856" t="b">
        <f t="shared" si="40"/>
        <v>0</v>
      </c>
      <c r="S856" t="b">
        <f t="shared" si="41"/>
        <v>0</v>
      </c>
      <c r="T856" t="b">
        <f t="shared" si="42"/>
        <v>0</v>
      </c>
    </row>
    <row r="857" spans="1:20" x14ac:dyDescent="0.3">
      <c r="A857">
        <v>856</v>
      </c>
      <c r="B857" t="s">
        <v>872</v>
      </c>
      <c r="C857" s="2">
        <v>45860</v>
      </c>
      <c r="D857" s="2">
        <v>45864</v>
      </c>
      <c r="E857" t="s">
        <v>1017</v>
      </c>
      <c r="F857" t="s">
        <v>1057</v>
      </c>
      <c r="G857" t="s">
        <v>1279</v>
      </c>
      <c r="H857" t="s">
        <v>1287</v>
      </c>
      <c r="I857" t="s">
        <v>1292</v>
      </c>
      <c r="J857" t="s">
        <v>1303</v>
      </c>
      <c r="K857" t="s">
        <v>1309</v>
      </c>
      <c r="L857" t="s">
        <v>1317</v>
      </c>
      <c r="M857">
        <v>2</v>
      </c>
      <c r="N857">
        <v>0</v>
      </c>
      <c r="O857">
        <v>1545.4</v>
      </c>
      <c r="P857">
        <v>455.21</v>
      </c>
      <c r="Q857" t="s">
        <v>1331</v>
      </c>
      <c r="R857" t="b">
        <f t="shared" si="40"/>
        <v>0</v>
      </c>
      <c r="S857" t="b">
        <f t="shared" si="41"/>
        <v>0</v>
      </c>
      <c r="T857" t="b">
        <f t="shared" si="42"/>
        <v>0</v>
      </c>
    </row>
    <row r="858" spans="1:20" x14ac:dyDescent="0.3">
      <c r="A858">
        <v>857</v>
      </c>
      <c r="B858" t="s">
        <v>873</v>
      </c>
      <c r="C858" s="2">
        <v>46013</v>
      </c>
      <c r="D858" s="2">
        <v>46017</v>
      </c>
      <c r="E858" t="s">
        <v>1017</v>
      </c>
      <c r="F858" t="s">
        <v>1187</v>
      </c>
      <c r="G858" t="s">
        <v>1269</v>
      </c>
      <c r="H858" t="s">
        <v>1287</v>
      </c>
      <c r="I858" t="s">
        <v>1296</v>
      </c>
      <c r="J858" t="s">
        <v>1304</v>
      </c>
      <c r="K858" t="s">
        <v>1306</v>
      </c>
      <c r="L858" t="s">
        <v>1324</v>
      </c>
      <c r="M858">
        <v>2</v>
      </c>
      <c r="N858">
        <v>0.1</v>
      </c>
      <c r="O858">
        <v>160.03</v>
      </c>
      <c r="P858">
        <v>22.87</v>
      </c>
      <c r="Q858" t="s">
        <v>1330</v>
      </c>
      <c r="R858" t="b">
        <f t="shared" si="40"/>
        <v>0</v>
      </c>
      <c r="S858" t="b">
        <f t="shared" si="41"/>
        <v>0</v>
      </c>
      <c r="T858" t="b">
        <f t="shared" si="42"/>
        <v>0</v>
      </c>
    </row>
    <row r="859" spans="1:20" x14ac:dyDescent="0.3">
      <c r="A859">
        <v>858</v>
      </c>
      <c r="B859" t="s">
        <v>874</v>
      </c>
      <c r="C859" s="2">
        <v>45736</v>
      </c>
      <c r="D859" s="2">
        <v>45741</v>
      </c>
      <c r="E859" t="s">
        <v>1018</v>
      </c>
      <c r="F859" t="s">
        <v>1052</v>
      </c>
      <c r="G859" t="s">
        <v>1286</v>
      </c>
      <c r="H859" t="s">
        <v>1287</v>
      </c>
      <c r="I859" t="s">
        <v>1294</v>
      </c>
      <c r="J859" t="s">
        <v>1305</v>
      </c>
      <c r="K859" t="s">
        <v>1309</v>
      </c>
      <c r="L859" t="s">
        <v>1320</v>
      </c>
      <c r="M859">
        <v>3</v>
      </c>
      <c r="N859">
        <v>0.2</v>
      </c>
      <c r="O859">
        <v>3000.91</v>
      </c>
      <c r="P859">
        <v>346.11</v>
      </c>
      <c r="Q859" t="s">
        <v>1331</v>
      </c>
      <c r="R859" t="b">
        <f t="shared" si="40"/>
        <v>0</v>
      </c>
      <c r="S859" t="b">
        <f t="shared" si="41"/>
        <v>0</v>
      </c>
      <c r="T859" t="b">
        <f t="shared" si="42"/>
        <v>0</v>
      </c>
    </row>
    <row r="860" spans="1:20" x14ac:dyDescent="0.3">
      <c r="A860">
        <v>859</v>
      </c>
      <c r="B860" t="s">
        <v>875</v>
      </c>
      <c r="C860" s="2">
        <v>45855</v>
      </c>
      <c r="D860" s="2">
        <v>45859</v>
      </c>
      <c r="E860" t="s">
        <v>1018</v>
      </c>
      <c r="F860" t="s">
        <v>1183</v>
      </c>
      <c r="G860" t="s">
        <v>1275</v>
      </c>
      <c r="H860" t="s">
        <v>1288</v>
      </c>
      <c r="I860" t="s">
        <v>1300</v>
      </c>
      <c r="J860" t="s">
        <v>1305</v>
      </c>
      <c r="K860" t="s">
        <v>1309</v>
      </c>
      <c r="L860" t="s">
        <v>1329</v>
      </c>
      <c r="M860">
        <v>3</v>
      </c>
      <c r="N860">
        <v>0.2</v>
      </c>
      <c r="O860">
        <v>4413.46</v>
      </c>
      <c r="P860">
        <v>449.66</v>
      </c>
      <c r="Q860" t="s">
        <v>1333</v>
      </c>
      <c r="R860" t="b">
        <f t="shared" si="40"/>
        <v>0</v>
      </c>
      <c r="S860" t="b">
        <f t="shared" si="41"/>
        <v>0</v>
      </c>
      <c r="T860" t="b">
        <f t="shared" si="42"/>
        <v>0</v>
      </c>
    </row>
    <row r="861" spans="1:20" x14ac:dyDescent="0.3">
      <c r="A861">
        <v>860</v>
      </c>
      <c r="B861" t="s">
        <v>876</v>
      </c>
      <c r="C861" s="2">
        <v>45919</v>
      </c>
      <c r="D861" s="2">
        <v>45923</v>
      </c>
      <c r="E861" t="s">
        <v>1017</v>
      </c>
      <c r="F861" t="s">
        <v>1023</v>
      </c>
      <c r="G861" t="s">
        <v>1280</v>
      </c>
      <c r="H861" t="s">
        <v>1288</v>
      </c>
      <c r="I861" t="s">
        <v>1301</v>
      </c>
      <c r="J861" t="s">
        <v>1303</v>
      </c>
      <c r="K861" t="s">
        <v>1309</v>
      </c>
      <c r="L861" t="s">
        <v>1320</v>
      </c>
      <c r="M861">
        <v>1</v>
      </c>
      <c r="N861">
        <v>0.2</v>
      </c>
      <c r="O861">
        <v>971.27</v>
      </c>
      <c r="P861">
        <v>129.78</v>
      </c>
      <c r="Q861" t="s">
        <v>1333</v>
      </c>
      <c r="R861" t="b">
        <f t="shared" si="40"/>
        <v>0</v>
      </c>
      <c r="S861" t="b">
        <f t="shared" si="41"/>
        <v>0</v>
      </c>
      <c r="T861" t="b">
        <f t="shared" si="42"/>
        <v>0</v>
      </c>
    </row>
    <row r="862" spans="1:20" x14ac:dyDescent="0.3">
      <c r="A862">
        <v>861</v>
      </c>
      <c r="B862" t="s">
        <v>877</v>
      </c>
      <c r="C862" s="2">
        <v>45850</v>
      </c>
      <c r="D862" s="2">
        <v>45855</v>
      </c>
      <c r="E862" t="s">
        <v>1017</v>
      </c>
      <c r="F862" t="s">
        <v>1200</v>
      </c>
      <c r="G862" t="s">
        <v>1284</v>
      </c>
      <c r="H862" t="s">
        <v>1287</v>
      </c>
      <c r="I862" t="s">
        <v>1295</v>
      </c>
      <c r="J862" t="s">
        <v>1305</v>
      </c>
      <c r="K862" t="s">
        <v>1308</v>
      </c>
      <c r="L862" t="s">
        <v>1326</v>
      </c>
      <c r="M862">
        <v>2</v>
      </c>
      <c r="N862">
        <v>0</v>
      </c>
      <c r="O862">
        <v>13753.34</v>
      </c>
      <c r="P862">
        <v>2489.4699999999998</v>
      </c>
      <c r="Q862" t="s">
        <v>1331</v>
      </c>
      <c r="R862" t="b">
        <f t="shared" si="40"/>
        <v>0</v>
      </c>
      <c r="S862" t="b">
        <f t="shared" si="41"/>
        <v>0</v>
      </c>
      <c r="T862" t="b">
        <f t="shared" si="42"/>
        <v>0</v>
      </c>
    </row>
    <row r="863" spans="1:20" x14ac:dyDescent="0.3">
      <c r="A863">
        <v>862</v>
      </c>
      <c r="B863" t="s">
        <v>878</v>
      </c>
      <c r="C863" s="2">
        <v>45749</v>
      </c>
      <c r="D863" s="2">
        <v>45753</v>
      </c>
      <c r="E863" t="s">
        <v>1019</v>
      </c>
      <c r="F863" t="s">
        <v>1165</v>
      </c>
      <c r="G863" t="s">
        <v>1267</v>
      </c>
      <c r="H863" t="s">
        <v>1287</v>
      </c>
      <c r="I863" t="s">
        <v>1290</v>
      </c>
      <c r="J863" t="s">
        <v>1302</v>
      </c>
      <c r="K863" t="s">
        <v>1308</v>
      </c>
      <c r="L863" t="s">
        <v>1319</v>
      </c>
      <c r="M863">
        <v>4</v>
      </c>
      <c r="N863">
        <v>0.1</v>
      </c>
      <c r="O863">
        <v>16386.21</v>
      </c>
      <c r="P863">
        <v>4200.04</v>
      </c>
      <c r="Q863" t="s">
        <v>1331</v>
      </c>
      <c r="R863" t="b">
        <f t="shared" si="40"/>
        <v>0</v>
      </c>
      <c r="S863" t="b">
        <f t="shared" si="41"/>
        <v>0</v>
      </c>
      <c r="T863" t="b">
        <f t="shared" si="42"/>
        <v>0</v>
      </c>
    </row>
    <row r="864" spans="1:20" x14ac:dyDescent="0.3">
      <c r="A864">
        <v>863</v>
      </c>
      <c r="B864" t="s">
        <v>879</v>
      </c>
      <c r="C864" s="2">
        <v>45871</v>
      </c>
      <c r="D864" s="2">
        <v>45875</v>
      </c>
      <c r="E864" t="s">
        <v>1018</v>
      </c>
      <c r="F864" t="s">
        <v>1147</v>
      </c>
      <c r="G864" t="s">
        <v>1268</v>
      </c>
      <c r="H864" t="s">
        <v>1287</v>
      </c>
      <c r="I864" t="s">
        <v>1292</v>
      </c>
      <c r="J864" t="s">
        <v>1303</v>
      </c>
      <c r="K864" t="s">
        <v>1308</v>
      </c>
      <c r="L864" t="s">
        <v>1312</v>
      </c>
      <c r="M864">
        <v>3</v>
      </c>
      <c r="N864">
        <v>0.2</v>
      </c>
      <c r="O864">
        <v>3125.3</v>
      </c>
      <c r="P864">
        <v>276.52999999999997</v>
      </c>
      <c r="Q864" t="s">
        <v>1331</v>
      </c>
      <c r="R864" t="b">
        <f t="shared" si="40"/>
        <v>0</v>
      </c>
      <c r="S864" t="b">
        <f t="shared" si="41"/>
        <v>0</v>
      </c>
      <c r="T864" t="b">
        <f t="shared" si="42"/>
        <v>0</v>
      </c>
    </row>
    <row r="865" spans="1:20" x14ac:dyDescent="0.3">
      <c r="A865">
        <v>864</v>
      </c>
      <c r="B865" t="s">
        <v>880</v>
      </c>
      <c r="C865" s="2">
        <v>45704</v>
      </c>
      <c r="D865" s="2">
        <v>45707</v>
      </c>
      <c r="E865" t="s">
        <v>1017</v>
      </c>
      <c r="F865" t="s">
        <v>1208</v>
      </c>
      <c r="G865" t="s">
        <v>1269</v>
      </c>
      <c r="H865" t="s">
        <v>1288</v>
      </c>
      <c r="I865" t="s">
        <v>1301</v>
      </c>
      <c r="J865" t="s">
        <v>1303</v>
      </c>
      <c r="K865" t="s">
        <v>1307</v>
      </c>
      <c r="L865" t="s">
        <v>1316</v>
      </c>
      <c r="M865">
        <v>3</v>
      </c>
      <c r="N865">
        <v>0.15</v>
      </c>
      <c r="O865">
        <v>1281.5999999999999</v>
      </c>
      <c r="P865">
        <v>85.71</v>
      </c>
      <c r="Q865" t="s">
        <v>1333</v>
      </c>
      <c r="R865" t="b">
        <f t="shared" si="40"/>
        <v>0</v>
      </c>
      <c r="S865" t="b">
        <f t="shared" si="41"/>
        <v>0</v>
      </c>
      <c r="T865" t="b">
        <f t="shared" si="42"/>
        <v>0</v>
      </c>
    </row>
    <row r="866" spans="1:20" x14ac:dyDescent="0.3">
      <c r="A866">
        <v>865</v>
      </c>
      <c r="B866" t="s">
        <v>881</v>
      </c>
      <c r="C866" s="2">
        <v>45731</v>
      </c>
      <c r="D866" s="2">
        <v>45732</v>
      </c>
      <c r="E866" t="s">
        <v>1019</v>
      </c>
      <c r="F866" t="s">
        <v>1242</v>
      </c>
      <c r="G866" t="s">
        <v>1271</v>
      </c>
      <c r="H866" t="s">
        <v>1287</v>
      </c>
      <c r="I866" t="s">
        <v>1298</v>
      </c>
      <c r="J866" t="s">
        <v>1303</v>
      </c>
      <c r="K866" t="s">
        <v>1306</v>
      </c>
      <c r="L866" t="s">
        <v>1321</v>
      </c>
      <c r="M866">
        <v>2</v>
      </c>
      <c r="N866">
        <v>0.05</v>
      </c>
      <c r="O866">
        <v>860.91</v>
      </c>
      <c r="P866">
        <v>234.08</v>
      </c>
      <c r="Q866" t="s">
        <v>1333</v>
      </c>
      <c r="R866" t="b">
        <f t="shared" si="40"/>
        <v>0</v>
      </c>
      <c r="S866" t="b">
        <f t="shared" si="41"/>
        <v>0</v>
      </c>
      <c r="T866" t="b">
        <f t="shared" si="42"/>
        <v>0</v>
      </c>
    </row>
    <row r="867" spans="1:20" x14ac:dyDescent="0.3">
      <c r="A867">
        <v>866</v>
      </c>
      <c r="B867" t="s">
        <v>882</v>
      </c>
      <c r="C867" s="2">
        <v>45915</v>
      </c>
      <c r="D867" s="2">
        <v>45920</v>
      </c>
      <c r="E867" t="s">
        <v>1017</v>
      </c>
      <c r="F867" t="s">
        <v>1105</v>
      </c>
      <c r="G867" t="s">
        <v>1279</v>
      </c>
      <c r="H867" t="s">
        <v>1287</v>
      </c>
      <c r="I867" t="s">
        <v>1295</v>
      </c>
      <c r="J867" t="s">
        <v>1305</v>
      </c>
      <c r="K867" t="s">
        <v>1308</v>
      </c>
      <c r="L867" t="s">
        <v>1326</v>
      </c>
      <c r="M867">
        <v>1</v>
      </c>
      <c r="N867">
        <v>0.2</v>
      </c>
      <c r="O867">
        <v>5555.91</v>
      </c>
      <c r="P867">
        <v>304.58</v>
      </c>
      <c r="Q867" t="s">
        <v>1333</v>
      </c>
      <c r="R867" t="b">
        <f t="shared" si="40"/>
        <v>0</v>
      </c>
      <c r="S867" t="b">
        <f t="shared" si="41"/>
        <v>0</v>
      </c>
      <c r="T867" t="b">
        <f t="shared" si="42"/>
        <v>0</v>
      </c>
    </row>
    <row r="868" spans="1:20" x14ac:dyDescent="0.3">
      <c r="A868">
        <v>867</v>
      </c>
      <c r="B868" t="s">
        <v>883</v>
      </c>
      <c r="C868" s="2">
        <v>45920</v>
      </c>
      <c r="D868" s="2">
        <v>45924</v>
      </c>
      <c r="E868" t="s">
        <v>1017</v>
      </c>
      <c r="F868" t="s">
        <v>1153</v>
      </c>
      <c r="G868" t="s">
        <v>1286</v>
      </c>
      <c r="H868" t="s">
        <v>1287</v>
      </c>
      <c r="I868" t="s">
        <v>1299</v>
      </c>
      <c r="J868" t="s">
        <v>1304</v>
      </c>
      <c r="K868" t="s">
        <v>1309</v>
      </c>
      <c r="L868" t="s">
        <v>1320</v>
      </c>
      <c r="M868">
        <v>1</v>
      </c>
      <c r="N868">
        <v>0</v>
      </c>
      <c r="O868">
        <v>1243.97</v>
      </c>
      <c r="P868">
        <v>353.31</v>
      </c>
      <c r="Q868" t="s">
        <v>1330</v>
      </c>
      <c r="R868" t="b">
        <f t="shared" si="40"/>
        <v>0</v>
      </c>
      <c r="S868" t="b">
        <f t="shared" si="41"/>
        <v>0</v>
      </c>
      <c r="T868" t="b">
        <f t="shared" si="42"/>
        <v>0</v>
      </c>
    </row>
    <row r="869" spans="1:20" x14ac:dyDescent="0.3">
      <c r="A869">
        <v>868</v>
      </c>
      <c r="B869" t="s">
        <v>884</v>
      </c>
      <c r="C869" s="2">
        <v>45921</v>
      </c>
      <c r="D869" s="2">
        <v>45922</v>
      </c>
      <c r="E869" t="s">
        <v>1019</v>
      </c>
      <c r="F869" t="s">
        <v>1090</v>
      </c>
      <c r="G869" t="s">
        <v>1270</v>
      </c>
      <c r="H869" t="s">
        <v>1287</v>
      </c>
      <c r="I869" t="s">
        <v>1299</v>
      </c>
      <c r="J869" t="s">
        <v>1304</v>
      </c>
      <c r="K869" t="s">
        <v>1309</v>
      </c>
      <c r="L869" t="s">
        <v>1317</v>
      </c>
      <c r="M869">
        <v>1</v>
      </c>
      <c r="N869">
        <v>0.05</v>
      </c>
      <c r="O869">
        <v>785.37</v>
      </c>
      <c r="P869">
        <v>240.68</v>
      </c>
      <c r="Q869" t="s">
        <v>1331</v>
      </c>
      <c r="R869" t="b">
        <f t="shared" si="40"/>
        <v>0</v>
      </c>
      <c r="S869" t="b">
        <f t="shared" si="41"/>
        <v>0</v>
      </c>
      <c r="T869" t="b">
        <f t="shared" si="42"/>
        <v>0</v>
      </c>
    </row>
    <row r="870" spans="1:20" x14ac:dyDescent="0.3">
      <c r="A870">
        <v>869</v>
      </c>
      <c r="B870" t="s">
        <v>885</v>
      </c>
      <c r="C870" s="2">
        <v>45968</v>
      </c>
      <c r="D870" s="2">
        <v>45972</v>
      </c>
      <c r="E870" t="s">
        <v>1017</v>
      </c>
      <c r="F870" t="s">
        <v>1222</v>
      </c>
      <c r="G870" t="s">
        <v>1277</v>
      </c>
      <c r="H870" t="s">
        <v>1287</v>
      </c>
      <c r="I870" t="s">
        <v>1298</v>
      </c>
      <c r="J870" t="s">
        <v>1303</v>
      </c>
      <c r="K870" t="s">
        <v>1307</v>
      </c>
      <c r="L870" t="s">
        <v>1315</v>
      </c>
      <c r="M870">
        <v>1</v>
      </c>
      <c r="N870">
        <v>0</v>
      </c>
      <c r="O870">
        <v>1733.04</v>
      </c>
      <c r="P870">
        <v>569.80999999999995</v>
      </c>
      <c r="Q870" t="s">
        <v>1331</v>
      </c>
      <c r="R870" t="b">
        <f t="shared" si="40"/>
        <v>0</v>
      </c>
      <c r="S870" t="b">
        <f t="shared" si="41"/>
        <v>0</v>
      </c>
      <c r="T870" t="b">
        <f t="shared" si="42"/>
        <v>0</v>
      </c>
    </row>
    <row r="871" spans="1:20" x14ac:dyDescent="0.3">
      <c r="A871">
        <v>870</v>
      </c>
      <c r="B871" t="s">
        <v>886</v>
      </c>
      <c r="C871" s="2">
        <v>46004</v>
      </c>
      <c r="D871" s="2">
        <v>46005</v>
      </c>
      <c r="E871" t="s">
        <v>1019</v>
      </c>
      <c r="F871" t="s">
        <v>1201</v>
      </c>
      <c r="G871" t="s">
        <v>1284</v>
      </c>
      <c r="H871" t="s">
        <v>1287</v>
      </c>
      <c r="I871" t="s">
        <v>1292</v>
      </c>
      <c r="J871" t="s">
        <v>1303</v>
      </c>
      <c r="K871" t="s">
        <v>1306</v>
      </c>
      <c r="L871" t="s">
        <v>1321</v>
      </c>
      <c r="M871">
        <v>1</v>
      </c>
      <c r="N871">
        <v>0.15</v>
      </c>
      <c r="O871">
        <v>399.34</v>
      </c>
      <c r="P871">
        <v>51.75</v>
      </c>
      <c r="Q871" t="s">
        <v>1331</v>
      </c>
      <c r="R871" t="b">
        <f t="shared" si="40"/>
        <v>0</v>
      </c>
      <c r="S871" t="b">
        <f t="shared" si="41"/>
        <v>0</v>
      </c>
      <c r="T871" t="b">
        <f t="shared" si="42"/>
        <v>0</v>
      </c>
    </row>
    <row r="872" spans="1:20" x14ac:dyDescent="0.3">
      <c r="A872">
        <v>871</v>
      </c>
      <c r="B872" t="s">
        <v>887</v>
      </c>
      <c r="C872" s="2">
        <v>45731</v>
      </c>
      <c r="D872" s="2">
        <v>45733</v>
      </c>
      <c r="E872" t="s">
        <v>1017</v>
      </c>
      <c r="F872" t="s">
        <v>1263</v>
      </c>
      <c r="G872" t="s">
        <v>1277</v>
      </c>
      <c r="H872" t="s">
        <v>1287</v>
      </c>
      <c r="I872" t="s">
        <v>1295</v>
      </c>
      <c r="J872" t="s">
        <v>1305</v>
      </c>
      <c r="K872" t="s">
        <v>1309</v>
      </c>
      <c r="L872" t="s">
        <v>1325</v>
      </c>
      <c r="M872">
        <v>1</v>
      </c>
      <c r="N872">
        <v>0.1</v>
      </c>
      <c r="O872">
        <v>1191.75</v>
      </c>
      <c r="P872">
        <v>283.85000000000002</v>
      </c>
      <c r="Q872" t="s">
        <v>1332</v>
      </c>
      <c r="R872" t="b">
        <f t="shared" si="40"/>
        <v>0</v>
      </c>
      <c r="S872" t="b">
        <f t="shared" si="41"/>
        <v>0</v>
      </c>
      <c r="T872" t="b">
        <f t="shared" si="42"/>
        <v>0</v>
      </c>
    </row>
    <row r="873" spans="1:20" x14ac:dyDescent="0.3">
      <c r="A873">
        <v>872</v>
      </c>
      <c r="B873" t="s">
        <v>888</v>
      </c>
      <c r="C873" s="2">
        <v>46002</v>
      </c>
      <c r="D873" s="2">
        <v>46003</v>
      </c>
      <c r="E873" t="s">
        <v>1017</v>
      </c>
      <c r="F873" t="s">
        <v>1264</v>
      </c>
      <c r="G873" t="s">
        <v>1275</v>
      </c>
      <c r="H873" t="s">
        <v>1287</v>
      </c>
      <c r="I873" t="s">
        <v>1293</v>
      </c>
      <c r="J873" t="s">
        <v>1304</v>
      </c>
      <c r="K873" t="s">
        <v>1306</v>
      </c>
      <c r="L873" t="s">
        <v>1310</v>
      </c>
      <c r="M873">
        <v>3</v>
      </c>
      <c r="N873">
        <v>0.1</v>
      </c>
      <c r="O873">
        <v>1704.09</v>
      </c>
      <c r="P873">
        <v>192.39</v>
      </c>
      <c r="Q873" t="s">
        <v>1331</v>
      </c>
      <c r="R873" t="b">
        <f t="shared" si="40"/>
        <v>0</v>
      </c>
      <c r="S873" t="b">
        <f t="shared" si="41"/>
        <v>0</v>
      </c>
      <c r="T873" t="b">
        <f t="shared" si="42"/>
        <v>0</v>
      </c>
    </row>
    <row r="874" spans="1:20" x14ac:dyDescent="0.3">
      <c r="A874">
        <v>873</v>
      </c>
      <c r="B874" t="s">
        <v>889</v>
      </c>
      <c r="C874" s="2">
        <v>45855</v>
      </c>
      <c r="D874" s="2">
        <v>45859</v>
      </c>
      <c r="E874" t="s">
        <v>1017</v>
      </c>
      <c r="F874" t="s">
        <v>1037</v>
      </c>
      <c r="G874" t="s">
        <v>1270</v>
      </c>
      <c r="H874" t="s">
        <v>1288</v>
      </c>
      <c r="I874" t="s">
        <v>1300</v>
      </c>
      <c r="J874" t="s">
        <v>1305</v>
      </c>
      <c r="K874" t="s">
        <v>1307</v>
      </c>
      <c r="L874" t="s">
        <v>1311</v>
      </c>
      <c r="M874">
        <v>1</v>
      </c>
      <c r="N874">
        <v>0.15</v>
      </c>
      <c r="O874">
        <v>262.58</v>
      </c>
      <c r="P874">
        <v>66.75</v>
      </c>
      <c r="Q874" t="s">
        <v>1333</v>
      </c>
      <c r="R874" t="b">
        <f t="shared" si="40"/>
        <v>0</v>
      </c>
      <c r="S874" t="b">
        <f t="shared" si="41"/>
        <v>0</v>
      </c>
      <c r="T874" t="b">
        <f t="shared" si="42"/>
        <v>0</v>
      </c>
    </row>
    <row r="875" spans="1:20" x14ac:dyDescent="0.3">
      <c r="A875">
        <v>874</v>
      </c>
      <c r="B875" t="s">
        <v>890</v>
      </c>
      <c r="C875" s="2">
        <v>45895</v>
      </c>
      <c r="D875" s="2">
        <v>45898</v>
      </c>
      <c r="E875" t="s">
        <v>1017</v>
      </c>
      <c r="F875" t="s">
        <v>1095</v>
      </c>
      <c r="G875" t="s">
        <v>1279</v>
      </c>
      <c r="H875" t="s">
        <v>1288</v>
      </c>
      <c r="I875" t="s">
        <v>1299</v>
      </c>
      <c r="J875" t="s">
        <v>1304</v>
      </c>
      <c r="K875" t="s">
        <v>1308</v>
      </c>
      <c r="L875" t="s">
        <v>1318</v>
      </c>
      <c r="M875">
        <v>2</v>
      </c>
      <c r="N875">
        <v>0</v>
      </c>
      <c r="O875">
        <v>10821.03</v>
      </c>
      <c r="P875">
        <v>2440.7800000000002</v>
      </c>
      <c r="Q875" t="s">
        <v>1331</v>
      </c>
      <c r="R875" t="b">
        <f t="shared" si="40"/>
        <v>0</v>
      </c>
      <c r="S875" t="b">
        <f t="shared" si="41"/>
        <v>0</v>
      </c>
      <c r="T875" t="b">
        <f t="shared" si="42"/>
        <v>0</v>
      </c>
    </row>
    <row r="876" spans="1:20" x14ac:dyDescent="0.3">
      <c r="A876">
        <v>875</v>
      </c>
      <c r="B876" t="s">
        <v>891</v>
      </c>
      <c r="C876" s="2">
        <v>45787</v>
      </c>
      <c r="D876" s="2">
        <v>45790</v>
      </c>
      <c r="E876" t="s">
        <v>1018</v>
      </c>
      <c r="F876" t="s">
        <v>1119</v>
      </c>
      <c r="G876" t="s">
        <v>1285</v>
      </c>
      <c r="H876" t="s">
        <v>1289</v>
      </c>
      <c r="I876" t="s">
        <v>1299</v>
      </c>
      <c r="J876" t="s">
        <v>1304</v>
      </c>
      <c r="K876" t="s">
        <v>1307</v>
      </c>
      <c r="L876" t="s">
        <v>1316</v>
      </c>
      <c r="M876">
        <v>1</v>
      </c>
      <c r="N876">
        <v>0.2</v>
      </c>
      <c r="O876">
        <v>419.15</v>
      </c>
      <c r="P876">
        <v>60.3</v>
      </c>
      <c r="Q876" t="s">
        <v>1331</v>
      </c>
      <c r="R876" t="b">
        <f t="shared" si="40"/>
        <v>0</v>
      </c>
      <c r="S876" t="b">
        <f t="shared" si="41"/>
        <v>0</v>
      </c>
      <c r="T876" t="b">
        <f t="shared" si="42"/>
        <v>0</v>
      </c>
    </row>
    <row r="877" spans="1:20" x14ac:dyDescent="0.3">
      <c r="A877">
        <v>876</v>
      </c>
      <c r="B877" t="s">
        <v>892</v>
      </c>
      <c r="C877" s="2">
        <v>45752</v>
      </c>
      <c r="D877" s="2">
        <v>45754</v>
      </c>
      <c r="E877" t="s">
        <v>1018</v>
      </c>
      <c r="F877" t="s">
        <v>1111</v>
      </c>
      <c r="G877" t="s">
        <v>1270</v>
      </c>
      <c r="H877" t="s">
        <v>1288</v>
      </c>
      <c r="I877" t="s">
        <v>1297</v>
      </c>
      <c r="J877" t="s">
        <v>1304</v>
      </c>
      <c r="K877" t="s">
        <v>1308</v>
      </c>
      <c r="L877" t="s">
        <v>1327</v>
      </c>
      <c r="M877">
        <v>3</v>
      </c>
      <c r="N877">
        <v>0</v>
      </c>
      <c r="O877">
        <v>5398.3</v>
      </c>
      <c r="P877">
        <v>1062.3699999999999</v>
      </c>
      <c r="Q877" t="s">
        <v>1331</v>
      </c>
      <c r="R877" t="b">
        <f t="shared" si="40"/>
        <v>0</v>
      </c>
      <c r="S877" t="b">
        <f t="shared" si="41"/>
        <v>0</v>
      </c>
      <c r="T877" t="b">
        <f t="shared" si="42"/>
        <v>0</v>
      </c>
    </row>
    <row r="878" spans="1:20" x14ac:dyDescent="0.3">
      <c r="A878">
        <v>877</v>
      </c>
      <c r="B878" t="s">
        <v>893</v>
      </c>
      <c r="C878" s="2">
        <v>45721</v>
      </c>
      <c r="D878" s="2">
        <v>45726</v>
      </c>
      <c r="E878" t="s">
        <v>1017</v>
      </c>
      <c r="F878" t="s">
        <v>1184</v>
      </c>
      <c r="G878" t="s">
        <v>1274</v>
      </c>
      <c r="H878" t="s">
        <v>1287</v>
      </c>
      <c r="I878" t="s">
        <v>1301</v>
      </c>
      <c r="J878" t="s">
        <v>1303</v>
      </c>
      <c r="K878" t="s">
        <v>1307</v>
      </c>
      <c r="L878" t="s">
        <v>1311</v>
      </c>
      <c r="M878">
        <v>2</v>
      </c>
      <c r="N878">
        <v>0.1</v>
      </c>
      <c r="O878">
        <v>549.36</v>
      </c>
      <c r="P878">
        <v>98.27</v>
      </c>
      <c r="Q878" t="s">
        <v>1332</v>
      </c>
      <c r="R878" t="b">
        <f t="shared" si="40"/>
        <v>0</v>
      </c>
      <c r="S878" t="b">
        <f t="shared" si="41"/>
        <v>0</v>
      </c>
      <c r="T878" t="b">
        <f t="shared" si="42"/>
        <v>0</v>
      </c>
    </row>
    <row r="879" spans="1:20" x14ac:dyDescent="0.3">
      <c r="A879">
        <v>878</v>
      </c>
      <c r="B879" t="s">
        <v>894</v>
      </c>
      <c r="C879" s="2">
        <v>45824</v>
      </c>
      <c r="D879" s="2">
        <v>45826</v>
      </c>
      <c r="E879" t="s">
        <v>1017</v>
      </c>
      <c r="F879" t="s">
        <v>1231</v>
      </c>
      <c r="G879" t="s">
        <v>1278</v>
      </c>
      <c r="H879" t="s">
        <v>1288</v>
      </c>
      <c r="I879" t="s">
        <v>1301</v>
      </c>
      <c r="J879" t="s">
        <v>1303</v>
      </c>
      <c r="K879" t="s">
        <v>1308</v>
      </c>
      <c r="L879" t="s">
        <v>1327</v>
      </c>
      <c r="M879">
        <v>2</v>
      </c>
      <c r="N879">
        <v>0.2</v>
      </c>
      <c r="O879">
        <v>2752.88</v>
      </c>
      <c r="P879">
        <v>402.67</v>
      </c>
      <c r="Q879" t="s">
        <v>1331</v>
      </c>
      <c r="R879" t="b">
        <f t="shared" si="40"/>
        <v>0</v>
      </c>
      <c r="S879" t="b">
        <f t="shared" si="41"/>
        <v>0</v>
      </c>
      <c r="T879" t="b">
        <f t="shared" si="42"/>
        <v>0</v>
      </c>
    </row>
    <row r="880" spans="1:20" x14ac:dyDescent="0.3">
      <c r="A880">
        <v>879</v>
      </c>
      <c r="B880" t="s">
        <v>895</v>
      </c>
      <c r="C880" s="2">
        <v>45753</v>
      </c>
      <c r="D880" s="2">
        <v>45756</v>
      </c>
      <c r="E880" t="s">
        <v>1018</v>
      </c>
      <c r="F880" t="s">
        <v>1244</v>
      </c>
      <c r="G880" t="s">
        <v>1278</v>
      </c>
      <c r="H880" t="s">
        <v>1287</v>
      </c>
      <c r="I880" t="s">
        <v>1301</v>
      </c>
      <c r="J880" t="s">
        <v>1303</v>
      </c>
      <c r="K880" t="s">
        <v>1306</v>
      </c>
      <c r="L880" t="s">
        <v>1321</v>
      </c>
      <c r="M880">
        <v>1</v>
      </c>
      <c r="N880">
        <v>0.2</v>
      </c>
      <c r="O880">
        <v>347.61</v>
      </c>
      <c r="P880">
        <v>3.61</v>
      </c>
      <c r="Q880" t="s">
        <v>1333</v>
      </c>
      <c r="R880" t="b">
        <f t="shared" si="40"/>
        <v>0</v>
      </c>
      <c r="S880" t="b">
        <f t="shared" si="41"/>
        <v>0</v>
      </c>
      <c r="T880" t="b">
        <f t="shared" si="42"/>
        <v>0</v>
      </c>
    </row>
    <row r="881" spans="1:20" x14ac:dyDescent="0.3">
      <c r="A881">
        <v>880</v>
      </c>
      <c r="B881" t="s">
        <v>896</v>
      </c>
      <c r="C881" s="2">
        <v>45716</v>
      </c>
      <c r="D881" s="2">
        <v>45721</v>
      </c>
      <c r="E881" t="s">
        <v>1017</v>
      </c>
      <c r="F881" t="s">
        <v>1122</v>
      </c>
      <c r="G881" t="s">
        <v>1271</v>
      </c>
      <c r="H881" t="s">
        <v>1287</v>
      </c>
      <c r="I881" t="s">
        <v>1295</v>
      </c>
      <c r="J881" t="s">
        <v>1305</v>
      </c>
      <c r="K881" t="s">
        <v>1309</v>
      </c>
      <c r="L881" t="s">
        <v>1317</v>
      </c>
      <c r="M881">
        <v>2</v>
      </c>
      <c r="N881">
        <v>0</v>
      </c>
      <c r="O881">
        <v>1654.22</v>
      </c>
      <c r="P881">
        <v>495.91</v>
      </c>
      <c r="Q881" t="s">
        <v>1331</v>
      </c>
      <c r="R881" t="b">
        <f t="shared" si="40"/>
        <v>0</v>
      </c>
      <c r="S881" t="b">
        <f t="shared" si="41"/>
        <v>0</v>
      </c>
      <c r="T881" t="b">
        <f t="shared" si="42"/>
        <v>0</v>
      </c>
    </row>
    <row r="882" spans="1:20" x14ac:dyDescent="0.3">
      <c r="A882">
        <v>881</v>
      </c>
      <c r="B882" t="s">
        <v>897</v>
      </c>
      <c r="C882" s="2">
        <v>45985</v>
      </c>
      <c r="D882" s="2">
        <v>45987</v>
      </c>
      <c r="E882" t="s">
        <v>1017</v>
      </c>
      <c r="F882" t="s">
        <v>1138</v>
      </c>
      <c r="G882" t="s">
        <v>1276</v>
      </c>
      <c r="H882" t="s">
        <v>1287</v>
      </c>
      <c r="I882" t="s">
        <v>1292</v>
      </c>
      <c r="J882" t="s">
        <v>1303</v>
      </c>
      <c r="K882" t="s">
        <v>1306</v>
      </c>
      <c r="L882" t="s">
        <v>1323</v>
      </c>
      <c r="M882">
        <v>4</v>
      </c>
      <c r="N882">
        <v>0.15</v>
      </c>
      <c r="O882">
        <v>605.98</v>
      </c>
      <c r="P882">
        <v>44.51</v>
      </c>
      <c r="Q882" t="s">
        <v>1332</v>
      </c>
      <c r="R882" t="b">
        <f t="shared" si="40"/>
        <v>0</v>
      </c>
      <c r="S882" t="b">
        <f t="shared" si="41"/>
        <v>0</v>
      </c>
      <c r="T882" t="b">
        <f t="shared" si="42"/>
        <v>0</v>
      </c>
    </row>
    <row r="883" spans="1:20" x14ac:dyDescent="0.3">
      <c r="A883">
        <v>882</v>
      </c>
      <c r="B883" t="s">
        <v>898</v>
      </c>
      <c r="C883" s="2">
        <v>45918</v>
      </c>
      <c r="D883" s="2">
        <v>45923</v>
      </c>
      <c r="E883" t="s">
        <v>1017</v>
      </c>
      <c r="F883" t="s">
        <v>1211</v>
      </c>
      <c r="G883" t="s">
        <v>1272</v>
      </c>
      <c r="H883" t="s">
        <v>1288</v>
      </c>
      <c r="I883" t="s">
        <v>1294</v>
      </c>
      <c r="J883" t="s">
        <v>1305</v>
      </c>
      <c r="K883" t="s">
        <v>1308</v>
      </c>
      <c r="L883" t="s">
        <v>1326</v>
      </c>
      <c r="M883">
        <v>4</v>
      </c>
      <c r="N883">
        <v>0</v>
      </c>
      <c r="O883">
        <v>28155.01</v>
      </c>
      <c r="P883">
        <v>6829.18</v>
      </c>
      <c r="Q883" t="s">
        <v>1330</v>
      </c>
      <c r="R883" t="b">
        <f t="shared" si="40"/>
        <v>0</v>
      </c>
      <c r="S883" t="b">
        <f t="shared" si="41"/>
        <v>0</v>
      </c>
      <c r="T883" t="b">
        <f t="shared" si="42"/>
        <v>0</v>
      </c>
    </row>
    <row r="884" spans="1:20" x14ac:dyDescent="0.3">
      <c r="A884">
        <v>883</v>
      </c>
      <c r="B884" t="s">
        <v>899</v>
      </c>
      <c r="C884" s="2">
        <v>45867</v>
      </c>
      <c r="D884" s="2">
        <v>45870</v>
      </c>
      <c r="E884" t="s">
        <v>1018</v>
      </c>
      <c r="F884" t="s">
        <v>1060</v>
      </c>
      <c r="G884" t="s">
        <v>1269</v>
      </c>
      <c r="H884" t="s">
        <v>1288</v>
      </c>
      <c r="I884" t="s">
        <v>1300</v>
      </c>
      <c r="J884" t="s">
        <v>1305</v>
      </c>
      <c r="K884" t="s">
        <v>1306</v>
      </c>
      <c r="L884" t="s">
        <v>1323</v>
      </c>
      <c r="M884">
        <v>2</v>
      </c>
      <c r="N884">
        <v>0</v>
      </c>
      <c r="O884">
        <v>349.38</v>
      </c>
      <c r="P884">
        <v>79.69</v>
      </c>
      <c r="Q884" t="s">
        <v>1333</v>
      </c>
      <c r="R884" t="b">
        <f t="shared" si="40"/>
        <v>0</v>
      </c>
      <c r="S884" t="b">
        <f t="shared" si="41"/>
        <v>0</v>
      </c>
      <c r="T884" t="b">
        <f t="shared" si="42"/>
        <v>0</v>
      </c>
    </row>
    <row r="885" spans="1:20" x14ac:dyDescent="0.3">
      <c r="A885">
        <v>884</v>
      </c>
      <c r="B885" t="s">
        <v>900</v>
      </c>
      <c r="C885" s="2">
        <v>45701</v>
      </c>
      <c r="D885" s="2">
        <v>45704</v>
      </c>
      <c r="E885" t="s">
        <v>1017</v>
      </c>
      <c r="F885" t="s">
        <v>1207</v>
      </c>
      <c r="G885" t="s">
        <v>1267</v>
      </c>
      <c r="H885" t="s">
        <v>1287</v>
      </c>
      <c r="I885" t="s">
        <v>1298</v>
      </c>
      <c r="J885" t="s">
        <v>1303</v>
      </c>
      <c r="K885" t="s">
        <v>1309</v>
      </c>
      <c r="L885" t="s">
        <v>1325</v>
      </c>
      <c r="M885">
        <v>1</v>
      </c>
      <c r="N885">
        <v>0.1</v>
      </c>
      <c r="O885">
        <v>1122.3599999999999</v>
      </c>
      <c r="P885">
        <v>74.8</v>
      </c>
      <c r="Q885" t="s">
        <v>1332</v>
      </c>
      <c r="R885" t="b">
        <f t="shared" si="40"/>
        <v>0</v>
      </c>
      <c r="S885" t="b">
        <f t="shared" si="41"/>
        <v>0</v>
      </c>
      <c r="T885" t="b">
        <f t="shared" si="42"/>
        <v>0</v>
      </c>
    </row>
    <row r="886" spans="1:20" x14ac:dyDescent="0.3">
      <c r="A886">
        <v>885</v>
      </c>
      <c r="B886" t="s">
        <v>901</v>
      </c>
      <c r="C886" s="2">
        <v>45723</v>
      </c>
      <c r="D886" s="2">
        <v>45728</v>
      </c>
      <c r="E886" t="s">
        <v>1017</v>
      </c>
      <c r="F886" t="s">
        <v>1224</v>
      </c>
      <c r="G886" t="s">
        <v>1272</v>
      </c>
      <c r="H886" t="s">
        <v>1287</v>
      </c>
      <c r="I886" t="s">
        <v>1296</v>
      </c>
      <c r="J886" t="s">
        <v>1304</v>
      </c>
      <c r="K886" t="s">
        <v>1306</v>
      </c>
      <c r="L886" t="s">
        <v>1324</v>
      </c>
      <c r="M886">
        <v>1</v>
      </c>
      <c r="N886">
        <v>0.05</v>
      </c>
      <c r="O886">
        <v>81.91</v>
      </c>
      <c r="P886">
        <v>10.71</v>
      </c>
      <c r="Q886" t="s">
        <v>1332</v>
      </c>
      <c r="R886" t="b">
        <f t="shared" si="40"/>
        <v>0</v>
      </c>
      <c r="S886" t="b">
        <f t="shared" si="41"/>
        <v>0</v>
      </c>
      <c r="T886" t="b">
        <f t="shared" si="42"/>
        <v>0</v>
      </c>
    </row>
    <row r="887" spans="1:20" x14ac:dyDescent="0.3">
      <c r="A887">
        <v>886</v>
      </c>
      <c r="B887" t="s">
        <v>902</v>
      </c>
      <c r="C887" s="2">
        <v>45970</v>
      </c>
      <c r="D887" s="2">
        <v>45973</v>
      </c>
      <c r="E887" t="s">
        <v>1018</v>
      </c>
      <c r="F887" t="s">
        <v>1098</v>
      </c>
      <c r="G887" t="s">
        <v>1283</v>
      </c>
      <c r="H887" t="s">
        <v>1288</v>
      </c>
      <c r="I887" t="s">
        <v>1295</v>
      </c>
      <c r="J887" t="s">
        <v>1305</v>
      </c>
      <c r="K887" t="s">
        <v>1309</v>
      </c>
      <c r="L887" t="s">
        <v>1317</v>
      </c>
      <c r="M887">
        <v>1</v>
      </c>
      <c r="N887">
        <v>0</v>
      </c>
      <c r="O887">
        <v>800.15</v>
      </c>
      <c r="P887">
        <v>210.69</v>
      </c>
      <c r="Q887" t="s">
        <v>1333</v>
      </c>
      <c r="R887" t="b">
        <f t="shared" si="40"/>
        <v>0</v>
      </c>
      <c r="S887" t="b">
        <f t="shared" si="41"/>
        <v>0</v>
      </c>
      <c r="T887" t="b">
        <f t="shared" si="42"/>
        <v>0</v>
      </c>
    </row>
    <row r="888" spans="1:20" x14ac:dyDescent="0.3">
      <c r="A888">
        <v>887</v>
      </c>
      <c r="B888" t="s">
        <v>903</v>
      </c>
      <c r="C888" s="2">
        <v>45670</v>
      </c>
      <c r="D888" s="2">
        <v>45674</v>
      </c>
      <c r="E888" t="s">
        <v>1018</v>
      </c>
      <c r="F888" t="s">
        <v>1030</v>
      </c>
      <c r="G888" t="s">
        <v>1285</v>
      </c>
      <c r="H888" t="s">
        <v>1287</v>
      </c>
      <c r="I888" t="s">
        <v>1298</v>
      </c>
      <c r="J888" t="s">
        <v>1303</v>
      </c>
      <c r="K888" t="s">
        <v>1306</v>
      </c>
      <c r="L888" t="s">
        <v>1310</v>
      </c>
      <c r="M888">
        <v>1</v>
      </c>
      <c r="N888">
        <v>0</v>
      </c>
      <c r="O888">
        <v>630.66</v>
      </c>
      <c r="P888">
        <v>111.95</v>
      </c>
      <c r="Q888" t="s">
        <v>1333</v>
      </c>
      <c r="R888" t="b">
        <f t="shared" si="40"/>
        <v>0</v>
      </c>
      <c r="S888" t="b">
        <f t="shared" si="41"/>
        <v>0</v>
      </c>
      <c r="T888" t="b">
        <f t="shared" si="42"/>
        <v>0</v>
      </c>
    </row>
    <row r="889" spans="1:20" x14ac:dyDescent="0.3">
      <c r="A889">
        <v>888</v>
      </c>
      <c r="B889" t="s">
        <v>904</v>
      </c>
      <c r="C889" s="2">
        <v>45805</v>
      </c>
      <c r="D889" s="2">
        <v>45806</v>
      </c>
      <c r="E889" t="s">
        <v>1018</v>
      </c>
      <c r="F889" t="s">
        <v>1261</v>
      </c>
      <c r="G889" t="s">
        <v>1272</v>
      </c>
      <c r="H889" t="s">
        <v>1287</v>
      </c>
      <c r="I889" t="s">
        <v>1293</v>
      </c>
      <c r="J889" t="s">
        <v>1304</v>
      </c>
      <c r="K889" t="s">
        <v>1308</v>
      </c>
      <c r="L889" t="s">
        <v>1326</v>
      </c>
      <c r="M889">
        <v>1</v>
      </c>
      <c r="N889">
        <v>0.1</v>
      </c>
      <c r="O889">
        <v>6051.37</v>
      </c>
      <c r="P889">
        <v>419.68</v>
      </c>
      <c r="Q889" t="s">
        <v>1331</v>
      </c>
      <c r="R889" t="b">
        <f t="shared" si="40"/>
        <v>0</v>
      </c>
      <c r="S889" t="b">
        <f t="shared" si="41"/>
        <v>0</v>
      </c>
      <c r="T889" t="b">
        <f t="shared" si="42"/>
        <v>0</v>
      </c>
    </row>
    <row r="890" spans="1:20" x14ac:dyDescent="0.3">
      <c r="A890">
        <v>889</v>
      </c>
      <c r="B890" t="s">
        <v>905</v>
      </c>
      <c r="C890" s="2">
        <v>45897</v>
      </c>
      <c r="D890" s="2">
        <v>45899</v>
      </c>
      <c r="E890" t="s">
        <v>1017</v>
      </c>
      <c r="F890" t="s">
        <v>1219</v>
      </c>
      <c r="G890" t="s">
        <v>1281</v>
      </c>
      <c r="H890" t="s">
        <v>1289</v>
      </c>
      <c r="I890" t="s">
        <v>1292</v>
      </c>
      <c r="J890" t="s">
        <v>1303</v>
      </c>
      <c r="K890" t="s">
        <v>1309</v>
      </c>
      <c r="L890" t="s">
        <v>1329</v>
      </c>
      <c r="M890">
        <v>1</v>
      </c>
      <c r="N890">
        <v>0.1</v>
      </c>
      <c r="O890">
        <v>1705.81</v>
      </c>
      <c r="P890">
        <v>527.29999999999995</v>
      </c>
      <c r="Q890" t="s">
        <v>1330</v>
      </c>
      <c r="R890" t="b">
        <f t="shared" si="40"/>
        <v>0</v>
      </c>
      <c r="S890" t="b">
        <f t="shared" si="41"/>
        <v>0</v>
      </c>
      <c r="T890" t="b">
        <f t="shared" si="42"/>
        <v>0</v>
      </c>
    </row>
    <row r="891" spans="1:20" x14ac:dyDescent="0.3">
      <c r="A891">
        <v>890</v>
      </c>
      <c r="B891" t="s">
        <v>906</v>
      </c>
      <c r="C891" s="2">
        <v>45892</v>
      </c>
      <c r="D891" s="2">
        <v>45895</v>
      </c>
      <c r="E891" t="s">
        <v>1017</v>
      </c>
      <c r="F891" t="s">
        <v>1262</v>
      </c>
      <c r="G891" t="s">
        <v>1281</v>
      </c>
      <c r="H891" t="s">
        <v>1289</v>
      </c>
      <c r="I891" t="s">
        <v>1293</v>
      </c>
      <c r="J891" t="s">
        <v>1304</v>
      </c>
      <c r="K891" t="s">
        <v>1307</v>
      </c>
      <c r="L891" t="s">
        <v>1322</v>
      </c>
      <c r="M891">
        <v>2</v>
      </c>
      <c r="N891">
        <v>0.2</v>
      </c>
      <c r="O891">
        <v>1101.6300000000001</v>
      </c>
      <c r="P891">
        <v>162.02000000000001</v>
      </c>
      <c r="Q891" t="s">
        <v>1330</v>
      </c>
      <c r="R891" t="b">
        <f t="shared" si="40"/>
        <v>0</v>
      </c>
      <c r="S891" t="b">
        <f t="shared" si="41"/>
        <v>0</v>
      </c>
      <c r="T891" t="b">
        <f t="shared" si="42"/>
        <v>0</v>
      </c>
    </row>
    <row r="892" spans="1:20" x14ac:dyDescent="0.3">
      <c r="A892">
        <v>891</v>
      </c>
      <c r="B892" t="s">
        <v>907</v>
      </c>
      <c r="C892" s="2">
        <v>45900</v>
      </c>
      <c r="D892" s="2">
        <v>45905</v>
      </c>
      <c r="E892" t="s">
        <v>1018</v>
      </c>
      <c r="F892" t="s">
        <v>1185</v>
      </c>
      <c r="G892" t="s">
        <v>1269</v>
      </c>
      <c r="H892" t="s">
        <v>1288</v>
      </c>
      <c r="I892" t="s">
        <v>1293</v>
      </c>
      <c r="J892" t="s">
        <v>1304</v>
      </c>
      <c r="K892" t="s">
        <v>1309</v>
      </c>
      <c r="L892" t="s">
        <v>1325</v>
      </c>
      <c r="M892">
        <v>4</v>
      </c>
      <c r="N892">
        <v>0.05</v>
      </c>
      <c r="O892">
        <v>4928.9799999999996</v>
      </c>
      <c r="P892">
        <v>1339.68</v>
      </c>
      <c r="Q892" t="s">
        <v>1332</v>
      </c>
      <c r="R892" t="b">
        <f t="shared" si="40"/>
        <v>0</v>
      </c>
      <c r="S892" t="b">
        <f t="shared" si="41"/>
        <v>0</v>
      </c>
      <c r="T892" t="b">
        <f t="shared" si="42"/>
        <v>0</v>
      </c>
    </row>
    <row r="893" spans="1:20" x14ac:dyDescent="0.3">
      <c r="A893">
        <v>892</v>
      </c>
      <c r="B893" t="s">
        <v>908</v>
      </c>
      <c r="C893" s="2">
        <v>45753</v>
      </c>
      <c r="D893" s="2">
        <v>45755</v>
      </c>
      <c r="E893" t="s">
        <v>1018</v>
      </c>
      <c r="F893" t="s">
        <v>1148</v>
      </c>
      <c r="G893" t="s">
        <v>1284</v>
      </c>
      <c r="H893" t="s">
        <v>1288</v>
      </c>
      <c r="I893" t="s">
        <v>1301</v>
      </c>
      <c r="J893" t="s">
        <v>1303</v>
      </c>
      <c r="K893" t="s">
        <v>1309</v>
      </c>
      <c r="L893" t="s">
        <v>1317</v>
      </c>
      <c r="M893">
        <v>2</v>
      </c>
      <c r="N893">
        <v>0</v>
      </c>
      <c r="O893">
        <v>1589.71</v>
      </c>
      <c r="P893">
        <v>299.32</v>
      </c>
      <c r="Q893" t="s">
        <v>1332</v>
      </c>
      <c r="R893" t="b">
        <f t="shared" si="40"/>
        <v>0</v>
      </c>
      <c r="S893" t="b">
        <f t="shared" si="41"/>
        <v>0</v>
      </c>
      <c r="T893" t="b">
        <f t="shared" si="42"/>
        <v>0</v>
      </c>
    </row>
    <row r="894" spans="1:20" x14ac:dyDescent="0.3">
      <c r="A894">
        <v>893</v>
      </c>
      <c r="B894" t="s">
        <v>909</v>
      </c>
      <c r="C894" s="2">
        <v>45917</v>
      </c>
      <c r="D894" s="2">
        <v>45920</v>
      </c>
      <c r="E894" t="s">
        <v>1018</v>
      </c>
      <c r="F894" t="s">
        <v>1120</v>
      </c>
      <c r="G894" t="s">
        <v>1282</v>
      </c>
      <c r="H894" t="s">
        <v>1289</v>
      </c>
      <c r="I894" t="s">
        <v>1295</v>
      </c>
      <c r="J894" t="s">
        <v>1305</v>
      </c>
      <c r="K894" t="s">
        <v>1308</v>
      </c>
      <c r="L894" t="s">
        <v>1312</v>
      </c>
      <c r="M894">
        <v>1</v>
      </c>
      <c r="N894">
        <v>0</v>
      </c>
      <c r="O894">
        <v>1308.27</v>
      </c>
      <c r="P894">
        <v>436.97</v>
      </c>
      <c r="Q894" t="s">
        <v>1333</v>
      </c>
      <c r="R894" t="b">
        <f t="shared" si="40"/>
        <v>0</v>
      </c>
      <c r="S894" t="b">
        <f t="shared" si="41"/>
        <v>0</v>
      </c>
      <c r="T894" t="b">
        <f t="shared" si="42"/>
        <v>0</v>
      </c>
    </row>
    <row r="895" spans="1:20" x14ac:dyDescent="0.3">
      <c r="A895">
        <v>894</v>
      </c>
      <c r="B895" t="s">
        <v>910</v>
      </c>
      <c r="C895" s="2">
        <v>45868</v>
      </c>
      <c r="D895" s="2">
        <v>45869</v>
      </c>
      <c r="E895" t="s">
        <v>1017</v>
      </c>
      <c r="F895" t="s">
        <v>1155</v>
      </c>
      <c r="G895" t="s">
        <v>1281</v>
      </c>
      <c r="H895" t="s">
        <v>1289</v>
      </c>
      <c r="I895" t="s">
        <v>1298</v>
      </c>
      <c r="J895" t="s">
        <v>1303</v>
      </c>
      <c r="K895" t="s">
        <v>1307</v>
      </c>
      <c r="L895" t="s">
        <v>1322</v>
      </c>
      <c r="M895">
        <v>1</v>
      </c>
      <c r="N895">
        <v>0.1</v>
      </c>
      <c r="O895">
        <v>606.32000000000005</v>
      </c>
      <c r="P895">
        <v>90.28</v>
      </c>
      <c r="Q895" t="s">
        <v>1332</v>
      </c>
      <c r="R895" t="b">
        <f t="shared" si="40"/>
        <v>0</v>
      </c>
      <c r="S895" t="b">
        <f t="shared" si="41"/>
        <v>0</v>
      </c>
      <c r="T895" t="b">
        <f t="shared" si="42"/>
        <v>0</v>
      </c>
    </row>
    <row r="896" spans="1:20" x14ac:dyDescent="0.3">
      <c r="A896">
        <v>895</v>
      </c>
      <c r="B896" t="s">
        <v>911</v>
      </c>
      <c r="C896" s="2">
        <v>46006</v>
      </c>
      <c r="D896" s="2">
        <v>46008</v>
      </c>
      <c r="E896" t="s">
        <v>1018</v>
      </c>
      <c r="F896" t="s">
        <v>1129</v>
      </c>
      <c r="G896" t="s">
        <v>1270</v>
      </c>
      <c r="H896" t="s">
        <v>1287</v>
      </c>
      <c r="I896" t="s">
        <v>1293</v>
      </c>
      <c r="J896" t="s">
        <v>1304</v>
      </c>
      <c r="K896" t="s">
        <v>1307</v>
      </c>
      <c r="L896" t="s">
        <v>1322</v>
      </c>
      <c r="M896">
        <v>2</v>
      </c>
      <c r="N896">
        <v>0.1</v>
      </c>
      <c r="O896">
        <v>1245.02</v>
      </c>
      <c r="P896">
        <v>247.88</v>
      </c>
      <c r="Q896" t="s">
        <v>1330</v>
      </c>
      <c r="R896" t="b">
        <f t="shared" si="40"/>
        <v>0</v>
      </c>
      <c r="S896" t="b">
        <f t="shared" si="41"/>
        <v>0</v>
      </c>
      <c r="T896" t="b">
        <f t="shared" si="42"/>
        <v>0</v>
      </c>
    </row>
    <row r="897" spans="1:20" x14ac:dyDescent="0.3">
      <c r="A897">
        <v>896</v>
      </c>
      <c r="B897" t="s">
        <v>912</v>
      </c>
      <c r="C897" s="2">
        <v>45710</v>
      </c>
      <c r="D897" s="2">
        <v>45712</v>
      </c>
      <c r="E897" t="s">
        <v>1017</v>
      </c>
      <c r="F897" t="s">
        <v>1153</v>
      </c>
      <c r="G897" t="s">
        <v>1272</v>
      </c>
      <c r="H897" t="s">
        <v>1287</v>
      </c>
      <c r="I897" t="s">
        <v>1297</v>
      </c>
      <c r="J897" t="s">
        <v>1304</v>
      </c>
      <c r="K897" t="s">
        <v>1309</v>
      </c>
      <c r="L897" t="s">
        <v>1313</v>
      </c>
      <c r="M897">
        <v>1</v>
      </c>
      <c r="N897">
        <v>0.15</v>
      </c>
      <c r="O897">
        <v>1317.78</v>
      </c>
      <c r="P897">
        <v>248.71</v>
      </c>
      <c r="Q897" t="s">
        <v>1331</v>
      </c>
      <c r="R897" t="b">
        <f t="shared" si="40"/>
        <v>0</v>
      </c>
      <c r="S897" t="b">
        <f t="shared" si="41"/>
        <v>0</v>
      </c>
      <c r="T897" t="b">
        <f t="shared" si="42"/>
        <v>0</v>
      </c>
    </row>
    <row r="898" spans="1:20" x14ac:dyDescent="0.3">
      <c r="A898">
        <v>897</v>
      </c>
      <c r="B898" t="s">
        <v>913</v>
      </c>
      <c r="C898" s="2">
        <v>45999</v>
      </c>
      <c r="D898" s="2">
        <v>46003</v>
      </c>
      <c r="E898" t="s">
        <v>1017</v>
      </c>
      <c r="F898" t="s">
        <v>1242</v>
      </c>
      <c r="G898" t="s">
        <v>1279</v>
      </c>
      <c r="H898" t="s">
        <v>1287</v>
      </c>
      <c r="I898" t="s">
        <v>1291</v>
      </c>
      <c r="J898" t="s">
        <v>1302</v>
      </c>
      <c r="K898" t="s">
        <v>1309</v>
      </c>
      <c r="L898" t="s">
        <v>1325</v>
      </c>
      <c r="M898">
        <v>1</v>
      </c>
      <c r="N898">
        <v>0</v>
      </c>
      <c r="O898">
        <v>1354.1</v>
      </c>
      <c r="P898">
        <v>347.29</v>
      </c>
      <c r="Q898" t="s">
        <v>1332</v>
      </c>
      <c r="R898" t="b">
        <f t="shared" si="40"/>
        <v>0</v>
      </c>
      <c r="S898" t="b">
        <f t="shared" si="41"/>
        <v>0</v>
      </c>
      <c r="T898" t="b">
        <f t="shared" si="42"/>
        <v>0</v>
      </c>
    </row>
    <row r="899" spans="1:20" x14ac:dyDescent="0.3">
      <c r="A899">
        <v>898</v>
      </c>
      <c r="B899" t="s">
        <v>914</v>
      </c>
      <c r="C899" s="2">
        <v>45675</v>
      </c>
      <c r="D899" s="2">
        <v>45680</v>
      </c>
      <c r="E899" t="s">
        <v>1018</v>
      </c>
      <c r="F899" t="s">
        <v>1154</v>
      </c>
      <c r="G899" t="s">
        <v>1270</v>
      </c>
      <c r="H899" t="s">
        <v>1287</v>
      </c>
      <c r="I899" t="s">
        <v>1301</v>
      </c>
      <c r="J899" t="s">
        <v>1303</v>
      </c>
      <c r="K899" t="s">
        <v>1309</v>
      </c>
      <c r="L899" t="s">
        <v>1317</v>
      </c>
      <c r="M899">
        <v>2</v>
      </c>
      <c r="N899">
        <v>0</v>
      </c>
      <c r="O899">
        <v>1539.41</v>
      </c>
      <c r="P899">
        <v>339.43</v>
      </c>
      <c r="Q899" t="s">
        <v>1333</v>
      </c>
      <c r="R899" t="b">
        <f t="shared" ref="R899:R962" si="43">D899&lt;C899</f>
        <v>0</v>
      </c>
      <c r="S899" t="b">
        <f t="shared" ref="S899:S962" si="44">M899&lt;=0</f>
        <v>0</v>
      </c>
      <c r="T899" t="b">
        <f t="shared" ref="T899:T962" si="45">OR(N899&lt;0,N899&gt;1)</f>
        <v>0</v>
      </c>
    </row>
    <row r="900" spans="1:20" x14ac:dyDescent="0.3">
      <c r="A900">
        <v>899</v>
      </c>
      <c r="B900" t="s">
        <v>915</v>
      </c>
      <c r="C900" s="2">
        <v>46005</v>
      </c>
      <c r="D900" s="2">
        <v>46010</v>
      </c>
      <c r="E900" t="s">
        <v>1017</v>
      </c>
      <c r="F900" t="s">
        <v>1111</v>
      </c>
      <c r="G900" t="s">
        <v>1286</v>
      </c>
      <c r="H900" t="s">
        <v>1287</v>
      </c>
      <c r="I900" t="s">
        <v>1300</v>
      </c>
      <c r="J900" t="s">
        <v>1305</v>
      </c>
      <c r="K900" t="s">
        <v>1309</v>
      </c>
      <c r="L900" t="s">
        <v>1325</v>
      </c>
      <c r="M900">
        <v>1</v>
      </c>
      <c r="N900">
        <v>0.05</v>
      </c>
      <c r="O900">
        <v>1272.69</v>
      </c>
      <c r="P900">
        <v>458.63</v>
      </c>
      <c r="Q900" t="s">
        <v>1333</v>
      </c>
      <c r="R900" t="b">
        <f t="shared" si="43"/>
        <v>0</v>
      </c>
      <c r="S900" t="b">
        <f t="shared" si="44"/>
        <v>0</v>
      </c>
      <c r="T900" t="b">
        <f t="shared" si="45"/>
        <v>0</v>
      </c>
    </row>
    <row r="901" spans="1:20" x14ac:dyDescent="0.3">
      <c r="A901">
        <v>900</v>
      </c>
      <c r="B901" t="s">
        <v>916</v>
      </c>
      <c r="C901" s="2">
        <v>45672</v>
      </c>
      <c r="D901" s="2">
        <v>45676</v>
      </c>
      <c r="E901" t="s">
        <v>1018</v>
      </c>
      <c r="F901" t="s">
        <v>1188</v>
      </c>
      <c r="G901" t="s">
        <v>1285</v>
      </c>
      <c r="H901" t="s">
        <v>1287</v>
      </c>
      <c r="I901" t="s">
        <v>1296</v>
      </c>
      <c r="J901" t="s">
        <v>1304</v>
      </c>
      <c r="K901" t="s">
        <v>1306</v>
      </c>
      <c r="L901" t="s">
        <v>1324</v>
      </c>
      <c r="M901">
        <v>5</v>
      </c>
      <c r="N901">
        <v>0.1</v>
      </c>
      <c r="O901">
        <v>385.29</v>
      </c>
      <c r="P901">
        <v>56.99</v>
      </c>
      <c r="Q901" t="s">
        <v>1333</v>
      </c>
      <c r="R901" t="b">
        <f t="shared" si="43"/>
        <v>0</v>
      </c>
      <c r="S901" t="b">
        <f t="shared" si="44"/>
        <v>0</v>
      </c>
      <c r="T901" t="b">
        <f t="shared" si="45"/>
        <v>0</v>
      </c>
    </row>
    <row r="902" spans="1:20" x14ac:dyDescent="0.3">
      <c r="A902">
        <v>901</v>
      </c>
      <c r="B902" t="s">
        <v>917</v>
      </c>
      <c r="C902" s="2">
        <v>45916</v>
      </c>
      <c r="D902" s="2">
        <v>45918</v>
      </c>
      <c r="E902" t="s">
        <v>1018</v>
      </c>
      <c r="F902" t="s">
        <v>1153</v>
      </c>
      <c r="G902" t="s">
        <v>1279</v>
      </c>
      <c r="H902" t="s">
        <v>1288</v>
      </c>
      <c r="I902" t="s">
        <v>1292</v>
      </c>
      <c r="J902" t="s">
        <v>1303</v>
      </c>
      <c r="K902" t="s">
        <v>1306</v>
      </c>
      <c r="L902" t="s">
        <v>1310</v>
      </c>
      <c r="M902">
        <v>2</v>
      </c>
      <c r="N902">
        <v>0.1</v>
      </c>
      <c r="O902">
        <v>1123.81</v>
      </c>
      <c r="P902">
        <v>117.88</v>
      </c>
      <c r="Q902" t="s">
        <v>1333</v>
      </c>
      <c r="R902" t="b">
        <f t="shared" si="43"/>
        <v>0</v>
      </c>
      <c r="S902" t="b">
        <f t="shared" si="44"/>
        <v>0</v>
      </c>
      <c r="T902" t="b">
        <f t="shared" si="45"/>
        <v>0</v>
      </c>
    </row>
    <row r="903" spans="1:20" x14ac:dyDescent="0.3">
      <c r="A903">
        <v>902</v>
      </c>
      <c r="B903" t="s">
        <v>918</v>
      </c>
      <c r="C903" s="2">
        <v>45847</v>
      </c>
      <c r="D903" s="2">
        <v>45850</v>
      </c>
      <c r="E903" t="s">
        <v>1018</v>
      </c>
      <c r="F903" t="s">
        <v>1182</v>
      </c>
      <c r="G903" t="s">
        <v>1286</v>
      </c>
      <c r="H903" t="s">
        <v>1287</v>
      </c>
      <c r="I903" t="s">
        <v>1300</v>
      </c>
      <c r="J903" t="s">
        <v>1305</v>
      </c>
      <c r="K903" t="s">
        <v>1309</v>
      </c>
      <c r="L903" t="s">
        <v>1329</v>
      </c>
      <c r="M903">
        <v>3</v>
      </c>
      <c r="N903">
        <v>0.2</v>
      </c>
      <c r="O903">
        <v>4780.62</v>
      </c>
      <c r="P903">
        <v>937.94</v>
      </c>
      <c r="Q903" t="s">
        <v>1333</v>
      </c>
      <c r="R903" t="b">
        <f t="shared" si="43"/>
        <v>0</v>
      </c>
      <c r="S903" t="b">
        <f t="shared" si="44"/>
        <v>0</v>
      </c>
      <c r="T903" t="b">
        <f t="shared" si="45"/>
        <v>0</v>
      </c>
    </row>
    <row r="904" spans="1:20" x14ac:dyDescent="0.3">
      <c r="A904">
        <v>903</v>
      </c>
      <c r="B904" t="s">
        <v>919</v>
      </c>
      <c r="C904" s="2">
        <v>45946</v>
      </c>
      <c r="D904" s="2">
        <v>45950</v>
      </c>
      <c r="E904" t="s">
        <v>1017</v>
      </c>
      <c r="F904" t="s">
        <v>1035</v>
      </c>
      <c r="G904" t="s">
        <v>1285</v>
      </c>
      <c r="H904" t="s">
        <v>1287</v>
      </c>
      <c r="I904" t="s">
        <v>1295</v>
      </c>
      <c r="J904" t="s">
        <v>1305</v>
      </c>
      <c r="K904" t="s">
        <v>1308</v>
      </c>
      <c r="L904" t="s">
        <v>1312</v>
      </c>
      <c r="M904">
        <v>4</v>
      </c>
      <c r="N904">
        <v>0.1</v>
      </c>
      <c r="O904">
        <v>4888.28</v>
      </c>
      <c r="P904">
        <v>1226.74</v>
      </c>
      <c r="Q904" t="s">
        <v>1330</v>
      </c>
      <c r="R904" t="b">
        <f t="shared" si="43"/>
        <v>0</v>
      </c>
      <c r="S904" t="b">
        <f t="shared" si="44"/>
        <v>0</v>
      </c>
      <c r="T904" t="b">
        <f t="shared" si="45"/>
        <v>0</v>
      </c>
    </row>
    <row r="905" spans="1:20" x14ac:dyDescent="0.3">
      <c r="A905">
        <v>904</v>
      </c>
      <c r="B905" t="s">
        <v>920</v>
      </c>
      <c r="C905" s="2">
        <v>45717</v>
      </c>
      <c r="D905" s="2">
        <v>45720</v>
      </c>
      <c r="E905" t="s">
        <v>1018</v>
      </c>
      <c r="F905" t="s">
        <v>1128</v>
      </c>
      <c r="G905" t="s">
        <v>1285</v>
      </c>
      <c r="H905" t="s">
        <v>1287</v>
      </c>
      <c r="I905" t="s">
        <v>1298</v>
      </c>
      <c r="J905" t="s">
        <v>1303</v>
      </c>
      <c r="K905" t="s">
        <v>1307</v>
      </c>
      <c r="L905" t="s">
        <v>1314</v>
      </c>
      <c r="M905">
        <v>1</v>
      </c>
      <c r="N905">
        <v>0.05</v>
      </c>
      <c r="O905">
        <v>812.9</v>
      </c>
      <c r="P905">
        <v>125.62</v>
      </c>
      <c r="Q905" t="s">
        <v>1334</v>
      </c>
      <c r="R905" t="b">
        <f t="shared" si="43"/>
        <v>0</v>
      </c>
      <c r="S905" t="b">
        <f t="shared" si="44"/>
        <v>0</v>
      </c>
      <c r="T905" t="b">
        <f t="shared" si="45"/>
        <v>0</v>
      </c>
    </row>
    <row r="906" spans="1:20" x14ac:dyDescent="0.3">
      <c r="A906">
        <v>905</v>
      </c>
      <c r="B906" t="s">
        <v>921</v>
      </c>
      <c r="C906" s="2">
        <v>45848</v>
      </c>
      <c r="D906" s="2">
        <v>45852</v>
      </c>
      <c r="E906" t="s">
        <v>1018</v>
      </c>
      <c r="F906" t="s">
        <v>1218</v>
      </c>
      <c r="G906" t="s">
        <v>1270</v>
      </c>
      <c r="H906" t="s">
        <v>1288</v>
      </c>
      <c r="I906" t="s">
        <v>1296</v>
      </c>
      <c r="J906" t="s">
        <v>1304</v>
      </c>
      <c r="K906" t="s">
        <v>1307</v>
      </c>
      <c r="L906" t="s">
        <v>1322</v>
      </c>
      <c r="M906">
        <v>4</v>
      </c>
      <c r="N906">
        <v>0.2</v>
      </c>
      <c r="O906">
        <v>2224.94</v>
      </c>
      <c r="P906">
        <v>348.27</v>
      </c>
      <c r="Q906" t="s">
        <v>1331</v>
      </c>
      <c r="R906" t="b">
        <f t="shared" si="43"/>
        <v>0</v>
      </c>
      <c r="S906" t="b">
        <f t="shared" si="44"/>
        <v>0</v>
      </c>
      <c r="T906" t="b">
        <f t="shared" si="45"/>
        <v>0</v>
      </c>
    </row>
    <row r="907" spans="1:20" x14ac:dyDescent="0.3">
      <c r="A907">
        <v>906</v>
      </c>
      <c r="B907" t="s">
        <v>922</v>
      </c>
      <c r="C907" s="2">
        <v>45829</v>
      </c>
      <c r="D907" s="2">
        <v>45832</v>
      </c>
      <c r="E907" t="s">
        <v>1017</v>
      </c>
      <c r="F907" t="s">
        <v>1257</v>
      </c>
      <c r="G907" t="s">
        <v>1281</v>
      </c>
      <c r="H907" t="s">
        <v>1287</v>
      </c>
      <c r="I907" t="s">
        <v>1292</v>
      </c>
      <c r="J907" t="s">
        <v>1303</v>
      </c>
      <c r="K907" t="s">
        <v>1309</v>
      </c>
      <c r="L907" t="s">
        <v>1320</v>
      </c>
      <c r="M907">
        <v>3</v>
      </c>
      <c r="N907">
        <v>0.1</v>
      </c>
      <c r="O907">
        <v>3354.62</v>
      </c>
      <c r="P907">
        <v>509.92</v>
      </c>
      <c r="Q907" t="s">
        <v>1333</v>
      </c>
      <c r="R907" t="b">
        <f t="shared" si="43"/>
        <v>0</v>
      </c>
      <c r="S907" t="b">
        <f t="shared" si="44"/>
        <v>0</v>
      </c>
      <c r="T907" t="b">
        <f t="shared" si="45"/>
        <v>0</v>
      </c>
    </row>
    <row r="908" spans="1:20" x14ac:dyDescent="0.3">
      <c r="A908">
        <v>907</v>
      </c>
      <c r="B908" t="s">
        <v>923</v>
      </c>
      <c r="C908" s="2">
        <v>45853</v>
      </c>
      <c r="D908" s="2">
        <v>45854</v>
      </c>
      <c r="E908" t="s">
        <v>1019</v>
      </c>
      <c r="F908" t="s">
        <v>1033</v>
      </c>
      <c r="G908" t="s">
        <v>1270</v>
      </c>
      <c r="H908" t="s">
        <v>1287</v>
      </c>
      <c r="I908" t="s">
        <v>1290</v>
      </c>
      <c r="J908" t="s">
        <v>1302</v>
      </c>
      <c r="K908" t="s">
        <v>1307</v>
      </c>
      <c r="L908" t="s">
        <v>1315</v>
      </c>
      <c r="M908">
        <v>3</v>
      </c>
      <c r="N908">
        <v>0</v>
      </c>
      <c r="O908">
        <v>5165.9399999999996</v>
      </c>
      <c r="P908">
        <v>1194.3399999999999</v>
      </c>
      <c r="Q908" t="s">
        <v>1333</v>
      </c>
      <c r="R908" t="b">
        <f t="shared" si="43"/>
        <v>0</v>
      </c>
      <c r="S908" t="b">
        <f t="shared" si="44"/>
        <v>0</v>
      </c>
      <c r="T908" t="b">
        <f t="shared" si="45"/>
        <v>0</v>
      </c>
    </row>
    <row r="909" spans="1:20" x14ac:dyDescent="0.3">
      <c r="A909">
        <v>908</v>
      </c>
      <c r="B909" t="s">
        <v>924</v>
      </c>
      <c r="C909" s="2">
        <v>45928</v>
      </c>
      <c r="D909" s="2">
        <v>45929</v>
      </c>
      <c r="E909" t="s">
        <v>1018</v>
      </c>
      <c r="F909" t="s">
        <v>1107</v>
      </c>
      <c r="G909" t="s">
        <v>1270</v>
      </c>
      <c r="H909" t="s">
        <v>1288</v>
      </c>
      <c r="I909" t="s">
        <v>1296</v>
      </c>
      <c r="J909" t="s">
        <v>1304</v>
      </c>
      <c r="K909" t="s">
        <v>1309</v>
      </c>
      <c r="L909" t="s">
        <v>1320</v>
      </c>
      <c r="M909">
        <v>2</v>
      </c>
      <c r="N909">
        <v>0</v>
      </c>
      <c r="O909">
        <v>2450.2800000000002</v>
      </c>
      <c r="P909">
        <v>510.95</v>
      </c>
      <c r="Q909" t="s">
        <v>1332</v>
      </c>
      <c r="R909" t="b">
        <f t="shared" si="43"/>
        <v>0</v>
      </c>
      <c r="S909" t="b">
        <f t="shared" si="44"/>
        <v>0</v>
      </c>
      <c r="T909" t="b">
        <f t="shared" si="45"/>
        <v>0</v>
      </c>
    </row>
    <row r="910" spans="1:20" x14ac:dyDescent="0.3">
      <c r="A910">
        <v>909</v>
      </c>
      <c r="B910" t="s">
        <v>925</v>
      </c>
      <c r="C910" s="2">
        <v>45903</v>
      </c>
      <c r="D910" s="2">
        <v>45905</v>
      </c>
      <c r="E910" t="s">
        <v>1017</v>
      </c>
      <c r="F910" t="s">
        <v>1224</v>
      </c>
      <c r="G910" t="s">
        <v>1279</v>
      </c>
      <c r="H910" t="s">
        <v>1288</v>
      </c>
      <c r="I910" t="s">
        <v>1294</v>
      </c>
      <c r="J910" t="s">
        <v>1305</v>
      </c>
      <c r="K910" t="s">
        <v>1307</v>
      </c>
      <c r="L910" t="s">
        <v>1315</v>
      </c>
      <c r="M910">
        <v>1</v>
      </c>
      <c r="N910">
        <v>0.15</v>
      </c>
      <c r="O910">
        <v>1555.34</v>
      </c>
      <c r="P910">
        <v>83.69</v>
      </c>
      <c r="Q910" t="s">
        <v>1334</v>
      </c>
      <c r="R910" t="b">
        <f t="shared" si="43"/>
        <v>0</v>
      </c>
      <c r="S910" t="b">
        <f t="shared" si="44"/>
        <v>0</v>
      </c>
      <c r="T910" t="b">
        <f t="shared" si="45"/>
        <v>0</v>
      </c>
    </row>
    <row r="911" spans="1:20" x14ac:dyDescent="0.3">
      <c r="A911">
        <v>910</v>
      </c>
      <c r="B911" t="s">
        <v>926</v>
      </c>
      <c r="C911" s="2">
        <v>45704</v>
      </c>
      <c r="D911" s="2">
        <v>45708</v>
      </c>
      <c r="E911" t="s">
        <v>1017</v>
      </c>
      <c r="F911" t="s">
        <v>1165</v>
      </c>
      <c r="G911" t="s">
        <v>1276</v>
      </c>
      <c r="H911" t="s">
        <v>1288</v>
      </c>
      <c r="I911" t="s">
        <v>1298</v>
      </c>
      <c r="J911" t="s">
        <v>1303</v>
      </c>
      <c r="K911" t="s">
        <v>1306</v>
      </c>
      <c r="L911" t="s">
        <v>1324</v>
      </c>
      <c r="M911">
        <v>2</v>
      </c>
      <c r="N911">
        <v>0</v>
      </c>
      <c r="O911">
        <v>184.31</v>
      </c>
      <c r="P911">
        <v>44.5</v>
      </c>
      <c r="Q911" t="s">
        <v>1334</v>
      </c>
      <c r="R911" t="b">
        <f t="shared" si="43"/>
        <v>0</v>
      </c>
      <c r="S911" t="b">
        <f t="shared" si="44"/>
        <v>0</v>
      </c>
      <c r="T911" t="b">
        <f t="shared" si="45"/>
        <v>0</v>
      </c>
    </row>
    <row r="912" spans="1:20" x14ac:dyDescent="0.3">
      <c r="A912">
        <v>911</v>
      </c>
      <c r="B912" t="s">
        <v>927</v>
      </c>
      <c r="C912" s="2">
        <v>46006</v>
      </c>
      <c r="D912" s="2">
        <v>46010</v>
      </c>
      <c r="E912" t="s">
        <v>1018</v>
      </c>
      <c r="F912" t="s">
        <v>1149</v>
      </c>
      <c r="G912" t="s">
        <v>1280</v>
      </c>
      <c r="H912" t="s">
        <v>1287</v>
      </c>
      <c r="I912" t="s">
        <v>1298</v>
      </c>
      <c r="J912" t="s">
        <v>1303</v>
      </c>
      <c r="K912" t="s">
        <v>1307</v>
      </c>
      <c r="L912" t="s">
        <v>1311</v>
      </c>
      <c r="M912">
        <v>4</v>
      </c>
      <c r="N912">
        <v>0.15</v>
      </c>
      <c r="O912">
        <v>1004.78</v>
      </c>
      <c r="P912">
        <v>229.4</v>
      </c>
      <c r="Q912" t="s">
        <v>1333</v>
      </c>
      <c r="R912" t="b">
        <f t="shared" si="43"/>
        <v>0</v>
      </c>
      <c r="S912" t="b">
        <f t="shared" si="44"/>
        <v>0</v>
      </c>
      <c r="T912" t="b">
        <f t="shared" si="45"/>
        <v>0</v>
      </c>
    </row>
    <row r="913" spans="1:20" x14ac:dyDescent="0.3">
      <c r="A913">
        <v>912</v>
      </c>
      <c r="B913" t="s">
        <v>928</v>
      </c>
      <c r="C913" s="2">
        <v>46000</v>
      </c>
      <c r="D913" s="2">
        <v>46004</v>
      </c>
      <c r="E913" t="s">
        <v>1018</v>
      </c>
      <c r="F913" t="s">
        <v>1131</v>
      </c>
      <c r="G913" t="s">
        <v>1286</v>
      </c>
      <c r="H913" t="s">
        <v>1287</v>
      </c>
      <c r="I913" t="s">
        <v>1299</v>
      </c>
      <c r="J913" t="s">
        <v>1304</v>
      </c>
      <c r="K913" t="s">
        <v>1308</v>
      </c>
      <c r="L913" t="s">
        <v>1319</v>
      </c>
      <c r="M913">
        <v>2</v>
      </c>
      <c r="N913">
        <v>0</v>
      </c>
      <c r="O913">
        <v>9118.43</v>
      </c>
      <c r="P913">
        <v>2636.44</v>
      </c>
      <c r="Q913" t="s">
        <v>1333</v>
      </c>
      <c r="R913" t="b">
        <f t="shared" si="43"/>
        <v>0</v>
      </c>
      <c r="S913" t="b">
        <f t="shared" si="44"/>
        <v>0</v>
      </c>
      <c r="T913" t="b">
        <f t="shared" si="45"/>
        <v>0</v>
      </c>
    </row>
    <row r="914" spans="1:20" x14ac:dyDescent="0.3">
      <c r="A914">
        <v>913</v>
      </c>
      <c r="B914" t="s">
        <v>929</v>
      </c>
      <c r="C914" s="2">
        <v>45852</v>
      </c>
      <c r="D914" s="2">
        <v>45855</v>
      </c>
      <c r="E914" t="s">
        <v>1018</v>
      </c>
      <c r="F914" t="s">
        <v>1024</v>
      </c>
      <c r="G914" t="s">
        <v>1267</v>
      </c>
      <c r="H914" t="s">
        <v>1287</v>
      </c>
      <c r="I914" t="s">
        <v>1299</v>
      </c>
      <c r="J914" t="s">
        <v>1304</v>
      </c>
      <c r="K914" t="s">
        <v>1307</v>
      </c>
      <c r="L914" t="s">
        <v>1316</v>
      </c>
      <c r="M914">
        <v>1</v>
      </c>
      <c r="N914">
        <v>0.1</v>
      </c>
      <c r="O914">
        <v>449.56</v>
      </c>
      <c r="P914">
        <v>87.38</v>
      </c>
      <c r="Q914" t="s">
        <v>1333</v>
      </c>
      <c r="R914" t="b">
        <f t="shared" si="43"/>
        <v>0</v>
      </c>
      <c r="S914" t="b">
        <f t="shared" si="44"/>
        <v>0</v>
      </c>
      <c r="T914" t="b">
        <f t="shared" si="45"/>
        <v>0</v>
      </c>
    </row>
    <row r="915" spans="1:20" x14ac:dyDescent="0.3">
      <c r="A915">
        <v>914</v>
      </c>
      <c r="B915" t="s">
        <v>930</v>
      </c>
      <c r="C915" s="2">
        <v>45700</v>
      </c>
      <c r="D915" s="2">
        <v>45705</v>
      </c>
      <c r="E915" t="s">
        <v>1018</v>
      </c>
      <c r="F915" t="s">
        <v>1217</v>
      </c>
      <c r="G915" t="s">
        <v>1281</v>
      </c>
      <c r="H915" t="s">
        <v>1288</v>
      </c>
      <c r="I915" t="s">
        <v>1291</v>
      </c>
      <c r="J915" t="s">
        <v>1302</v>
      </c>
      <c r="K915" t="s">
        <v>1308</v>
      </c>
      <c r="L915" t="s">
        <v>1319</v>
      </c>
      <c r="M915">
        <v>1</v>
      </c>
      <c r="N915">
        <v>0.15</v>
      </c>
      <c r="O915">
        <v>3850.96</v>
      </c>
      <c r="P915">
        <v>667.44</v>
      </c>
      <c r="Q915" t="s">
        <v>1330</v>
      </c>
      <c r="R915" t="b">
        <f t="shared" si="43"/>
        <v>0</v>
      </c>
      <c r="S915" t="b">
        <f t="shared" si="44"/>
        <v>0</v>
      </c>
      <c r="T915" t="b">
        <f t="shared" si="45"/>
        <v>0</v>
      </c>
    </row>
    <row r="916" spans="1:20" x14ac:dyDescent="0.3">
      <c r="A916">
        <v>915</v>
      </c>
      <c r="B916" t="s">
        <v>931</v>
      </c>
      <c r="C916" s="2">
        <v>45726</v>
      </c>
      <c r="D916" s="2">
        <v>45729</v>
      </c>
      <c r="E916" t="s">
        <v>1017</v>
      </c>
      <c r="F916" t="s">
        <v>1224</v>
      </c>
      <c r="G916" t="s">
        <v>1271</v>
      </c>
      <c r="H916" t="s">
        <v>1288</v>
      </c>
      <c r="I916" t="s">
        <v>1299</v>
      </c>
      <c r="J916" t="s">
        <v>1304</v>
      </c>
      <c r="K916" t="s">
        <v>1307</v>
      </c>
      <c r="L916" t="s">
        <v>1315</v>
      </c>
      <c r="M916">
        <v>2</v>
      </c>
      <c r="N916">
        <v>0.2</v>
      </c>
      <c r="O916">
        <v>2970.82</v>
      </c>
      <c r="P916">
        <v>347.26</v>
      </c>
      <c r="Q916" t="s">
        <v>1331</v>
      </c>
      <c r="R916" t="b">
        <f t="shared" si="43"/>
        <v>0</v>
      </c>
      <c r="S916" t="b">
        <f t="shared" si="44"/>
        <v>0</v>
      </c>
      <c r="T916" t="b">
        <f t="shared" si="45"/>
        <v>0</v>
      </c>
    </row>
    <row r="917" spans="1:20" x14ac:dyDescent="0.3">
      <c r="A917">
        <v>916</v>
      </c>
      <c r="B917" t="s">
        <v>932</v>
      </c>
      <c r="C917" s="2">
        <v>45670</v>
      </c>
      <c r="D917" s="2">
        <v>45672</v>
      </c>
      <c r="E917" t="s">
        <v>1017</v>
      </c>
      <c r="F917" t="s">
        <v>1259</v>
      </c>
      <c r="G917" t="s">
        <v>1280</v>
      </c>
      <c r="H917" t="s">
        <v>1287</v>
      </c>
      <c r="I917" t="s">
        <v>1301</v>
      </c>
      <c r="J917" t="s">
        <v>1303</v>
      </c>
      <c r="K917" t="s">
        <v>1306</v>
      </c>
      <c r="L917" t="s">
        <v>1310</v>
      </c>
      <c r="M917">
        <v>4</v>
      </c>
      <c r="N917">
        <v>0.1</v>
      </c>
      <c r="O917">
        <v>2401.56</v>
      </c>
      <c r="P917">
        <v>444.1</v>
      </c>
      <c r="Q917" t="s">
        <v>1331</v>
      </c>
      <c r="R917" t="b">
        <f t="shared" si="43"/>
        <v>0</v>
      </c>
      <c r="S917" t="b">
        <f t="shared" si="44"/>
        <v>0</v>
      </c>
      <c r="T917" t="b">
        <f t="shared" si="45"/>
        <v>0</v>
      </c>
    </row>
    <row r="918" spans="1:20" x14ac:dyDescent="0.3">
      <c r="A918">
        <v>917</v>
      </c>
      <c r="B918" t="s">
        <v>933</v>
      </c>
      <c r="C918" s="2">
        <v>45951</v>
      </c>
      <c r="D918" s="2">
        <v>45956</v>
      </c>
      <c r="E918" t="s">
        <v>1019</v>
      </c>
      <c r="F918" t="s">
        <v>1024</v>
      </c>
      <c r="G918" t="s">
        <v>1269</v>
      </c>
      <c r="H918" t="s">
        <v>1287</v>
      </c>
      <c r="I918" t="s">
        <v>1293</v>
      </c>
      <c r="J918" t="s">
        <v>1304</v>
      </c>
      <c r="K918" t="s">
        <v>1309</v>
      </c>
      <c r="L918" t="s">
        <v>1325</v>
      </c>
      <c r="M918">
        <v>1</v>
      </c>
      <c r="N918">
        <v>0.25</v>
      </c>
      <c r="O918">
        <v>1011.24</v>
      </c>
      <c r="P918">
        <v>153.97</v>
      </c>
      <c r="Q918" t="s">
        <v>1332</v>
      </c>
      <c r="R918" t="b">
        <f t="shared" si="43"/>
        <v>0</v>
      </c>
      <c r="S918" t="b">
        <f t="shared" si="44"/>
        <v>0</v>
      </c>
      <c r="T918" t="b">
        <f t="shared" si="45"/>
        <v>0</v>
      </c>
    </row>
    <row r="919" spans="1:20" x14ac:dyDescent="0.3">
      <c r="A919">
        <v>918</v>
      </c>
      <c r="B919" t="s">
        <v>934</v>
      </c>
      <c r="C919" s="2">
        <v>45808</v>
      </c>
      <c r="D919" s="2">
        <v>45813</v>
      </c>
      <c r="E919" t="s">
        <v>1017</v>
      </c>
      <c r="F919" t="s">
        <v>1172</v>
      </c>
      <c r="G919" t="s">
        <v>1277</v>
      </c>
      <c r="H919" t="s">
        <v>1287</v>
      </c>
      <c r="I919" t="s">
        <v>1293</v>
      </c>
      <c r="J919" t="s">
        <v>1304</v>
      </c>
      <c r="K919" t="s">
        <v>1308</v>
      </c>
      <c r="L919" t="s">
        <v>1327</v>
      </c>
      <c r="M919">
        <v>2</v>
      </c>
      <c r="N919">
        <v>0.15</v>
      </c>
      <c r="O919">
        <v>2908.81</v>
      </c>
      <c r="P919">
        <v>348.43</v>
      </c>
      <c r="Q919" t="s">
        <v>1331</v>
      </c>
      <c r="R919" t="b">
        <f t="shared" si="43"/>
        <v>0</v>
      </c>
      <c r="S919" t="b">
        <f t="shared" si="44"/>
        <v>0</v>
      </c>
      <c r="T919" t="b">
        <f t="shared" si="45"/>
        <v>0</v>
      </c>
    </row>
    <row r="920" spans="1:20" x14ac:dyDescent="0.3">
      <c r="A920">
        <v>919</v>
      </c>
      <c r="B920" t="s">
        <v>935</v>
      </c>
      <c r="C920" s="2">
        <v>45706</v>
      </c>
      <c r="D920" s="2">
        <v>45710</v>
      </c>
      <c r="E920" t="s">
        <v>1017</v>
      </c>
      <c r="F920" t="s">
        <v>1187</v>
      </c>
      <c r="G920" t="s">
        <v>1273</v>
      </c>
      <c r="H920" t="s">
        <v>1287</v>
      </c>
      <c r="I920" t="s">
        <v>1296</v>
      </c>
      <c r="J920" t="s">
        <v>1304</v>
      </c>
      <c r="K920" t="s">
        <v>1309</v>
      </c>
      <c r="L920" t="s">
        <v>1325</v>
      </c>
      <c r="M920">
        <v>1</v>
      </c>
      <c r="N920">
        <v>0</v>
      </c>
      <c r="O920">
        <v>1326.08</v>
      </c>
      <c r="P920">
        <v>503.05</v>
      </c>
      <c r="Q920" t="s">
        <v>1330</v>
      </c>
      <c r="R920" t="b">
        <f t="shared" si="43"/>
        <v>0</v>
      </c>
      <c r="S920" t="b">
        <f t="shared" si="44"/>
        <v>0</v>
      </c>
      <c r="T920" t="b">
        <f t="shared" si="45"/>
        <v>0</v>
      </c>
    </row>
    <row r="921" spans="1:20" x14ac:dyDescent="0.3">
      <c r="A921">
        <v>920</v>
      </c>
      <c r="B921" t="s">
        <v>936</v>
      </c>
      <c r="C921" s="2">
        <v>45710</v>
      </c>
      <c r="D921" s="2">
        <v>45713</v>
      </c>
      <c r="E921" t="s">
        <v>1017</v>
      </c>
      <c r="F921" t="s">
        <v>1197</v>
      </c>
      <c r="G921" t="s">
        <v>1273</v>
      </c>
      <c r="H921" t="s">
        <v>1287</v>
      </c>
      <c r="I921" t="s">
        <v>1296</v>
      </c>
      <c r="J921" t="s">
        <v>1304</v>
      </c>
      <c r="K921" t="s">
        <v>1307</v>
      </c>
      <c r="L921" t="s">
        <v>1311</v>
      </c>
      <c r="M921">
        <v>2</v>
      </c>
      <c r="N921">
        <v>0.1</v>
      </c>
      <c r="O921">
        <v>562.26</v>
      </c>
      <c r="P921">
        <v>119.39</v>
      </c>
      <c r="Q921" t="s">
        <v>1332</v>
      </c>
      <c r="R921" t="b">
        <f t="shared" si="43"/>
        <v>0</v>
      </c>
      <c r="S921" t="b">
        <f t="shared" si="44"/>
        <v>0</v>
      </c>
      <c r="T921" t="b">
        <f t="shared" si="45"/>
        <v>0</v>
      </c>
    </row>
    <row r="922" spans="1:20" x14ac:dyDescent="0.3">
      <c r="A922">
        <v>921</v>
      </c>
      <c r="B922" t="s">
        <v>937</v>
      </c>
      <c r="C922" s="2">
        <v>45823</v>
      </c>
      <c r="D922" s="2">
        <v>45826</v>
      </c>
      <c r="E922" t="s">
        <v>1019</v>
      </c>
      <c r="F922" t="s">
        <v>1214</v>
      </c>
      <c r="G922" t="s">
        <v>1275</v>
      </c>
      <c r="H922" t="s">
        <v>1287</v>
      </c>
      <c r="I922" t="s">
        <v>1296</v>
      </c>
      <c r="J922" t="s">
        <v>1304</v>
      </c>
      <c r="K922" t="s">
        <v>1308</v>
      </c>
      <c r="L922" t="s">
        <v>1319</v>
      </c>
      <c r="M922">
        <v>3</v>
      </c>
      <c r="N922">
        <v>0</v>
      </c>
      <c r="O922">
        <v>13468.53</v>
      </c>
      <c r="P922">
        <v>3013.57</v>
      </c>
      <c r="Q922" t="s">
        <v>1333</v>
      </c>
      <c r="R922" t="b">
        <f t="shared" si="43"/>
        <v>0</v>
      </c>
      <c r="S922" t="b">
        <f t="shared" si="44"/>
        <v>0</v>
      </c>
      <c r="T922" t="b">
        <f t="shared" si="45"/>
        <v>0</v>
      </c>
    </row>
    <row r="923" spans="1:20" x14ac:dyDescent="0.3">
      <c r="A923">
        <v>922</v>
      </c>
      <c r="B923" t="s">
        <v>938</v>
      </c>
      <c r="C923" s="2">
        <v>46017</v>
      </c>
      <c r="D923" s="2">
        <v>46021</v>
      </c>
      <c r="E923" t="s">
        <v>1017</v>
      </c>
      <c r="F923" t="s">
        <v>1178</v>
      </c>
      <c r="G923" t="s">
        <v>1267</v>
      </c>
      <c r="H923" t="s">
        <v>1287</v>
      </c>
      <c r="I923" t="s">
        <v>1290</v>
      </c>
      <c r="J923" t="s">
        <v>1302</v>
      </c>
      <c r="K923" t="s">
        <v>1309</v>
      </c>
      <c r="L923" t="s">
        <v>1325</v>
      </c>
      <c r="M923">
        <v>2</v>
      </c>
      <c r="N923">
        <v>0.05</v>
      </c>
      <c r="O923">
        <v>2439.2399999999998</v>
      </c>
      <c r="P923">
        <v>375.59</v>
      </c>
      <c r="Q923" t="s">
        <v>1334</v>
      </c>
      <c r="R923" t="b">
        <f t="shared" si="43"/>
        <v>0</v>
      </c>
      <c r="S923" t="b">
        <f t="shared" si="44"/>
        <v>0</v>
      </c>
      <c r="T923" t="b">
        <f t="shared" si="45"/>
        <v>0</v>
      </c>
    </row>
    <row r="924" spans="1:20" x14ac:dyDescent="0.3">
      <c r="A924">
        <v>923</v>
      </c>
      <c r="B924" t="s">
        <v>939</v>
      </c>
      <c r="C924" s="2">
        <v>45736</v>
      </c>
      <c r="D924" s="2">
        <v>45739</v>
      </c>
      <c r="E924" t="s">
        <v>1017</v>
      </c>
      <c r="F924" t="s">
        <v>1173</v>
      </c>
      <c r="G924" t="s">
        <v>1274</v>
      </c>
      <c r="H924" t="s">
        <v>1288</v>
      </c>
      <c r="I924" t="s">
        <v>1299</v>
      </c>
      <c r="J924" t="s">
        <v>1304</v>
      </c>
      <c r="K924" t="s">
        <v>1308</v>
      </c>
      <c r="L924" t="s">
        <v>1327</v>
      </c>
      <c r="M924">
        <v>1</v>
      </c>
      <c r="N924">
        <v>0.25</v>
      </c>
      <c r="O924">
        <v>1369.98</v>
      </c>
      <c r="P924">
        <v>247.81</v>
      </c>
      <c r="Q924" t="s">
        <v>1333</v>
      </c>
      <c r="R924" t="b">
        <f t="shared" si="43"/>
        <v>0</v>
      </c>
      <c r="S924" t="b">
        <f t="shared" si="44"/>
        <v>0</v>
      </c>
      <c r="T924" t="b">
        <f t="shared" si="45"/>
        <v>0</v>
      </c>
    </row>
    <row r="925" spans="1:20" x14ac:dyDescent="0.3">
      <c r="A925">
        <v>924</v>
      </c>
      <c r="B925" t="s">
        <v>940</v>
      </c>
      <c r="C925" s="2">
        <v>45992</v>
      </c>
      <c r="D925" s="2">
        <v>45995</v>
      </c>
      <c r="E925" t="s">
        <v>1019</v>
      </c>
      <c r="F925" t="s">
        <v>1044</v>
      </c>
      <c r="G925" t="s">
        <v>1275</v>
      </c>
      <c r="H925" t="s">
        <v>1289</v>
      </c>
      <c r="I925" t="s">
        <v>1297</v>
      </c>
      <c r="J925" t="s">
        <v>1304</v>
      </c>
      <c r="K925" t="s">
        <v>1307</v>
      </c>
      <c r="L925" t="s">
        <v>1311</v>
      </c>
      <c r="M925">
        <v>3</v>
      </c>
      <c r="N925">
        <v>0.05</v>
      </c>
      <c r="O925">
        <v>871.67</v>
      </c>
      <c r="P925">
        <v>240.24</v>
      </c>
      <c r="Q925" t="s">
        <v>1330</v>
      </c>
      <c r="R925" t="b">
        <f t="shared" si="43"/>
        <v>0</v>
      </c>
      <c r="S925" t="b">
        <f t="shared" si="44"/>
        <v>0</v>
      </c>
      <c r="T925" t="b">
        <f t="shared" si="45"/>
        <v>0</v>
      </c>
    </row>
    <row r="926" spans="1:20" x14ac:dyDescent="0.3">
      <c r="A926">
        <v>925</v>
      </c>
      <c r="B926" t="s">
        <v>941</v>
      </c>
      <c r="C926" s="2">
        <v>45706</v>
      </c>
      <c r="D926" s="2">
        <v>45709</v>
      </c>
      <c r="E926" t="s">
        <v>1017</v>
      </c>
      <c r="F926" t="s">
        <v>1116</v>
      </c>
      <c r="G926" t="s">
        <v>1275</v>
      </c>
      <c r="H926" t="s">
        <v>1287</v>
      </c>
      <c r="I926" t="s">
        <v>1298</v>
      </c>
      <c r="J926" t="s">
        <v>1303</v>
      </c>
      <c r="K926" t="s">
        <v>1309</v>
      </c>
      <c r="L926" t="s">
        <v>1325</v>
      </c>
      <c r="M926">
        <v>2</v>
      </c>
      <c r="N926">
        <v>0.2</v>
      </c>
      <c r="O926">
        <v>2071.5300000000002</v>
      </c>
      <c r="P926">
        <v>342.4</v>
      </c>
      <c r="Q926" t="s">
        <v>1331</v>
      </c>
      <c r="R926" t="b">
        <f t="shared" si="43"/>
        <v>0</v>
      </c>
      <c r="S926" t="b">
        <f t="shared" si="44"/>
        <v>0</v>
      </c>
      <c r="T926" t="b">
        <f t="shared" si="45"/>
        <v>0</v>
      </c>
    </row>
    <row r="927" spans="1:20" x14ac:dyDescent="0.3">
      <c r="A927">
        <v>926</v>
      </c>
      <c r="B927" t="s">
        <v>942</v>
      </c>
      <c r="C927" s="2">
        <v>45911</v>
      </c>
      <c r="D927" s="2">
        <v>45913</v>
      </c>
      <c r="E927" t="s">
        <v>1018</v>
      </c>
      <c r="F927" t="s">
        <v>1115</v>
      </c>
      <c r="G927" t="s">
        <v>1276</v>
      </c>
      <c r="H927" t="s">
        <v>1287</v>
      </c>
      <c r="I927" t="s">
        <v>1300</v>
      </c>
      <c r="J927" t="s">
        <v>1305</v>
      </c>
      <c r="K927" t="s">
        <v>1308</v>
      </c>
      <c r="L927" t="s">
        <v>1318</v>
      </c>
      <c r="M927">
        <v>1</v>
      </c>
      <c r="N927">
        <v>0.1</v>
      </c>
      <c r="O927">
        <v>4707.07</v>
      </c>
      <c r="P927">
        <v>1110.95</v>
      </c>
      <c r="Q927" t="s">
        <v>1332</v>
      </c>
      <c r="R927" t="b">
        <f t="shared" si="43"/>
        <v>0</v>
      </c>
      <c r="S927" t="b">
        <f t="shared" si="44"/>
        <v>0</v>
      </c>
      <c r="T927" t="b">
        <f t="shared" si="45"/>
        <v>0</v>
      </c>
    </row>
    <row r="928" spans="1:20" x14ac:dyDescent="0.3">
      <c r="A928">
        <v>927</v>
      </c>
      <c r="B928" t="s">
        <v>943</v>
      </c>
      <c r="C928" s="2">
        <v>45675</v>
      </c>
      <c r="D928" s="2">
        <v>45676</v>
      </c>
      <c r="E928" t="s">
        <v>1017</v>
      </c>
      <c r="F928" t="s">
        <v>1152</v>
      </c>
      <c r="G928" t="s">
        <v>1274</v>
      </c>
      <c r="H928" t="s">
        <v>1288</v>
      </c>
      <c r="I928" t="s">
        <v>1300</v>
      </c>
      <c r="J928" t="s">
        <v>1305</v>
      </c>
      <c r="K928" t="s">
        <v>1309</v>
      </c>
      <c r="L928" t="s">
        <v>1320</v>
      </c>
      <c r="M928">
        <v>1</v>
      </c>
      <c r="N928">
        <v>0.1</v>
      </c>
      <c r="O928">
        <v>1070.5999999999999</v>
      </c>
      <c r="P928">
        <v>125.89</v>
      </c>
      <c r="Q928" t="s">
        <v>1333</v>
      </c>
      <c r="R928" t="b">
        <f t="shared" si="43"/>
        <v>0</v>
      </c>
      <c r="S928" t="b">
        <f t="shared" si="44"/>
        <v>0</v>
      </c>
      <c r="T928" t="b">
        <f t="shared" si="45"/>
        <v>0</v>
      </c>
    </row>
    <row r="929" spans="1:20" x14ac:dyDescent="0.3">
      <c r="A929">
        <v>928</v>
      </c>
      <c r="B929" t="s">
        <v>944</v>
      </c>
      <c r="C929" s="2">
        <v>45850</v>
      </c>
      <c r="D929" s="2">
        <v>45851</v>
      </c>
      <c r="E929" t="s">
        <v>1017</v>
      </c>
      <c r="F929" t="s">
        <v>1050</v>
      </c>
      <c r="G929" t="s">
        <v>1285</v>
      </c>
      <c r="H929" t="s">
        <v>1287</v>
      </c>
      <c r="I929" t="s">
        <v>1297</v>
      </c>
      <c r="J929" t="s">
        <v>1304</v>
      </c>
      <c r="K929" t="s">
        <v>1306</v>
      </c>
      <c r="L929" t="s">
        <v>1328</v>
      </c>
      <c r="M929">
        <v>1</v>
      </c>
      <c r="N929">
        <v>0.2</v>
      </c>
      <c r="O929">
        <v>92.04</v>
      </c>
      <c r="P929">
        <v>1.25</v>
      </c>
      <c r="Q929" t="s">
        <v>1332</v>
      </c>
      <c r="R929" t="b">
        <f t="shared" si="43"/>
        <v>0</v>
      </c>
      <c r="S929" t="b">
        <f t="shared" si="44"/>
        <v>0</v>
      </c>
      <c r="T929" t="b">
        <f t="shared" si="45"/>
        <v>0</v>
      </c>
    </row>
    <row r="930" spans="1:20" x14ac:dyDescent="0.3">
      <c r="A930">
        <v>929</v>
      </c>
      <c r="B930" t="s">
        <v>945</v>
      </c>
      <c r="C930" s="2">
        <v>45825</v>
      </c>
      <c r="D930" s="2">
        <v>45826</v>
      </c>
      <c r="E930" t="s">
        <v>1017</v>
      </c>
      <c r="F930" t="s">
        <v>1196</v>
      </c>
      <c r="G930" t="s">
        <v>1276</v>
      </c>
      <c r="H930" t="s">
        <v>1289</v>
      </c>
      <c r="I930" t="s">
        <v>1297</v>
      </c>
      <c r="J930" t="s">
        <v>1304</v>
      </c>
      <c r="K930" t="s">
        <v>1309</v>
      </c>
      <c r="L930" t="s">
        <v>1329</v>
      </c>
      <c r="M930">
        <v>3</v>
      </c>
      <c r="N930">
        <v>0</v>
      </c>
      <c r="O930">
        <v>5747.92</v>
      </c>
      <c r="P930">
        <v>1436.17</v>
      </c>
      <c r="Q930" t="s">
        <v>1331</v>
      </c>
      <c r="R930" t="b">
        <f t="shared" si="43"/>
        <v>0</v>
      </c>
      <c r="S930" t="b">
        <f t="shared" si="44"/>
        <v>0</v>
      </c>
      <c r="T930" t="b">
        <f t="shared" si="45"/>
        <v>0</v>
      </c>
    </row>
    <row r="931" spans="1:20" x14ac:dyDescent="0.3">
      <c r="A931">
        <v>930</v>
      </c>
      <c r="B931" t="s">
        <v>946</v>
      </c>
      <c r="C931" s="2">
        <v>45694</v>
      </c>
      <c r="D931" s="2">
        <v>45697</v>
      </c>
      <c r="E931" t="s">
        <v>1019</v>
      </c>
      <c r="F931" t="s">
        <v>1251</v>
      </c>
      <c r="G931" t="s">
        <v>1267</v>
      </c>
      <c r="H931" t="s">
        <v>1289</v>
      </c>
      <c r="I931" t="s">
        <v>1301</v>
      </c>
      <c r="J931" t="s">
        <v>1303</v>
      </c>
      <c r="K931" t="s">
        <v>1307</v>
      </c>
      <c r="L931" t="s">
        <v>1316</v>
      </c>
      <c r="M931">
        <v>4</v>
      </c>
      <c r="N931">
        <v>0.1</v>
      </c>
      <c r="O931">
        <v>1727.62</v>
      </c>
      <c r="P931">
        <v>370.6</v>
      </c>
      <c r="Q931" t="s">
        <v>1333</v>
      </c>
      <c r="R931" t="b">
        <f t="shared" si="43"/>
        <v>0</v>
      </c>
      <c r="S931" t="b">
        <f t="shared" si="44"/>
        <v>0</v>
      </c>
      <c r="T931" t="b">
        <f t="shared" si="45"/>
        <v>0</v>
      </c>
    </row>
    <row r="932" spans="1:20" x14ac:dyDescent="0.3">
      <c r="A932">
        <v>931</v>
      </c>
      <c r="B932" t="s">
        <v>947</v>
      </c>
      <c r="C932" s="2">
        <v>45696</v>
      </c>
      <c r="D932" s="2">
        <v>45697</v>
      </c>
      <c r="E932" t="s">
        <v>1017</v>
      </c>
      <c r="F932" t="s">
        <v>1106</v>
      </c>
      <c r="G932" t="s">
        <v>1284</v>
      </c>
      <c r="H932" t="s">
        <v>1287</v>
      </c>
      <c r="I932" t="s">
        <v>1293</v>
      </c>
      <c r="J932" t="s">
        <v>1304</v>
      </c>
      <c r="K932" t="s">
        <v>1309</v>
      </c>
      <c r="L932" t="s">
        <v>1320</v>
      </c>
      <c r="M932">
        <v>1</v>
      </c>
      <c r="N932">
        <v>0.1</v>
      </c>
      <c r="O932">
        <v>1068.26</v>
      </c>
      <c r="P932">
        <v>88.45</v>
      </c>
      <c r="Q932" t="s">
        <v>1333</v>
      </c>
      <c r="R932" t="b">
        <f t="shared" si="43"/>
        <v>0</v>
      </c>
      <c r="S932" t="b">
        <f t="shared" si="44"/>
        <v>0</v>
      </c>
      <c r="T932" t="b">
        <f t="shared" si="45"/>
        <v>0</v>
      </c>
    </row>
    <row r="933" spans="1:20" x14ac:dyDescent="0.3">
      <c r="A933">
        <v>932</v>
      </c>
      <c r="B933" t="s">
        <v>948</v>
      </c>
      <c r="C933" s="2">
        <v>45752</v>
      </c>
      <c r="D933" s="2">
        <v>45753</v>
      </c>
      <c r="E933" t="s">
        <v>1018</v>
      </c>
      <c r="F933" t="s">
        <v>1023</v>
      </c>
      <c r="G933" t="s">
        <v>1268</v>
      </c>
      <c r="H933" t="s">
        <v>1287</v>
      </c>
      <c r="I933" t="s">
        <v>1294</v>
      </c>
      <c r="J933" t="s">
        <v>1305</v>
      </c>
      <c r="K933" t="s">
        <v>1309</v>
      </c>
      <c r="L933" t="s">
        <v>1313</v>
      </c>
      <c r="M933">
        <v>2</v>
      </c>
      <c r="N933">
        <v>0.05</v>
      </c>
      <c r="O933">
        <v>2900.32</v>
      </c>
      <c r="P933">
        <v>884.19</v>
      </c>
      <c r="Q933" t="s">
        <v>1334</v>
      </c>
      <c r="R933" t="b">
        <f t="shared" si="43"/>
        <v>0</v>
      </c>
      <c r="S933" t="b">
        <f t="shared" si="44"/>
        <v>0</v>
      </c>
      <c r="T933" t="b">
        <f t="shared" si="45"/>
        <v>0</v>
      </c>
    </row>
    <row r="934" spans="1:20" x14ac:dyDescent="0.3">
      <c r="A934">
        <v>933</v>
      </c>
      <c r="B934" t="s">
        <v>949</v>
      </c>
      <c r="C934" s="2">
        <v>46022</v>
      </c>
      <c r="D934" s="2">
        <v>46023</v>
      </c>
      <c r="E934" t="s">
        <v>1018</v>
      </c>
      <c r="F934" t="s">
        <v>1248</v>
      </c>
      <c r="G934" t="s">
        <v>1283</v>
      </c>
      <c r="H934" t="s">
        <v>1287</v>
      </c>
      <c r="I934" t="s">
        <v>1291</v>
      </c>
      <c r="J934" t="s">
        <v>1302</v>
      </c>
      <c r="K934" t="s">
        <v>1309</v>
      </c>
      <c r="L934" t="s">
        <v>1317</v>
      </c>
      <c r="M934">
        <v>3</v>
      </c>
      <c r="N934">
        <v>0</v>
      </c>
      <c r="O934">
        <v>2451.1999999999998</v>
      </c>
      <c r="P934">
        <v>814.3</v>
      </c>
      <c r="Q934" t="s">
        <v>1333</v>
      </c>
      <c r="R934" t="b">
        <f t="shared" si="43"/>
        <v>0</v>
      </c>
      <c r="S934" t="b">
        <f t="shared" si="44"/>
        <v>0</v>
      </c>
      <c r="T934" t="b">
        <f t="shared" si="45"/>
        <v>0</v>
      </c>
    </row>
    <row r="935" spans="1:20" x14ac:dyDescent="0.3">
      <c r="A935">
        <v>934</v>
      </c>
      <c r="B935" t="s">
        <v>950</v>
      </c>
      <c r="C935" s="2">
        <v>45879</v>
      </c>
      <c r="D935" s="2">
        <v>45884</v>
      </c>
      <c r="E935" t="s">
        <v>1018</v>
      </c>
      <c r="F935" t="s">
        <v>1157</v>
      </c>
      <c r="G935" t="s">
        <v>1269</v>
      </c>
      <c r="H935" t="s">
        <v>1288</v>
      </c>
      <c r="I935" t="s">
        <v>1296</v>
      </c>
      <c r="J935" t="s">
        <v>1304</v>
      </c>
      <c r="K935" t="s">
        <v>1308</v>
      </c>
      <c r="L935" t="s">
        <v>1312</v>
      </c>
      <c r="M935">
        <v>3</v>
      </c>
      <c r="N935">
        <v>0</v>
      </c>
      <c r="O935">
        <v>4069.73</v>
      </c>
      <c r="P935">
        <v>1090.1500000000001</v>
      </c>
      <c r="Q935" t="s">
        <v>1331</v>
      </c>
      <c r="R935" t="b">
        <f t="shared" si="43"/>
        <v>0</v>
      </c>
      <c r="S935" t="b">
        <f t="shared" si="44"/>
        <v>0</v>
      </c>
      <c r="T935" t="b">
        <f t="shared" si="45"/>
        <v>0</v>
      </c>
    </row>
    <row r="936" spans="1:20" x14ac:dyDescent="0.3">
      <c r="A936">
        <v>935</v>
      </c>
      <c r="B936" t="s">
        <v>951</v>
      </c>
      <c r="C936" s="2">
        <v>45977</v>
      </c>
      <c r="D936" s="2">
        <v>45982</v>
      </c>
      <c r="E936" t="s">
        <v>1018</v>
      </c>
      <c r="F936" t="s">
        <v>1123</v>
      </c>
      <c r="G936" t="s">
        <v>1271</v>
      </c>
      <c r="H936" t="s">
        <v>1287</v>
      </c>
      <c r="I936" t="s">
        <v>1296</v>
      </c>
      <c r="J936" t="s">
        <v>1304</v>
      </c>
      <c r="K936" t="s">
        <v>1306</v>
      </c>
      <c r="L936" t="s">
        <v>1310</v>
      </c>
      <c r="M936">
        <v>2</v>
      </c>
      <c r="N936">
        <v>0.05</v>
      </c>
      <c r="O936">
        <v>1211.33</v>
      </c>
      <c r="P936">
        <v>175.36</v>
      </c>
      <c r="Q936" t="s">
        <v>1334</v>
      </c>
      <c r="R936" t="b">
        <f t="shared" si="43"/>
        <v>0</v>
      </c>
      <c r="S936" t="b">
        <f t="shared" si="44"/>
        <v>0</v>
      </c>
      <c r="T936" t="b">
        <f t="shared" si="45"/>
        <v>0</v>
      </c>
    </row>
    <row r="937" spans="1:20" x14ac:dyDescent="0.3">
      <c r="A937">
        <v>936</v>
      </c>
      <c r="B937" t="s">
        <v>952</v>
      </c>
      <c r="C937" s="2">
        <v>45828</v>
      </c>
      <c r="D937" s="2">
        <v>45830</v>
      </c>
      <c r="E937" t="s">
        <v>1017</v>
      </c>
      <c r="F937" t="s">
        <v>1142</v>
      </c>
      <c r="G937" t="s">
        <v>1267</v>
      </c>
      <c r="H937" t="s">
        <v>1287</v>
      </c>
      <c r="I937" t="s">
        <v>1295</v>
      </c>
      <c r="J937" t="s">
        <v>1305</v>
      </c>
      <c r="K937" t="s">
        <v>1307</v>
      </c>
      <c r="L937" t="s">
        <v>1316</v>
      </c>
      <c r="M937">
        <v>1</v>
      </c>
      <c r="N937">
        <v>0.05</v>
      </c>
      <c r="O937">
        <v>494.49</v>
      </c>
      <c r="P937">
        <v>149.04</v>
      </c>
      <c r="Q937" t="s">
        <v>1331</v>
      </c>
      <c r="R937" t="b">
        <f t="shared" si="43"/>
        <v>0</v>
      </c>
      <c r="S937" t="b">
        <f t="shared" si="44"/>
        <v>0</v>
      </c>
      <c r="T937" t="b">
        <f t="shared" si="45"/>
        <v>0</v>
      </c>
    </row>
    <row r="938" spans="1:20" x14ac:dyDescent="0.3">
      <c r="A938">
        <v>937</v>
      </c>
      <c r="B938" t="s">
        <v>953</v>
      </c>
      <c r="C938" s="2">
        <v>45688</v>
      </c>
      <c r="D938" s="2">
        <v>45690</v>
      </c>
      <c r="E938" t="s">
        <v>1017</v>
      </c>
      <c r="F938" t="s">
        <v>1164</v>
      </c>
      <c r="G938" t="s">
        <v>1271</v>
      </c>
      <c r="H938" t="s">
        <v>1289</v>
      </c>
      <c r="I938" t="s">
        <v>1295</v>
      </c>
      <c r="J938" t="s">
        <v>1305</v>
      </c>
      <c r="K938" t="s">
        <v>1308</v>
      </c>
      <c r="L938" t="s">
        <v>1318</v>
      </c>
      <c r="M938">
        <v>3</v>
      </c>
      <c r="N938">
        <v>0</v>
      </c>
      <c r="O938">
        <v>16847.63</v>
      </c>
      <c r="P938">
        <v>5405.63</v>
      </c>
      <c r="Q938" t="s">
        <v>1331</v>
      </c>
      <c r="R938" t="b">
        <f t="shared" si="43"/>
        <v>0</v>
      </c>
      <c r="S938" t="b">
        <f t="shared" si="44"/>
        <v>0</v>
      </c>
      <c r="T938" t="b">
        <f t="shared" si="45"/>
        <v>0</v>
      </c>
    </row>
    <row r="939" spans="1:20" x14ac:dyDescent="0.3">
      <c r="A939">
        <v>938</v>
      </c>
      <c r="B939" t="s">
        <v>954</v>
      </c>
      <c r="C939" s="2">
        <v>45917</v>
      </c>
      <c r="D939" s="2">
        <v>45921</v>
      </c>
      <c r="E939" t="s">
        <v>1018</v>
      </c>
      <c r="F939" t="s">
        <v>1162</v>
      </c>
      <c r="G939" t="s">
        <v>1283</v>
      </c>
      <c r="H939" t="s">
        <v>1287</v>
      </c>
      <c r="I939" t="s">
        <v>1293</v>
      </c>
      <c r="J939" t="s">
        <v>1304</v>
      </c>
      <c r="K939" t="s">
        <v>1309</v>
      </c>
      <c r="L939" t="s">
        <v>1320</v>
      </c>
      <c r="M939">
        <v>2</v>
      </c>
      <c r="N939">
        <v>0</v>
      </c>
      <c r="O939">
        <v>2399.5300000000002</v>
      </c>
      <c r="P939">
        <v>627.84</v>
      </c>
      <c r="Q939" t="s">
        <v>1331</v>
      </c>
      <c r="R939" t="b">
        <f t="shared" si="43"/>
        <v>0</v>
      </c>
      <c r="S939" t="b">
        <f t="shared" si="44"/>
        <v>0</v>
      </c>
      <c r="T939" t="b">
        <f t="shared" si="45"/>
        <v>0</v>
      </c>
    </row>
    <row r="940" spans="1:20" x14ac:dyDescent="0.3">
      <c r="A940">
        <v>939</v>
      </c>
      <c r="B940" t="s">
        <v>955</v>
      </c>
      <c r="C940" s="2">
        <v>45853</v>
      </c>
      <c r="D940" s="2">
        <v>45855</v>
      </c>
      <c r="E940" t="s">
        <v>1018</v>
      </c>
      <c r="F940" t="s">
        <v>1064</v>
      </c>
      <c r="G940" t="s">
        <v>1276</v>
      </c>
      <c r="H940" t="s">
        <v>1288</v>
      </c>
      <c r="I940" t="s">
        <v>1293</v>
      </c>
      <c r="J940" t="s">
        <v>1304</v>
      </c>
      <c r="K940" t="s">
        <v>1306</v>
      </c>
      <c r="L940" t="s">
        <v>1324</v>
      </c>
      <c r="M940">
        <v>2</v>
      </c>
      <c r="N940">
        <v>0</v>
      </c>
      <c r="O940">
        <v>188.16</v>
      </c>
      <c r="P940">
        <v>70.069999999999993</v>
      </c>
      <c r="Q940" t="s">
        <v>1332</v>
      </c>
      <c r="R940" t="b">
        <f t="shared" si="43"/>
        <v>0</v>
      </c>
      <c r="S940" t="b">
        <f t="shared" si="44"/>
        <v>0</v>
      </c>
      <c r="T940" t="b">
        <f t="shared" si="45"/>
        <v>0</v>
      </c>
    </row>
    <row r="941" spans="1:20" x14ac:dyDescent="0.3">
      <c r="A941">
        <v>940</v>
      </c>
      <c r="B941" t="s">
        <v>956</v>
      </c>
      <c r="C941" s="2">
        <v>45806</v>
      </c>
      <c r="D941" s="2">
        <v>45807</v>
      </c>
      <c r="E941" t="s">
        <v>1017</v>
      </c>
      <c r="F941" t="s">
        <v>1182</v>
      </c>
      <c r="G941" t="s">
        <v>1283</v>
      </c>
      <c r="H941" t="s">
        <v>1287</v>
      </c>
      <c r="I941" t="s">
        <v>1298</v>
      </c>
      <c r="J941" t="s">
        <v>1303</v>
      </c>
      <c r="K941" t="s">
        <v>1308</v>
      </c>
      <c r="L941" t="s">
        <v>1326</v>
      </c>
      <c r="M941">
        <v>2</v>
      </c>
      <c r="N941">
        <v>0.05</v>
      </c>
      <c r="O941">
        <v>13081.86</v>
      </c>
      <c r="P941">
        <v>4059.2</v>
      </c>
      <c r="Q941" t="s">
        <v>1331</v>
      </c>
      <c r="R941" t="b">
        <f t="shared" si="43"/>
        <v>0</v>
      </c>
      <c r="S941" t="b">
        <f t="shared" si="44"/>
        <v>0</v>
      </c>
      <c r="T941" t="b">
        <f t="shared" si="45"/>
        <v>0</v>
      </c>
    </row>
    <row r="942" spans="1:20" x14ac:dyDescent="0.3">
      <c r="A942">
        <v>941</v>
      </c>
      <c r="B942" t="s">
        <v>957</v>
      </c>
      <c r="C942" s="2">
        <v>45868</v>
      </c>
      <c r="D942" s="2">
        <v>45872</v>
      </c>
      <c r="E942" t="s">
        <v>1018</v>
      </c>
      <c r="F942" t="s">
        <v>1063</v>
      </c>
      <c r="G942" t="s">
        <v>1276</v>
      </c>
      <c r="H942" t="s">
        <v>1287</v>
      </c>
      <c r="I942" t="s">
        <v>1295</v>
      </c>
      <c r="J942" t="s">
        <v>1305</v>
      </c>
      <c r="K942" t="s">
        <v>1308</v>
      </c>
      <c r="L942" t="s">
        <v>1327</v>
      </c>
      <c r="M942">
        <v>2</v>
      </c>
      <c r="N942">
        <v>0.15</v>
      </c>
      <c r="O942">
        <v>3144.39</v>
      </c>
      <c r="P942">
        <v>804.55</v>
      </c>
      <c r="Q942" t="s">
        <v>1333</v>
      </c>
      <c r="R942" t="b">
        <f t="shared" si="43"/>
        <v>0</v>
      </c>
      <c r="S942" t="b">
        <f t="shared" si="44"/>
        <v>0</v>
      </c>
      <c r="T942" t="b">
        <f t="shared" si="45"/>
        <v>0</v>
      </c>
    </row>
    <row r="943" spans="1:20" x14ac:dyDescent="0.3">
      <c r="A943">
        <v>942</v>
      </c>
      <c r="B943" t="s">
        <v>958</v>
      </c>
      <c r="C943" s="2">
        <v>45899</v>
      </c>
      <c r="D943" s="2">
        <v>45903</v>
      </c>
      <c r="E943" t="s">
        <v>1017</v>
      </c>
      <c r="F943" t="s">
        <v>1070</v>
      </c>
      <c r="G943" t="s">
        <v>1280</v>
      </c>
      <c r="H943" t="s">
        <v>1287</v>
      </c>
      <c r="I943" t="s">
        <v>1292</v>
      </c>
      <c r="J943" t="s">
        <v>1303</v>
      </c>
      <c r="K943" t="s">
        <v>1306</v>
      </c>
      <c r="L943" t="s">
        <v>1328</v>
      </c>
      <c r="M943">
        <v>2</v>
      </c>
      <c r="N943">
        <v>0.15</v>
      </c>
      <c r="O943">
        <v>200.64</v>
      </c>
      <c r="P943">
        <v>10.41</v>
      </c>
      <c r="Q943" t="s">
        <v>1333</v>
      </c>
      <c r="R943" t="b">
        <f t="shared" si="43"/>
        <v>0</v>
      </c>
      <c r="S943" t="b">
        <f t="shared" si="44"/>
        <v>0</v>
      </c>
      <c r="T943" t="b">
        <f t="shared" si="45"/>
        <v>0</v>
      </c>
    </row>
    <row r="944" spans="1:20" x14ac:dyDescent="0.3">
      <c r="A944">
        <v>943</v>
      </c>
      <c r="B944" t="s">
        <v>959</v>
      </c>
      <c r="C944" s="2">
        <v>45800</v>
      </c>
      <c r="D944" s="2">
        <v>45805</v>
      </c>
      <c r="E944" t="s">
        <v>1019</v>
      </c>
      <c r="F944" t="s">
        <v>1149</v>
      </c>
      <c r="G944" t="s">
        <v>1280</v>
      </c>
      <c r="H944" t="s">
        <v>1289</v>
      </c>
      <c r="I944" t="s">
        <v>1290</v>
      </c>
      <c r="J944" t="s">
        <v>1302</v>
      </c>
      <c r="K944" t="s">
        <v>1307</v>
      </c>
      <c r="L944" t="s">
        <v>1314</v>
      </c>
      <c r="M944">
        <v>2</v>
      </c>
      <c r="N944">
        <v>0</v>
      </c>
      <c r="O944">
        <v>1777.33</v>
      </c>
      <c r="P944">
        <v>361.77</v>
      </c>
      <c r="Q944" t="s">
        <v>1332</v>
      </c>
      <c r="R944" t="b">
        <f t="shared" si="43"/>
        <v>0</v>
      </c>
      <c r="S944" t="b">
        <f t="shared" si="44"/>
        <v>0</v>
      </c>
      <c r="T944" t="b">
        <f t="shared" si="45"/>
        <v>0</v>
      </c>
    </row>
    <row r="945" spans="1:20" x14ac:dyDescent="0.3">
      <c r="A945">
        <v>944</v>
      </c>
      <c r="B945" t="s">
        <v>960</v>
      </c>
      <c r="C945" s="2">
        <v>45847</v>
      </c>
      <c r="D945" s="2">
        <v>45848</v>
      </c>
      <c r="E945" t="s">
        <v>1019</v>
      </c>
      <c r="F945" t="s">
        <v>1105</v>
      </c>
      <c r="G945" t="s">
        <v>1269</v>
      </c>
      <c r="H945" t="s">
        <v>1288</v>
      </c>
      <c r="I945" t="s">
        <v>1298</v>
      </c>
      <c r="J945" t="s">
        <v>1303</v>
      </c>
      <c r="K945" t="s">
        <v>1307</v>
      </c>
      <c r="L945" t="s">
        <v>1322</v>
      </c>
      <c r="M945">
        <v>4</v>
      </c>
      <c r="N945">
        <v>0.2</v>
      </c>
      <c r="O945">
        <v>2205.98</v>
      </c>
      <c r="P945">
        <v>350.86</v>
      </c>
      <c r="Q945" t="s">
        <v>1331</v>
      </c>
      <c r="R945" t="b">
        <f t="shared" si="43"/>
        <v>0</v>
      </c>
      <c r="S945" t="b">
        <f t="shared" si="44"/>
        <v>0</v>
      </c>
      <c r="T945" t="b">
        <f t="shared" si="45"/>
        <v>0</v>
      </c>
    </row>
    <row r="946" spans="1:20" x14ac:dyDescent="0.3">
      <c r="A946">
        <v>945</v>
      </c>
      <c r="B946" t="s">
        <v>961</v>
      </c>
      <c r="C946" s="2">
        <v>45703</v>
      </c>
      <c r="D946" s="2">
        <v>45708</v>
      </c>
      <c r="E946" t="s">
        <v>1017</v>
      </c>
      <c r="F946" t="s">
        <v>1148</v>
      </c>
      <c r="G946" t="s">
        <v>1268</v>
      </c>
      <c r="H946" t="s">
        <v>1288</v>
      </c>
      <c r="I946" t="s">
        <v>1297</v>
      </c>
      <c r="J946" t="s">
        <v>1304</v>
      </c>
      <c r="K946" t="s">
        <v>1307</v>
      </c>
      <c r="L946" t="s">
        <v>1316</v>
      </c>
      <c r="M946">
        <v>3</v>
      </c>
      <c r="N946">
        <v>0.1</v>
      </c>
      <c r="O946">
        <v>1341.69</v>
      </c>
      <c r="P946">
        <v>330.6</v>
      </c>
      <c r="Q946" t="s">
        <v>1331</v>
      </c>
      <c r="R946" t="b">
        <f t="shared" si="43"/>
        <v>0</v>
      </c>
      <c r="S946" t="b">
        <f t="shared" si="44"/>
        <v>0</v>
      </c>
      <c r="T946" t="b">
        <f t="shared" si="45"/>
        <v>0</v>
      </c>
    </row>
    <row r="947" spans="1:20" x14ac:dyDescent="0.3">
      <c r="A947">
        <v>946</v>
      </c>
      <c r="B947" t="s">
        <v>962</v>
      </c>
      <c r="C947" s="2">
        <v>45951</v>
      </c>
      <c r="D947" s="2">
        <v>45955</v>
      </c>
      <c r="E947" t="s">
        <v>1019</v>
      </c>
      <c r="F947" t="s">
        <v>1105</v>
      </c>
      <c r="G947" t="s">
        <v>1282</v>
      </c>
      <c r="H947" t="s">
        <v>1287</v>
      </c>
      <c r="I947" t="s">
        <v>1301</v>
      </c>
      <c r="J947" t="s">
        <v>1303</v>
      </c>
      <c r="K947" t="s">
        <v>1309</v>
      </c>
      <c r="L947" t="s">
        <v>1329</v>
      </c>
      <c r="M947">
        <v>1</v>
      </c>
      <c r="N947">
        <v>0.05</v>
      </c>
      <c r="O947">
        <v>1800.75</v>
      </c>
      <c r="P947">
        <v>471.2</v>
      </c>
      <c r="Q947" t="s">
        <v>1332</v>
      </c>
      <c r="R947" t="b">
        <f t="shared" si="43"/>
        <v>0</v>
      </c>
      <c r="S947" t="b">
        <f t="shared" si="44"/>
        <v>0</v>
      </c>
      <c r="T947" t="b">
        <f t="shared" si="45"/>
        <v>0</v>
      </c>
    </row>
    <row r="948" spans="1:20" x14ac:dyDescent="0.3">
      <c r="A948">
        <v>947</v>
      </c>
      <c r="B948" t="s">
        <v>963</v>
      </c>
      <c r="C948" s="2">
        <v>45970</v>
      </c>
      <c r="D948" s="2">
        <v>45972</v>
      </c>
      <c r="E948" t="s">
        <v>1019</v>
      </c>
      <c r="F948" t="s">
        <v>1207</v>
      </c>
      <c r="G948" t="s">
        <v>1283</v>
      </c>
      <c r="H948" t="s">
        <v>1287</v>
      </c>
      <c r="I948" t="s">
        <v>1297</v>
      </c>
      <c r="J948" t="s">
        <v>1304</v>
      </c>
      <c r="K948" t="s">
        <v>1309</v>
      </c>
      <c r="L948" t="s">
        <v>1325</v>
      </c>
      <c r="M948">
        <v>3</v>
      </c>
      <c r="N948">
        <v>0.05</v>
      </c>
      <c r="O948">
        <v>3658.19</v>
      </c>
      <c r="P948">
        <v>851.62</v>
      </c>
      <c r="Q948" t="s">
        <v>1331</v>
      </c>
      <c r="R948" t="b">
        <f t="shared" si="43"/>
        <v>0</v>
      </c>
      <c r="S948" t="b">
        <f t="shared" si="44"/>
        <v>0</v>
      </c>
      <c r="T948" t="b">
        <f t="shared" si="45"/>
        <v>0</v>
      </c>
    </row>
    <row r="949" spans="1:20" x14ac:dyDescent="0.3">
      <c r="A949">
        <v>948</v>
      </c>
      <c r="B949" t="s">
        <v>964</v>
      </c>
      <c r="C949" s="2">
        <v>45816</v>
      </c>
      <c r="D949" s="2">
        <v>45821</v>
      </c>
      <c r="E949" t="s">
        <v>1017</v>
      </c>
      <c r="F949" t="s">
        <v>1124</v>
      </c>
      <c r="G949" t="s">
        <v>1286</v>
      </c>
      <c r="H949" t="s">
        <v>1288</v>
      </c>
      <c r="I949" t="s">
        <v>1298</v>
      </c>
      <c r="J949" t="s">
        <v>1303</v>
      </c>
      <c r="K949" t="s">
        <v>1309</v>
      </c>
      <c r="L949" t="s">
        <v>1329</v>
      </c>
      <c r="M949">
        <v>3</v>
      </c>
      <c r="N949">
        <v>0.05</v>
      </c>
      <c r="O949">
        <v>5624.2</v>
      </c>
      <c r="P949">
        <v>1050.8800000000001</v>
      </c>
      <c r="Q949" t="s">
        <v>1334</v>
      </c>
      <c r="R949" t="b">
        <f t="shared" si="43"/>
        <v>0</v>
      </c>
      <c r="S949" t="b">
        <f t="shared" si="44"/>
        <v>0</v>
      </c>
      <c r="T949" t="b">
        <f t="shared" si="45"/>
        <v>0</v>
      </c>
    </row>
    <row r="950" spans="1:20" x14ac:dyDescent="0.3">
      <c r="A950">
        <v>949</v>
      </c>
      <c r="B950" t="s">
        <v>965</v>
      </c>
      <c r="C950" s="2">
        <v>45842</v>
      </c>
      <c r="D950" s="2">
        <v>45843</v>
      </c>
      <c r="E950" t="s">
        <v>1017</v>
      </c>
      <c r="F950" t="s">
        <v>1031</v>
      </c>
      <c r="G950" t="s">
        <v>1275</v>
      </c>
      <c r="H950" t="s">
        <v>1288</v>
      </c>
      <c r="I950" t="s">
        <v>1299</v>
      </c>
      <c r="J950" t="s">
        <v>1304</v>
      </c>
      <c r="K950" t="s">
        <v>1308</v>
      </c>
      <c r="L950" t="s">
        <v>1327</v>
      </c>
      <c r="M950">
        <v>4</v>
      </c>
      <c r="N950">
        <v>0.15</v>
      </c>
      <c r="O950">
        <v>6053.47</v>
      </c>
      <c r="P950">
        <v>993.17</v>
      </c>
      <c r="Q950" t="s">
        <v>1331</v>
      </c>
      <c r="R950" t="b">
        <f t="shared" si="43"/>
        <v>0</v>
      </c>
      <c r="S950" t="b">
        <f t="shared" si="44"/>
        <v>0</v>
      </c>
      <c r="T950" t="b">
        <f t="shared" si="45"/>
        <v>0</v>
      </c>
    </row>
    <row r="951" spans="1:20" x14ac:dyDescent="0.3">
      <c r="A951">
        <v>950</v>
      </c>
      <c r="B951" t="s">
        <v>966</v>
      </c>
      <c r="C951" s="2">
        <v>45678</v>
      </c>
      <c r="D951" s="2">
        <v>45683</v>
      </c>
      <c r="E951" t="s">
        <v>1018</v>
      </c>
      <c r="F951" t="s">
        <v>1027</v>
      </c>
      <c r="G951" t="s">
        <v>1274</v>
      </c>
      <c r="H951" t="s">
        <v>1287</v>
      </c>
      <c r="I951" t="s">
        <v>1295</v>
      </c>
      <c r="J951" t="s">
        <v>1305</v>
      </c>
      <c r="K951" t="s">
        <v>1309</v>
      </c>
      <c r="L951" t="s">
        <v>1325</v>
      </c>
      <c r="M951">
        <v>1</v>
      </c>
      <c r="N951">
        <v>0.15</v>
      </c>
      <c r="O951">
        <v>1138.7</v>
      </c>
      <c r="P951">
        <v>302.56</v>
      </c>
      <c r="Q951" t="s">
        <v>1332</v>
      </c>
      <c r="R951" t="b">
        <f t="shared" si="43"/>
        <v>0</v>
      </c>
      <c r="S951" t="b">
        <f t="shared" si="44"/>
        <v>0</v>
      </c>
      <c r="T951" t="b">
        <f t="shared" si="45"/>
        <v>0</v>
      </c>
    </row>
    <row r="952" spans="1:20" x14ac:dyDescent="0.3">
      <c r="A952">
        <v>951</v>
      </c>
      <c r="B952" t="s">
        <v>967</v>
      </c>
      <c r="C952" s="2">
        <v>46016</v>
      </c>
      <c r="D952" s="2">
        <v>46021</v>
      </c>
      <c r="E952" t="s">
        <v>1019</v>
      </c>
      <c r="F952" t="s">
        <v>1043</v>
      </c>
      <c r="G952" t="s">
        <v>1285</v>
      </c>
      <c r="H952" t="s">
        <v>1287</v>
      </c>
      <c r="I952" t="s">
        <v>1291</v>
      </c>
      <c r="J952" t="s">
        <v>1302</v>
      </c>
      <c r="K952" t="s">
        <v>1309</v>
      </c>
      <c r="L952" t="s">
        <v>1320</v>
      </c>
      <c r="M952">
        <v>4</v>
      </c>
      <c r="N952">
        <v>0.2</v>
      </c>
      <c r="O952">
        <v>3823.09</v>
      </c>
      <c r="P952">
        <v>-39.78</v>
      </c>
      <c r="Q952" t="s">
        <v>1330</v>
      </c>
      <c r="R952" t="b">
        <f t="shared" si="43"/>
        <v>0</v>
      </c>
      <c r="S952" t="b">
        <f t="shared" si="44"/>
        <v>0</v>
      </c>
      <c r="T952" t="b">
        <f t="shared" si="45"/>
        <v>0</v>
      </c>
    </row>
    <row r="953" spans="1:20" x14ac:dyDescent="0.3">
      <c r="A953">
        <v>952</v>
      </c>
      <c r="B953" t="s">
        <v>968</v>
      </c>
      <c r="C953" s="2">
        <v>45754</v>
      </c>
      <c r="D953" s="2">
        <v>45756</v>
      </c>
      <c r="E953" t="s">
        <v>1017</v>
      </c>
      <c r="F953" t="s">
        <v>1149</v>
      </c>
      <c r="G953" t="s">
        <v>1268</v>
      </c>
      <c r="H953" t="s">
        <v>1287</v>
      </c>
      <c r="I953" t="s">
        <v>1291</v>
      </c>
      <c r="J953" t="s">
        <v>1302</v>
      </c>
      <c r="K953" t="s">
        <v>1308</v>
      </c>
      <c r="L953" t="s">
        <v>1326</v>
      </c>
      <c r="M953">
        <v>2</v>
      </c>
      <c r="N953">
        <v>0</v>
      </c>
      <c r="O953">
        <v>13573.6</v>
      </c>
      <c r="P953">
        <v>4850.34</v>
      </c>
      <c r="Q953" t="s">
        <v>1331</v>
      </c>
      <c r="R953" t="b">
        <f t="shared" si="43"/>
        <v>0</v>
      </c>
      <c r="S953" t="b">
        <f t="shared" si="44"/>
        <v>0</v>
      </c>
      <c r="T953" t="b">
        <f t="shared" si="45"/>
        <v>0</v>
      </c>
    </row>
    <row r="954" spans="1:20" x14ac:dyDescent="0.3">
      <c r="A954">
        <v>953</v>
      </c>
      <c r="B954" t="s">
        <v>969</v>
      </c>
      <c r="C954" s="2">
        <v>45861</v>
      </c>
      <c r="D954" s="2">
        <v>45863</v>
      </c>
      <c r="E954" t="s">
        <v>1017</v>
      </c>
      <c r="F954" t="s">
        <v>1246</v>
      </c>
      <c r="G954" t="s">
        <v>1269</v>
      </c>
      <c r="H954" t="s">
        <v>1289</v>
      </c>
      <c r="I954" t="s">
        <v>1293</v>
      </c>
      <c r="J954" t="s">
        <v>1304</v>
      </c>
      <c r="K954" t="s">
        <v>1308</v>
      </c>
      <c r="L954" t="s">
        <v>1326</v>
      </c>
      <c r="M954">
        <v>2</v>
      </c>
      <c r="N954">
        <v>0.15</v>
      </c>
      <c r="O954">
        <v>12199.64</v>
      </c>
      <c r="P954">
        <v>1390.96</v>
      </c>
      <c r="Q954" t="s">
        <v>1331</v>
      </c>
      <c r="R954" t="b">
        <f t="shared" si="43"/>
        <v>0</v>
      </c>
      <c r="S954" t="b">
        <f t="shared" si="44"/>
        <v>0</v>
      </c>
      <c r="T954" t="b">
        <f t="shared" si="45"/>
        <v>0</v>
      </c>
    </row>
    <row r="955" spans="1:20" x14ac:dyDescent="0.3">
      <c r="A955">
        <v>954</v>
      </c>
      <c r="B955" t="s">
        <v>970</v>
      </c>
      <c r="C955" s="2">
        <v>45838</v>
      </c>
      <c r="D955" s="2">
        <v>45843</v>
      </c>
      <c r="E955" t="s">
        <v>1018</v>
      </c>
      <c r="F955" t="s">
        <v>1118</v>
      </c>
      <c r="G955" t="s">
        <v>1276</v>
      </c>
      <c r="H955" t="s">
        <v>1288</v>
      </c>
      <c r="I955" t="s">
        <v>1295</v>
      </c>
      <c r="J955" t="s">
        <v>1305</v>
      </c>
      <c r="K955" t="s">
        <v>1307</v>
      </c>
      <c r="L955" t="s">
        <v>1322</v>
      </c>
      <c r="M955">
        <v>1</v>
      </c>
      <c r="N955">
        <v>0</v>
      </c>
      <c r="O955">
        <v>697.27</v>
      </c>
      <c r="P955">
        <v>201.07</v>
      </c>
      <c r="Q955" t="s">
        <v>1332</v>
      </c>
      <c r="R955" t="b">
        <f t="shared" si="43"/>
        <v>0</v>
      </c>
      <c r="S955" t="b">
        <f t="shared" si="44"/>
        <v>0</v>
      </c>
      <c r="T955" t="b">
        <f t="shared" si="45"/>
        <v>0</v>
      </c>
    </row>
    <row r="956" spans="1:20" x14ac:dyDescent="0.3">
      <c r="A956">
        <v>955</v>
      </c>
      <c r="B956" t="s">
        <v>971</v>
      </c>
      <c r="C956" s="2">
        <v>45996</v>
      </c>
      <c r="D956" s="2">
        <v>46000</v>
      </c>
      <c r="E956" t="s">
        <v>1017</v>
      </c>
      <c r="F956" t="s">
        <v>1060</v>
      </c>
      <c r="G956" t="s">
        <v>1274</v>
      </c>
      <c r="H956" t="s">
        <v>1287</v>
      </c>
      <c r="I956" t="s">
        <v>1291</v>
      </c>
      <c r="J956" t="s">
        <v>1302</v>
      </c>
      <c r="K956" t="s">
        <v>1309</v>
      </c>
      <c r="L956" t="s">
        <v>1329</v>
      </c>
      <c r="M956">
        <v>2</v>
      </c>
      <c r="N956">
        <v>0.05</v>
      </c>
      <c r="O956">
        <v>3721.41</v>
      </c>
      <c r="P956">
        <v>1241.58</v>
      </c>
      <c r="Q956" t="s">
        <v>1331</v>
      </c>
      <c r="R956" t="b">
        <f t="shared" si="43"/>
        <v>0</v>
      </c>
      <c r="S956" t="b">
        <f t="shared" si="44"/>
        <v>0</v>
      </c>
      <c r="T956" t="b">
        <f t="shared" si="45"/>
        <v>0</v>
      </c>
    </row>
    <row r="957" spans="1:20" x14ac:dyDescent="0.3">
      <c r="A957">
        <v>956</v>
      </c>
      <c r="B957" t="s">
        <v>972</v>
      </c>
      <c r="C957" s="2">
        <v>45858</v>
      </c>
      <c r="D957" s="2">
        <v>45859</v>
      </c>
      <c r="E957" t="s">
        <v>1017</v>
      </c>
      <c r="F957" t="s">
        <v>1186</v>
      </c>
      <c r="G957" t="s">
        <v>1279</v>
      </c>
      <c r="H957" t="s">
        <v>1287</v>
      </c>
      <c r="I957" t="s">
        <v>1297</v>
      </c>
      <c r="J957" t="s">
        <v>1304</v>
      </c>
      <c r="K957" t="s">
        <v>1306</v>
      </c>
      <c r="L957" t="s">
        <v>1310</v>
      </c>
      <c r="M957">
        <v>3</v>
      </c>
      <c r="N957">
        <v>0.1</v>
      </c>
      <c r="O957">
        <v>1819.52</v>
      </c>
      <c r="P957">
        <v>480.79</v>
      </c>
      <c r="Q957" t="s">
        <v>1331</v>
      </c>
      <c r="R957" t="b">
        <f t="shared" si="43"/>
        <v>0</v>
      </c>
      <c r="S957" t="b">
        <f t="shared" si="44"/>
        <v>0</v>
      </c>
      <c r="T957" t="b">
        <f t="shared" si="45"/>
        <v>0</v>
      </c>
    </row>
    <row r="958" spans="1:20" x14ac:dyDescent="0.3">
      <c r="A958">
        <v>957</v>
      </c>
      <c r="B958" t="s">
        <v>973</v>
      </c>
      <c r="C958" s="2">
        <v>45802</v>
      </c>
      <c r="D958" s="2">
        <v>45804</v>
      </c>
      <c r="E958" t="s">
        <v>1017</v>
      </c>
      <c r="F958" t="s">
        <v>1047</v>
      </c>
      <c r="G958" t="s">
        <v>1268</v>
      </c>
      <c r="H958" t="s">
        <v>1287</v>
      </c>
      <c r="I958" t="s">
        <v>1296</v>
      </c>
      <c r="J958" t="s">
        <v>1304</v>
      </c>
      <c r="K958" t="s">
        <v>1307</v>
      </c>
      <c r="L958" t="s">
        <v>1322</v>
      </c>
      <c r="M958">
        <v>2</v>
      </c>
      <c r="N958">
        <v>0.1</v>
      </c>
      <c r="O958">
        <v>1201.8599999999999</v>
      </c>
      <c r="P958">
        <v>332.24</v>
      </c>
      <c r="Q958" t="s">
        <v>1331</v>
      </c>
      <c r="R958" t="b">
        <f t="shared" si="43"/>
        <v>0</v>
      </c>
      <c r="S958" t="b">
        <f t="shared" si="44"/>
        <v>0</v>
      </c>
      <c r="T958" t="b">
        <f t="shared" si="45"/>
        <v>0</v>
      </c>
    </row>
    <row r="959" spans="1:20" x14ac:dyDescent="0.3">
      <c r="A959">
        <v>958</v>
      </c>
      <c r="B959" t="s">
        <v>974</v>
      </c>
      <c r="C959" s="2">
        <v>45871</v>
      </c>
      <c r="D959" s="2">
        <v>45875</v>
      </c>
      <c r="E959" t="s">
        <v>1019</v>
      </c>
      <c r="F959" t="s">
        <v>1029</v>
      </c>
      <c r="G959" t="s">
        <v>1285</v>
      </c>
      <c r="H959" t="s">
        <v>1288</v>
      </c>
      <c r="I959" t="s">
        <v>1298</v>
      </c>
      <c r="J959" t="s">
        <v>1303</v>
      </c>
      <c r="K959" t="s">
        <v>1309</v>
      </c>
      <c r="L959" t="s">
        <v>1325</v>
      </c>
      <c r="M959">
        <v>1</v>
      </c>
      <c r="N959">
        <v>0</v>
      </c>
      <c r="O959">
        <v>1262.53</v>
      </c>
      <c r="P959">
        <v>377.85</v>
      </c>
      <c r="Q959" t="s">
        <v>1334</v>
      </c>
      <c r="R959" t="b">
        <f t="shared" si="43"/>
        <v>0</v>
      </c>
      <c r="S959" t="b">
        <f t="shared" si="44"/>
        <v>0</v>
      </c>
      <c r="T959" t="b">
        <f t="shared" si="45"/>
        <v>0</v>
      </c>
    </row>
    <row r="960" spans="1:20" x14ac:dyDescent="0.3">
      <c r="A960">
        <v>959</v>
      </c>
      <c r="B960" t="s">
        <v>975</v>
      </c>
      <c r="C960" s="2">
        <v>46013</v>
      </c>
      <c r="D960" s="2">
        <v>46016</v>
      </c>
      <c r="E960" t="s">
        <v>1018</v>
      </c>
      <c r="F960" t="s">
        <v>1168</v>
      </c>
      <c r="G960" t="s">
        <v>1281</v>
      </c>
      <c r="H960" t="s">
        <v>1287</v>
      </c>
      <c r="I960" t="s">
        <v>1291</v>
      </c>
      <c r="J960" t="s">
        <v>1302</v>
      </c>
      <c r="K960" t="s">
        <v>1307</v>
      </c>
      <c r="L960" t="s">
        <v>1314</v>
      </c>
      <c r="M960">
        <v>2</v>
      </c>
      <c r="N960">
        <v>0.2</v>
      </c>
      <c r="O960">
        <v>1392.79</v>
      </c>
      <c r="P960">
        <v>108.93</v>
      </c>
      <c r="Q960" t="s">
        <v>1331</v>
      </c>
      <c r="R960" t="b">
        <f t="shared" si="43"/>
        <v>0</v>
      </c>
      <c r="S960" t="b">
        <f t="shared" si="44"/>
        <v>0</v>
      </c>
      <c r="T960" t="b">
        <f t="shared" si="45"/>
        <v>0</v>
      </c>
    </row>
    <row r="961" spans="1:20" x14ac:dyDescent="0.3">
      <c r="A961">
        <v>960</v>
      </c>
      <c r="B961" t="s">
        <v>976</v>
      </c>
      <c r="C961" s="2">
        <v>45873</v>
      </c>
      <c r="D961" s="2">
        <v>45878</v>
      </c>
      <c r="E961" t="s">
        <v>1018</v>
      </c>
      <c r="F961" t="s">
        <v>1180</v>
      </c>
      <c r="G961" t="s">
        <v>1283</v>
      </c>
      <c r="H961" t="s">
        <v>1288</v>
      </c>
      <c r="I961" t="s">
        <v>1291</v>
      </c>
      <c r="J961" t="s">
        <v>1302</v>
      </c>
      <c r="K961" t="s">
        <v>1306</v>
      </c>
      <c r="L961" t="s">
        <v>1323</v>
      </c>
      <c r="M961">
        <v>2</v>
      </c>
      <c r="N961">
        <v>0.05</v>
      </c>
      <c r="O961">
        <v>358.92</v>
      </c>
      <c r="P961">
        <v>127.46</v>
      </c>
      <c r="Q961" t="s">
        <v>1330</v>
      </c>
      <c r="R961" t="b">
        <f t="shared" si="43"/>
        <v>0</v>
      </c>
      <c r="S961" t="b">
        <f t="shared" si="44"/>
        <v>0</v>
      </c>
      <c r="T961" t="b">
        <f t="shared" si="45"/>
        <v>0</v>
      </c>
    </row>
    <row r="962" spans="1:20" x14ac:dyDescent="0.3">
      <c r="A962">
        <v>961</v>
      </c>
      <c r="B962" t="s">
        <v>977</v>
      </c>
      <c r="C962" s="2">
        <v>45906</v>
      </c>
      <c r="D962" s="2">
        <v>45911</v>
      </c>
      <c r="E962" t="s">
        <v>1017</v>
      </c>
      <c r="F962" t="s">
        <v>1242</v>
      </c>
      <c r="G962" t="s">
        <v>1286</v>
      </c>
      <c r="H962" t="s">
        <v>1288</v>
      </c>
      <c r="I962" t="s">
        <v>1297</v>
      </c>
      <c r="J962" t="s">
        <v>1304</v>
      </c>
      <c r="K962" t="s">
        <v>1306</v>
      </c>
      <c r="L962" t="s">
        <v>1324</v>
      </c>
      <c r="M962">
        <v>1</v>
      </c>
      <c r="N962">
        <v>0.1</v>
      </c>
      <c r="O962">
        <v>83.21</v>
      </c>
      <c r="P962">
        <v>17.14</v>
      </c>
      <c r="Q962" t="s">
        <v>1330</v>
      </c>
      <c r="R962" t="b">
        <f t="shared" si="43"/>
        <v>0</v>
      </c>
      <c r="S962" t="b">
        <f t="shared" si="44"/>
        <v>0</v>
      </c>
      <c r="T962" t="b">
        <f t="shared" si="45"/>
        <v>0</v>
      </c>
    </row>
    <row r="963" spans="1:20" x14ac:dyDescent="0.3">
      <c r="A963">
        <v>962</v>
      </c>
      <c r="B963" t="s">
        <v>978</v>
      </c>
      <c r="C963" s="2">
        <v>45895</v>
      </c>
      <c r="D963" s="2">
        <v>45897</v>
      </c>
      <c r="E963" t="s">
        <v>1019</v>
      </c>
      <c r="F963" t="s">
        <v>1230</v>
      </c>
      <c r="G963" t="s">
        <v>1274</v>
      </c>
      <c r="H963" t="s">
        <v>1288</v>
      </c>
      <c r="I963" t="s">
        <v>1298</v>
      </c>
      <c r="J963" t="s">
        <v>1303</v>
      </c>
      <c r="K963" t="s">
        <v>1309</v>
      </c>
      <c r="L963" t="s">
        <v>1320</v>
      </c>
      <c r="M963">
        <v>1</v>
      </c>
      <c r="N963">
        <v>0</v>
      </c>
      <c r="O963">
        <v>1233.4100000000001</v>
      </c>
      <c r="P963">
        <v>379.29</v>
      </c>
      <c r="Q963" t="s">
        <v>1334</v>
      </c>
      <c r="R963" t="b">
        <f t="shared" ref="R963:R1003" si="46">D963&lt;C963</f>
        <v>0</v>
      </c>
      <c r="S963" t="b">
        <f t="shared" ref="S963:S1003" si="47">M963&lt;=0</f>
        <v>0</v>
      </c>
      <c r="T963" t="b">
        <f t="shared" ref="T963:T1003" si="48">OR(N963&lt;0,N963&gt;1)</f>
        <v>0</v>
      </c>
    </row>
    <row r="964" spans="1:20" x14ac:dyDescent="0.3">
      <c r="A964">
        <v>963</v>
      </c>
      <c r="B964" t="s">
        <v>979</v>
      </c>
      <c r="C964" s="2">
        <v>45802</v>
      </c>
      <c r="D964" s="2">
        <v>45803</v>
      </c>
      <c r="E964" t="s">
        <v>1019</v>
      </c>
      <c r="F964" t="s">
        <v>1050</v>
      </c>
      <c r="G964" t="s">
        <v>1286</v>
      </c>
      <c r="H964" t="s">
        <v>1287</v>
      </c>
      <c r="I964" t="s">
        <v>1294</v>
      </c>
      <c r="J964" t="s">
        <v>1305</v>
      </c>
      <c r="K964" t="s">
        <v>1308</v>
      </c>
      <c r="L964" t="s">
        <v>1326</v>
      </c>
      <c r="M964">
        <v>1</v>
      </c>
      <c r="N964">
        <v>0.1</v>
      </c>
      <c r="O964">
        <v>6602.74</v>
      </c>
      <c r="P964">
        <v>2175.13</v>
      </c>
      <c r="Q964" t="s">
        <v>1330</v>
      </c>
      <c r="R964" t="b">
        <f t="shared" si="46"/>
        <v>0</v>
      </c>
      <c r="S964" t="b">
        <f t="shared" si="47"/>
        <v>0</v>
      </c>
      <c r="T964" t="b">
        <f t="shared" si="48"/>
        <v>0</v>
      </c>
    </row>
    <row r="965" spans="1:20" x14ac:dyDescent="0.3">
      <c r="A965">
        <v>964</v>
      </c>
      <c r="B965" t="s">
        <v>980</v>
      </c>
      <c r="C965" s="2">
        <v>45681</v>
      </c>
      <c r="D965" s="2">
        <v>45685</v>
      </c>
      <c r="E965" t="s">
        <v>1018</v>
      </c>
      <c r="F965" t="s">
        <v>1075</v>
      </c>
      <c r="G965" t="s">
        <v>1278</v>
      </c>
      <c r="H965" t="s">
        <v>1289</v>
      </c>
      <c r="I965" t="s">
        <v>1295</v>
      </c>
      <c r="J965" t="s">
        <v>1305</v>
      </c>
      <c r="K965" t="s">
        <v>1309</v>
      </c>
      <c r="L965" t="s">
        <v>1320</v>
      </c>
      <c r="M965">
        <v>4</v>
      </c>
      <c r="N965">
        <v>0.15</v>
      </c>
      <c r="O965">
        <v>4196.01</v>
      </c>
      <c r="P965">
        <v>960.62</v>
      </c>
      <c r="Q965" t="s">
        <v>1330</v>
      </c>
      <c r="R965" t="b">
        <f t="shared" si="46"/>
        <v>0</v>
      </c>
      <c r="S965" t="b">
        <f t="shared" si="47"/>
        <v>0</v>
      </c>
      <c r="T965" t="b">
        <f t="shared" si="48"/>
        <v>0</v>
      </c>
    </row>
    <row r="966" spans="1:20" x14ac:dyDescent="0.3">
      <c r="A966">
        <v>965</v>
      </c>
      <c r="B966" t="s">
        <v>981</v>
      </c>
      <c r="C966" s="2">
        <v>45687</v>
      </c>
      <c r="D966" s="2">
        <v>45689</v>
      </c>
      <c r="E966" t="s">
        <v>1017</v>
      </c>
      <c r="F966" t="s">
        <v>1204</v>
      </c>
      <c r="G966" t="s">
        <v>1285</v>
      </c>
      <c r="H966" t="s">
        <v>1289</v>
      </c>
      <c r="I966" t="s">
        <v>1297</v>
      </c>
      <c r="J966" t="s">
        <v>1304</v>
      </c>
      <c r="K966" t="s">
        <v>1307</v>
      </c>
      <c r="L966" t="s">
        <v>1322</v>
      </c>
      <c r="M966">
        <v>3</v>
      </c>
      <c r="N966">
        <v>0.15</v>
      </c>
      <c r="O966">
        <v>1869.24</v>
      </c>
      <c r="P966">
        <v>402.16</v>
      </c>
      <c r="Q966" t="s">
        <v>1330</v>
      </c>
      <c r="R966" t="b">
        <f t="shared" si="46"/>
        <v>0</v>
      </c>
      <c r="S966" t="b">
        <f t="shared" si="47"/>
        <v>0</v>
      </c>
      <c r="T966" t="b">
        <f t="shared" si="48"/>
        <v>0</v>
      </c>
    </row>
    <row r="967" spans="1:20" x14ac:dyDescent="0.3">
      <c r="A967">
        <v>966</v>
      </c>
      <c r="B967" t="s">
        <v>982</v>
      </c>
      <c r="C967" s="2">
        <v>45829</v>
      </c>
      <c r="D967" s="2">
        <v>45833</v>
      </c>
      <c r="E967" t="s">
        <v>1018</v>
      </c>
      <c r="F967" t="s">
        <v>1121</v>
      </c>
      <c r="G967" t="s">
        <v>1277</v>
      </c>
      <c r="H967" t="s">
        <v>1287</v>
      </c>
      <c r="I967" t="s">
        <v>1293</v>
      </c>
      <c r="J967" t="s">
        <v>1304</v>
      </c>
      <c r="K967" t="s">
        <v>1307</v>
      </c>
      <c r="L967" t="s">
        <v>1316</v>
      </c>
      <c r="M967">
        <v>4</v>
      </c>
      <c r="N967">
        <v>0.1</v>
      </c>
      <c r="O967">
        <v>1737.07</v>
      </c>
      <c r="P967">
        <v>499.49</v>
      </c>
      <c r="Q967" t="s">
        <v>1331</v>
      </c>
      <c r="R967" t="b">
        <f t="shared" si="46"/>
        <v>0</v>
      </c>
      <c r="S967" t="b">
        <f t="shared" si="47"/>
        <v>0</v>
      </c>
      <c r="T967" t="b">
        <f t="shared" si="48"/>
        <v>0</v>
      </c>
    </row>
    <row r="968" spans="1:20" x14ac:dyDescent="0.3">
      <c r="A968">
        <v>967</v>
      </c>
      <c r="B968" t="s">
        <v>983</v>
      </c>
      <c r="C968" s="2">
        <v>45849</v>
      </c>
      <c r="D968" s="2">
        <v>45850</v>
      </c>
      <c r="E968" t="s">
        <v>1017</v>
      </c>
      <c r="F968" t="s">
        <v>1222</v>
      </c>
      <c r="G968" t="s">
        <v>1283</v>
      </c>
      <c r="H968" t="s">
        <v>1289</v>
      </c>
      <c r="I968" t="s">
        <v>1290</v>
      </c>
      <c r="J968" t="s">
        <v>1302</v>
      </c>
      <c r="K968" t="s">
        <v>1308</v>
      </c>
      <c r="L968" t="s">
        <v>1326</v>
      </c>
      <c r="M968">
        <v>3</v>
      </c>
      <c r="N968">
        <v>0</v>
      </c>
      <c r="O968">
        <v>20995.34</v>
      </c>
      <c r="P968">
        <v>6562.15</v>
      </c>
      <c r="Q968" t="s">
        <v>1332</v>
      </c>
      <c r="R968" t="b">
        <f t="shared" si="46"/>
        <v>0</v>
      </c>
      <c r="S968" t="b">
        <f t="shared" si="47"/>
        <v>0</v>
      </c>
      <c r="T968" t="b">
        <f t="shared" si="48"/>
        <v>0</v>
      </c>
    </row>
    <row r="969" spans="1:20" x14ac:dyDescent="0.3">
      <c r="A969">
        <v>968</v>
      </c>
      <c r="B969" t="s">
        <v>984</v>
      </c>
      <c r="C969" s="2">
        <v>45891</v>
      </c>
      <c r="D969" s="2">
        <v>45894</v>
      </c>
      <c r="E969" t="s">
        <v>1017</v>
      </c>
      <c r="F969" t="s">
        <v>1238</v>
      </c>
      <c r="G969" t="s">
        <v>1284</v>
      </c>
      <c r="H969" t="s">
        <v>1289</v>
      </c>
      <c r="I969" t="s">
        <v>1295</v>
      </c>
      <c r="J969" t="s">
        <v>1305</v>
      </c>
      <c r="K969" t="s">
        <v>1309</v>
      </c>
      <c r="L969" t="s">
        <v>1329</v>
      </c>
      <c r="M969">
        <v>2</v>
      </c>
      <c r="N969">
        <v>0</v>
      </c>
      <c r="O969">
        <v>3895.35</v>
      </c>
      <c r="P969">
        <v>948.13</v>
      </c>
      <c r="Q969" t="s">
        <v>1332</v>
      </c>
      <c r="R969" t="b">
        <f t="shared" si="46"/>
        <v>0</v>
      </c>
      <c r="S969" t="b">
        <f t="shared" si="47"/>
        <v>0</v>
      </c>
      <c r="T969" t="b">
        <f t="shared" si="48"/>
        <v>0</v>
      </c>
    </row>
    <row r="970" spans="1:20" x14ac:dyDescent="0.3">
      <c r="A970">
        <v>969</v>
      </c>
      <c r="B970" t="s">
        <v>985</v>
      </c>
      <c r="C970" s="2">
        <v>45705</v>
      </c>
      <c r="D970" s="2">
        <v>45709</v>
      </c>
      <c r="E970" t="s">
        <v>1018</v>
      </c>
      <c r="F970" t="s">
        <v>1095</v>
      </c>
      <c r="G970" t="s">
        <v>1283</v>
      </c>
      <c r="H970" t="s">
        <v>1287</v>
      </c>
      <c r="I970" t="s">
        <v>1293</v>
      </c>
      <c r="J970" t="s">
        <v>1304</v>
      </c>
      <c r="K970" t="s">
        <v>1309</v>
      </c>
      <c r="L970" t="s">
        <v>1325</v>
      </c>
      <c r="M970">
        <v>5</v>
      </c>
      <c r="N970">
        <v>0.2</v>
      </c>
      <c r="O970">
        <v>5062.3999999999996</v>
      </c>
      <c r="P970">
        <v>81.540000000000006</v>
      </c>
      <c r="Q970" t="s">
        <v>1332</v>
      </c>
      <c r="R970" t="b">
        <f t="shared" si="46"/>
        <v>0</v>
      </c>
      <c r="S970" t="b">
        <f t="shared" si="47"/>
        <v>0</v>
      </c>
      <c r="T970" t="b">
        <f t="shared" si="48"/>
        <v>0</v>
      </c>
    </row>
    <row r="971" spans="1:20" x14ac:dyDescent="0.3">
      <c r="A971">
        <v>970</v>
      </c>
      <c r="B971" t="s">
        <v>986</v>
      </c>
      <c r="C971" s="2">
        <v>45664</v>
      </c>
      <c r="D971" s="2">
        <v>45669</v>
      </c>
      <c r="E971" t="s">
        <v>1018</v>
      </c>
      <c r="F971" t="s">
        <v>1117</v>
      </c>
      <c r="G971" t="s">
        <v>1280</v>
      </c>
      <c r="H971" t="s">
        <v>1287</v>
      </c>
      <c r="I971" t="s">
        <v>1296</v>
      </c>
      <c r="J971" t="s">
        <v>1304</v>
      </c>
      <c r="K971" t="s">
        <v>1306</v>
      </c>
      <c r="L971" t="s">
        <v>1328</v>
      </c>
      <c r="M971">
        <v>3</v>
      </c>
      <c r="N971">
        <v>0.2</v>
      </c>
      <c r="O971">
        <v>284.77999999999997</v>
      </c>
      <c r="P971">
        <v>48.22</v>
      </c>
      <c r="Q971" t="s">
        <v>1333</v>
      </c>
      <c r="R971" t="b">
        <f t="shared" si="46"/>
        <v>0</v>
      </c>
      <c r="S971" t="b">
        <f t="shared" si="47"/>
        <v>0</v>
      </c>
      <c r="T971" t="b">
        <f t="shared" si="48"/>
        <v>0</v>
      </c>
    </row>
    <row r="972" spans="1:20" x14ac:dyDescent="0.3">
      <c r="A972">
        <v>971</v>
      </c>
      <c r="B972" t="s">
        <v>987</v>
      </c>
      <c r="C972" s="2">
        <v>45760</v>
      </c>
      <c r="D972" s="2">
        <v>45761</v>
      </c>
      <c r="E972" t="s">
        <v>1017</v>
      </c>
      <c r="F972" t="s">
        <v>1044</v>
      </c>
      <c r="G972" t="s">
        <v>1269</v>
      </c>
      <c r="H972" t="s">
        <v>1288</v>
      </c>
      <c r="I972" t="s">
        <v>1299</v>
      </c>
      <c r="J972" t="s">
        <v>1304</v>
      </c>
      <c r="K972" t="s">
        <v>1309</v>
      </c>
      <c r="L972" t="s">
        <v>1329</v>
      </c>
      <c r="M972">
        <v>1</v>
      </c>
      <c r="N972">
        <v>0.15</v>
      </c>
      <c r="O972">
        <v>1587.37</v>
      </c>
      <c r="P972">
        <v>306.51</v>
      </c>
      <c r="Q972" t="s">
        <v>1331</v>
      </c>
      <c r="R972" t="b">
        <f t="shared" si="46"/>
        <v>0</v>
      </c>
      <c r="S972" t="b">
        <f t="shared" si="47"/>
        <v>0</v>
      </c>
      <c r="T972" t="b">
        <f t="shared" si="48"/>
        <v>0</v>
      </c>
    </row>
    <row r="973" spans="1:20" x14ac:dyDescent="0.3">
      <c r="A973">
        <v>972</v>
      </c>
      <c r="B973" t="s">
        <v>988</v>
      </c>
      <c r="C973" s="2">
        <v>45795</v>
      </c>
      <c r="D973" s="2">
        <v>45799</v>
      </c>
      <c r="E973" t="s">
        <v>1017</v>
      </c>
      <c r="F973" t="s">
        <v>1047</v>
      </c>
      <c r="G973" t="s">
        <v>1273</v>
      </c>
      <c r="H973" t="s">
        <v>1287</v>
      </c>
      <c r="I973" t="s">
        <v>1293</v>
      </c>
      <c r="J973" t="s">
        <v>1304</v>
      </c>
      <c r="K973" t="s">
        <v>1309</v>
      </c>
      <c r="L973" t="s">
        <v>1320</v>
      </c>
      <c r="M973">
        <v>4</v>
      </c>
      <c r="N973">
        <v>0.05</v>
      </c>
      <c r="O973">
        <v>4649.59</v>
      </c>
      <c r="P973">
        <v>1330.63</v>
      </c>
      <c r="Q973" t="s">
        <v>1333</v>
      </c>
      <c r="R973" t="b">
        <f t="shared" si="46"/>
        <v>0</v>
      </c>
      <c r="S973" t="b">
        <f t="shared" si="47"/>
        <v>0</v>
      </c>
      <c r="T973" t="b">
        <f t="shared" si="48"/>
        <v>0</v>
      </c>
    </row>
    <row r="974" spans="1:20" x14ac:dyDescent="0.3">
      <c r="A974">
        <v>973</v>
      </c>
      <c r="B974" t="s">
        <v>989</v>
      </c>
      <c r="C974" s="2">
        <v>45873</v>
      </c>
      <c r="D974" s="2">
        <v>45874</v>
      </c>
      <c r="E974" t="s">
        <v>1018</v>
      </c>
      <c r="F974" t="s">
        <v>1200</v>
      </c>
      <c r="G974" t="s">
        <v>1283</v>
      </c>
      <c r="H974" t="s">
        <v>1289</v>
      </c>
      <c r="I974" t="s">
        <v>1300</v>
      </c>
      <c r="J974" t="s">
        <v>1305</v>
      </c>
      <c r="K974" t="s">
        <v>1307</v>
      </c>
      <c r="L974" t="s">
        <v>1315</v>
      </c>
      <c r="M974">
        <v>2</v>
      </c>
      <c r="N974">
        <v>0.1</v>
      </c>
      <c r="O974">
        <v>3220.01</v>
      </c>
      <c r="P974">
        <v>812.16</v>
      </c>
      <c r="Q974" t="s">
        <v>1333</v>
      </c>
      <c r="R974" t="b">
        <f t="shared" si="46"/>
        <v>0</v>
      </c>
      <c r="S974" t="b">
        <f t="shared" si="47"/>
        <v>0</v>
      </c>
      <c r="T974" t="b">
        <f t="shared" si="48"/>
        <v>0</v>
      </c>
    </row>
    <row r="975" spans="1:20" x14ac:dyDescent="0.3">
      <c r="A975">
        <v>974</v>
      </c>
      <c r="B975" t="s">
        <v>990</v>
      </c>
      <c r="C975" s="2">
        <v>45910</v>
      </c>
      <c r="D975" s="2">
        <v>45914</v>
      </c>
      <c r="E975" t="s">
        <v>1017</v>
      </c>
      <c r="F975" t="s">
        <v>1121</v>
      </c>
      <c r="G975" t="s">
        <v>1286</v>
      </c>
      <c r="H975" t="s">
        <v>1288</v>
      </c>
      <c r="I975" t="s">
        <v>1298</v>
      </c>
      <c r="J975" t="s">
        <v>1303</v>
      </c>
      <c r="K975" t="s">
        <v>1306</v>
      </c>
      <c r="L975" t="s">
        <v>1323</v>
      </c>
      <c r="M975">
        <v>3</v>
      </c>
      <c r="N975">
        <v>0.2</v>
      </c>
      <c r="O975">
        <v>435.15</v>
      </c>
      <c r="P975">
        <v>56.99</v>
      </c>
      <c r="Q975" t="s">
        <v>1333</v>
      </c>
      <c r="R975" t="b">
        <f t="shared" si="46"/>
        <v>0</v>
      </c>
      <c r="S975" t="b">
        <f t="shared" si="47"/>
        <v>0</v>
      </c>
      <c r="T975" t="b">
        <f t="shared" si="48"/>
        <v>0</v>
      </c>
    </row>
    <row r="976" spans="1:20" x14ac:dyDescent="0.3">
      <c r="A976">
        <v>975</v>
      </c>
      <c r="B976" t="s">
        <v>991</v>
      </c>
      <c r="C976" s="2">
        <v>45670</v>
      </c>
      <c r="D976" s="2">
        <v>45672</v>
      </c>
      <c r="E976" t="s">
        <v>1018</v>
      </c>
      <c r="F976" t="s">
        <v>1265</v>
      </c>
      <c r="G976" t="s">
        <v>1267</v>
      </c>
      <c r="H976" t="s">
        <v>1287</v>
      </c>
      <c r="I976" t="s">
        <v>1290</v>
      </c>
      <c r="J976" t="s">
        <v>1302</v>
      </c>
      <c r="K976" t="s">
        <v>1309</v>
      </c>
      <c r="L976" t="s">
        <v>1320</v>
      </c>
      <c r="M976">
        <v>1</v>
      </c>
      <c r="N976">
        <v>0.25</v>
      </c>
      <c r="O976">
        <v>938.69</v>
      </c>
      <c r="P976">
        <v>119.31</v>
      </c>
      <c r="Q976" t="s">
        <v>1332</v>
      </c>
      <c r="R976" t="b">
        <f t="shared" si="46"/>
        <v>0</v>
      </c>
      <c r="S976" t="b">
        <f t="shared" si="47"/>
        <v>0</v>
      </c>
      <c r="T976" t="b">
        <f t="shared" si="48"/>
        <v>0</v>
      </c>
    </row>
    <row r="977" spans="1:20" x14ac:dyDescent="0.3">
      <c r="A977">
        <v>976</v>
      </c>
      <c r="B977" t="s">
        <v>992</v>
      </c>
      <c r="C977" s="2">
        <v>45726</v>
      </c>
      <c r="D977" s="2">
        <v>45729</v>
      </c>
      <c r="E977" t="s">
        <v>1018</v>
      </c>
      <c r="F977" t="s">
        <v>1071</v>
      </c>
      <c r="G977" t="s">
        <v>1269</v>
      </c>
      <c r="H977" t="s">
        <v>1289</v>
      </c>
      <c r="I977" t="s">
        <v>1294</v>
      </c>
      <c r="J977" t="s">
        <v>1305</v>
      </c>
      <c r="K977" t="s">
        <v>1306</v>
      </c>
      <c r="L977" t="s">
        <v>1323</v>
      </c>
      <c r="M977">
        <v>2</v>
      </c>
      <c r="N977">
        <v>0.2</v>
      </c>
      <c r="O977">
        <v>276.92</v>
      </c>
      <c r="P977">
        <v>-13.07</v>
      </c>
      <c r="Q977" t="s">
        <v>1331</v>
      </c>
      <c r="R977" t="b">
        <f t="shared" si="46"/>
        <v>0</v>
      </c>
      <c r="S977" t="b">
        <f t="shared" si="47"/>
        <v>0</v>
      </c>
      <c r="T977" t="b">
        <f t="shared" si="48"/>
        <v>0</v>
      </c>
    </row>
    <row r="978" spans="1:20" x14ac:dyDescent="0.3">
      <c r="A978">
        <v>977</v>
      </c>
      <c r="B978" t="s">
        <v>993</v>
      </c>
      <c r="C978" s="2">
        <v>45995</v>
      </c>
      <c r="D978" s="2">
        <v>46000</v>
      </c>
      <c r="E978" t="s">
        <v>1017</v>
      </c>
      <c r="F978" t="s">
        <v>1186</v>
      </c>
      <c r="G978" t="s">
        <v>1281</v>
      </c>
      <c r="H978" t="s">
        <v>1288</v>
      </c>
      <c r="I978" t="s">
        <v>1295</v>
      </c>
      <c r="J978" t="s">
        <v>1305</v>
      </c>
      <c r="K978" t="s">
        <v>1309</v>
      </c>
      <c r="L978" t="s">
        <v>1329</v>
      </c>
      <c r="M978">
        <v>4</v>
      </c>
      <c r="N978">
        <v>0.05</v>
      </c>
      <c r="O978">
        <v>7558.42</v>
      </c>
      <c r="P978">
        <v>2181.2199999999998</v>
      </c>
      <c r="Q978" t="s">
        <v>1331</v>
      </c>
      <c r="R978" t="b">
        <f t="shared" si="46"/>
        <v>0</v>
      </c>
      <c r="S978" t="b">
        <f t="shared" si="47"/>
        <v>0</v>
      </c>
      <c r="T978" t="b">
        <f t="shared" si="48"/>
        <v>0</v>
      </c>
    </row>
    <row r="979" spans="1:20" x14ac:dyDescent="0.3">
      <c r="A979">
        <v>978</v>
      </c>
      <c r="B979" t="s">
        <v>994</v>
      </c>
      <c r="C979" s="2">
        <v>45684</v>
      </c>
      <c r="D979" s="2">
        <v>45688</v>
      </c>
      <c r="E979" t="s">
        <v>1017</v>
      </c>
      <c r="F979" t="s">
        <v>1153</v>
      </c>
      <c r="G979" t="s">
        <v>1278</v>
      </c>
      <c r="H979" t="s">
        <v>1288</v>
      </c>
      <c r="I979" t="s">
        <v>1291</v>
      </c>
      <c r="J979" t="s">
        <v>1302</v>
      </c>
      <c r="K979" t="s">
        <v>1307</v>
      </c>
      <c r="L979" t="s">
        <v>1316</v>
      </c>
      <c r="M979">
        <v>2</v>
      </c>
      <c r="N979">
        <v>0.2</v>
      </c>
      <c r="O979">
        <v>821.26</v>
      </c>
      <c r="P979">
        <v>52.31</v>
      </c>
      <c r="Q979" t="s">
        <v>1333</v>
      </c>
      <c r="R979" t="b">
        <f t="shared" si="46"/>
        <v>0</v>
      </c>
      <c r="S979" t="b">
        <f t="shared" si="47"/>
        <v>0</v>
      </c>
      <c r="T979" t="b">
        <f t="shared" si="48"/>
        <v>0</v>
      </c>
    </row>
    <row r="980" spans="1:20" x14ac:dyDescent="0.3">
      <c r="A980">
        <v>979</v>
      </c>
      <c r="B980" t="s">
        <v>995</v>
      </c>
      <c r="C980" s="2">
        <v>45906</v>
      </c>
      <c r="D980" s="2">
        <v>45908</v>
      </c>
      <c r="E980" t="s">
        <v>1017</v>
      </c>
      <c r="F980" t="s">
        <v>1266</v>
      </c>
      <c r="G980" t="s">
        <v>1270</v>
      </c>
      <c r="H980" t="s">
        <v>1288</v>
      </c>
      <c r="I980" t="s">
        <v>1290</v>
      </c>
      <c r="J980" t="s">
        <v>1302</v>
      </c>
      <c r="K980" t="s">
        <v>1307</v>
      </c>
      <c r="L980" t="s">
        <v>1322</v>
      </c>
      <c r="M980">
        <v>2</v>
      </c>
      <c r="N980">
        <v>0.25</v>
      </c>
      <c r="O980">
        <v>1012.84</v>
      </c>
      <c r="P980">
        <v>68.42</v>
      </c>
      <c r="Q980" t="s">
        <v>1333</v>
      </c>
      <c r="R980" t="b">
        <f t="shared" si="46"/>
        <v>0</v>
      </c>
      <c r="S980" t="b">
        <f t="shared" si="47"/>
        <v>0</v>
      </c>
      <c r="T980" t="b">
        <f t="shared" si="48"/>
        <v>0</v>
      </c>
    </row>
    <row r="981" spans="1:20" x14ac:dyDescent="0.3">
      <c r="A981">
        <v>980</v>
      </c>
      <c r="B981" t="s">
        <v>996</v>
      </c>
      <c r="C981" s="2">
        <v>45935</v>
      </c>
      <c r="D981" s="2">
        <v>45937</v>
      </c>
      <c r="E981" t="s">
        <v>1017</v>
      </c>
      <c r="F981" t="s">
        <v>1120</v>
      </c>
      <c r="G981" t="s">
        <v>1272</v>
      </c>
      <c r="H981" t="s">
        <v>1287</v>
      </c>
      <c r="I981" t="s">
        <v>1299</v>
      </c>
      <c r="J981" t="s">
        <v>1304</v>
      </c>
      <c r="K981" t="s">
        <v>1306</v>
      </c>
      <c r="L981" t="s">
        <v>1324</v>
      </c>
      <c r="M981">
        <v>1</v>
      </c>
      <c r="N981">
        <v>0</v>
      </c>
      <c r="O981">
        <v>87.41</v>
      </c>
      <c r="P981">
        <v>27.86</v>
      </c>
      <c r="Q981" t="s">
        <v>1332</v>
      </c>
      <c r="R981" t="b">
        <f t="shared" si="46"/>
        <v>0</v>
      </c>
      <c r="S981" t="b">
        <f t="shared" si="47"/>
        <v>0</v>
      </c>
      <c r="T981" t="b">
        <f t="shared" si="48"/>
        <v>0</v>
      </c>
    </row>
    <row r="982" spans="1:20" x14ac:dyDescent="0.3">
      <c r="A982">
        <v>981</v>
      </c>
      <c r="B982" t="s">
        <v>997</v>
      </c>
      <c r="C982" s="2">
        <v>45772</v>
      </c>
      <c r="D982" s="2">
        <v>45775</v>
      </c>
      <c r="E982" t="s">
        <v>1018</v>
      </c>
      <c r="F982" t="s">
        <v>1163</v>
      </c>
      <c r="G982" t="s">
        <v>1269</v>
      </c>
      <c r="H982" t="s">
        <v>1287</v>
      </c>
      <c r="I982" t="s">
        <v>1301</v>
      </c>
      <c r="J982" t="s">
        <v>1303</v>
      </c>
      <c r="K982" t="s">
        <v>1306</v>
      </c>
      <c r="L982" t="s">
        <v>1323</v>
      </c>
      <c r="M982">
        <v>2</v>
      </c>
      <c r="N982">
        <v>0.1</v>
      </c>
      <c r="O982">
        <v>323.25</v>
      </c>
      <c r="P982">
        <v>33.78</v>
      </c>
      <c r="Q982" t="s">
        <v>1332</v>
      </c>
      <c r="R982" t="b">
        <f t="shared" si="46"/>
        <v>0</v>
      </c>
      <c r="S982" t="b">
        <f t="shared" si="47"/>
        <v>0</v>
      </c>
      <c r="T982" t="b">
        <f t="shared" si="48"/>
        <v>0</v>
      </c>
    </row>
    <row r="983" spans="1:20" x14ac:dyDescent="0.3">
      <c r="A983">
        <v>982</v>
      </c>
      <c r="B983" t="s">
        <v>998</v>
      </c>
      <c r="C983" s="2">
        <v>45681</v>
      </c>
      <c r="D983" s="2">
        <v>45683</v>
      </c>
      <c r="E983" t="s">
        <v>1017</v>
      </c>
      <c r="F983" t="s">
        <v>1044</v>
      </c>
      <c r="G983" t="s">
        <v>1270</v>
      </c>
      <c r="H983" t="s">
        <v>1287</v>
      </c>
      <c r="I983" t="s">
        <v>1292</v>
      </c>
      <c r="J983" t="s">
        <v>1303</v>
      </c>
      <c r="K983" t="s">
        <v>1309</v>
      </c>
      <c r="L983" t="s">
        <v>1317</v>
      </c>
      <c r="M983">
        <v>2</v>
      </c>
      <c r="N983">
        <v>0.05</v>
      </c>
      <c r="O983">
        <v>1564.79</v>
      </c>
      <c r="P983">
        <v>556.82000000000005</v>
      </c>
      <c r="Q983" t="s">
        <v>1332</v>
      </c>
      <c r="R983" t="b">
        <f t="shared" si="46"/>
        <v>0</v>
      </c>
      <c r="S983" t="b">
        <f t="shared" si="47"/>
        <v>0</v>
      </c>
      <c r="T983" t="b">
        <f t="shared" si="48"/>
        <v>0</v>
      </c>
    </row>
    <row r="984" spans="1:20" x14ac:dyDescent="0.3">
      <c r="A984">
        <v>983</v>
      </c>
      <c r="B984" t="s">
        <v>999</v>
      </c>
      <c r="C984" s="2">
        <v>45854</v>
      </c>
      <c r="D984" s="2">
        <v>45855</v>
      </c>
      <c r="E984" t="s">
        <v>1017</v>
      </c>
      <c r="F984" t="s">
        <v>1218</v>
      </c>
      <c r="G984" t="s">
        <v>1269</v>
      </c>
      <c r="H984" t="s">
        <v>1287</v>
      </c>
      <c r="I984" t="s">
        <v>1298</v>
      </c>
      <c r="J984" t="s">
        <v>1303</v>
      </c>
      <c r="K984" t="s">
        <v>1308</v>
      </c>
      <c r="L984" t="s">
        <v>1319</v>
      </c>
      <c r="M984">
        <v>1</v>
      </c>
      <c r="N984">
        <v>0.15</v>
      </c>
      <c r="O984">
        <v>3846.56</v>
      </c>
      <c r="P984">
        <v>167.4</v>
      </c>
      <c r="Q984" t="s">
        <v>1330</v>
      </c>
      <c r="R984" t="b">
        <f t="shared" si="46"/>
        <v>0</v>
      </c>
      <c r="S984" t="b">
        <f t="shared" si="47"/>
        <v>0</v>
      </c>
      <c r="T984" t="b">
        <f t="shared" si="48"/>
        <v>0</v>
      </c>
    </row>
    <row r="985" spans="1:20" x14ac:dyDescent="0.3">
      <c r="A985">
        <v>984</v>
      </c>
      <c r="B985" t="s">
        <v>1000</v>
      </c>
      <c r="C985" s="2">
        <v>45998</v>
      </c>
      <c r="D985" s="2">
        <v>46000</v>
      </c>
      <c r="E985" t="s">
        <v>1018</v>
      </c>
      <c r="F985" t="s">
        <v>1084</v>
      </c>
      <c r="G985" t="s">
        <v>1274</v>
      </c>
      <c r="H985" t="s">
        <v>1289</v>
      </c>
      <c r="I985" t="s">
        <v>1291</v>
      </c>
      <c r="J985" t="s">
        <v>1302</v>
      </c>
      <c r="K985" t="s">
        <v>1307</v>
      </c>
      <c r="L985" t="s">
        <v>1322</v>
      </c>
      <c r="M985">
        <v>1</v>
      </c>
      <c r="N985">
        <v>0.2</v>
      </c>
      <c r="O985">
        <v>541.64</v>
      </c>
      <c r="P985">
        <v>92.73</v>
      </c>
      <c r="Q985" t="s">
        <v>1331</v>
      </c>
      <c r="R985" t="b">
        <f t="shared" si="46"/>
        <v>0</v>
      </c>
      <c r="S985" t="b">
        <f t="shared" si="47"/>
        <v>0</v>
      </c>
      <c r="T985" t="b">
        <f t="shared" si="48"/>
        <v>0</v>
      </c>
    </row>
    <row r="986" spans="1:20" x14ac:dyDescent="0.3">
      <c r="A986">
        <v>985</v>
      </c>
      <c r="B986" t="s">
        <v>1001</v>
      </c>
      <c r="C986" s="2">
        <v>45732</v>
      </c>
      <c r="D986" s="2">
        <v>45737</v>
      </c>
      <c r="E986" t="s">
        <v>1017</v>
      </c>
      <c r="F986" t="s">
        <v>1050</v>
      </c>
      <c r="G986" t="s">
        <v>1276</v>
      </c>
      <c r="H986" t="s">
        <v>1287</v>
      </c>
      <c r="I986" t="s">
        <v>1295</v>
      </c>
      <c r="J986" t="s">
        <v>1305</v>
      </c>
      <c r="K986" t="s">
        <v>1306</v>
      </c>
      <c r="L986" t="s">
        <v>1321</v>
      </c>
      <c r="M986">
        <v>3</v>
      </c>
      <c r="N986">
        <v>0.15</v>
      </c>
      <c r="O986">
        <v>1158.4000000000001</v>
      </c>
      <c r="P986">
        <v>58.44</v>
      </c>
      <c r="Q986" t="s">
        <v>1330</v>
      </c>
      <c r="R986" t="b">
        <f t="shared" si="46"/>
        <v>0</v>
      </c>
      <c r="S986" t="b">
        <f t="shared" si="47"/>
        <v>0</v>
      </c>
      <c r="T986" t="b">
        <f t="shared" si="48"/>
        <v>0</v>
      </c>
    </row>
    <row r="987" spans="1:20" x14ac:dyDescent="0.3">
      <c r="A987">
        <v>986</v>
      </c>
      <c r="B987" t="s">
        <v>1002</v>
      </c>
      <c r="C987" s="2">
        <v>45921</v>
      </c>
      <c r="D987" s="2">
        <v>45922</v>
      </c>
      <c r="E987" t="s">
        <v>1018</v>
      </c>
      <c r="F987" t="s">
        <v>1245</v>
      </c>
      <c r="G987" t="s">
        <v>1280</v>
      </c>
      <c r="H987" t="s">
        <v>1287</v>
      </c>
      <c r="I987" t="s">
        <v>1301</v>
      </c>
      <c r="J987" t="s">
        <v>1303</v>
      </c>
      <c r="K987" t="s">
        <v>1308</v>
      </c>
      <c r="L987" t="s">
        <v>1326</v>
      </c>
      <c r="M987">
        <v>1</v>
      </c>
      <c r="N987">
        <v>0.05</v>
      </c>
      <c r="O987">
        <v>6392.43</v>
      </c>
      <c r="P987">
        <v>1566.38</v>
      </c>
      <c r="Q987" t="s">
        <v>1334</v>
      </c>
      <c r="R987" t="b">
        <f t="shared" si="46"/>
        <v>0</v>
      </c>
      <c r="S987" t="b">
        <f t="shared" si="47"/>
        <v>0</v>
      </c>
      <c r="T987" t="b">
        <f t="shared" si="48"/>
        <v>0</v>
      </c>
    </row>
    <row r="988" spans="1:20" x14ac:dyDescent="0.3">
      <c r="A988">
        <v>987</v>
      </c>
      <c r="B988" t="s">
        <v>1003</v>
      </c>
      <c r="C988" s="2">
        <v>45788</v>
      </c>
      <c r="D988" s="2">
        <v>45793</v>
      </c>
      <c r="E988" t="s">
        <v>1018</v>
      </c>
      <c r="F988" t="s">
        <v>1099</v>
      </c>
      <c r="G988" t="s">
        <v>1286</v>
      </c>
      <c r="H988" t="s">
        <v>1287</v>
      </c>
      <c r="I988" t="s">
        <v>1291</v>
      </c>
      <c r="J988" t="s">
        <v>1302</v>
      </c>
      <c r="K988" t="s">
        <v>1308</v>
      </c>
      <c r="L988" t="s">
        <v>1326</v>
      </c>
      <c r="M988">
        <v>3</v>
      </c>
      <c r="N988">
        <v>0</v>
      </c>
      <c r="O988">
        <v>20275.22</v>
      </c>
      <c r="P988">
        <v>3236.04</v>
      </c>
      <c r="Q988" t="s">
        <v>1333</v>
      </c>
      <c r="R988" t="b">
        <f t="shared" si="46"/>
        <v>0</v>
      </c>
      <c r="S988" t="b">
        <f t="shared" si="47"/>
        <v>0</v>
      </c>
      <c r="T988" t="b">
        <f t="shared" si="48"/>
        <v>0</v>
      </c>
    </row>
    <row r="989" spans="1:20" x14ac:dyDescent="0.3">
      <c r="A989">
        <v>988</v>
      </c>
      <c r="B989" t="s">
        <v>1004</v>
      </c>
      <c r="C989" s="2">
        <v>45704</v>
      </c>
      <c r="D989" s="2">
        <v>45706</v>
      </c>
      <c r="E989" t="s">
        <v>1017</v>
      </c>
      <c r="F989" t="s">
        <v>1153</v>
      </c>
      <c r="G989" t="s">
        <v>1267</v>
      </c>
      <c r="H989" t="s">
        <v>1287</v>
      </c>
      <c r="I989" t="s">
        <v>1300</v>
      </c>
      <c r="J989" t="s">
        <v>1305</v>
      </c>
      <c r="K989" t="s">
        <v>1309</v>
      </c>
      <c r="L989" t="s">
        <v>1329</v>
      </c>
      <c r="M989">
        <v>1</v>
      </c>
      <c r="N989">
        <v>0</v>
      </c>
      <c r="O989">
        <v>1963.29</v>
      </c>
      <c r="P989">
        <v>564.21</v>
      </c>
      <c r="Q989" t="s">
        <v>1334</v>
      </c>
      <c r="R989" t="b">
        <f t="shared" si="46"/>
        <v>0</v>
      </c>
      <c r="S989" t="b">
        <f t="shared" si="47"/>
        <v>0</v>
      </c>
      <c r="T989" t="b">
        <f t="shared" si="48"/>
        <v>0</v>
      </c>
    </row>
    <row r="990" spans="1:20" x14ac:dyDescent="0.3">
      <c r="A990">
        <v>989</v>
      </c>
      <c r="B990" t="s">
        <v>1005</v>
      </c>
      <c r="C990" s="2">
        <v>45695</v>
      </c>
      <c r="D990" s="2">
        <v>45696</v>
      </c>
      <c r="E990" t="s">
        <v>1017</v>
      </c>
      <c r="F990" t="s">
        <v>1154</v>
      </c>
      <c r="G990" t="s">
        <v>1277</v>
      </c>
      <c r="H990" t="s">
        <v>1287</v>
      </c>
      <c r="I990" t="s">
        <v>1297</v>
      </c>
      <c r="J990" t="s">
        <v>1304</v>
      </c>
      <c r="K990" t="s">
        <v>1308</v>
      </c>
      <c r="L990" t="s">
        <v>1327</v>
      </c>
      <c r="M990">
        <v>2</v>
      </c>
      <c r="N990">
        <v>0.05</v>
      </c>
      <c r="O990">
        <v>3474.29</v>
      </c>
      <c r="P990">
        <v>753.38</v>
      </c>
      <c r="Q990" t="s">
        <v>1331</v>
      </c>
      <c r="R990" t="b">
        <f t="shared" si="46"/>
        <v>0</v>
      </c>
      <c r="S990" t="b">
        <f t="shared" si="47"/>
        <v>0</v>
      </c>
      <c r="T990" t="b">
        <f t="shared" si="48"/>
        <v>0</v>
      </c>
    </row>
    <row r="991" spans="1:20" x14ac:dyDescent="0.3">
      <c r="A991">
        <v>990</v>
      </c>
      <c r="B991" t="s">
        <v>1006</v>
      </c>
      <c r="C991" s="2">
        <v>45932</v>
      </c>
      <c r="D991" s="2">
        <v>45933</v>
      </c>
      <c r="E991" t="s">
        <v>1017</v>
      </c>
      <c r="F991" t="s">
        <v>1026</v>
      </c>
      <c r="G991" t="s">
        <v>1273</v>
      </c>
      <c r="H991" t="s">
        <v>1288</v>
      </c>
      <c r="I991" t="s">
        <v>1298</v>
      </c>
      <c r="J991" t="s">
        <v>1303</v>
      </c>
      <c r="K991" t="s">
        <v>1307</v>
      </c>
      <c r="L991" t="s">
        <v>1322</v>
      </c>
      <c r="M991">
        <v>2</v>
      </c>
      <c r="N991">
        <v>0</v>
      </c>
      <c r="O991">
        <v>1426.36</v>
      </c>
      <c r="P991">
        <v>387.91</v>
      </c>
      <c r="Q991" t="s">
        <v>1331</v>
      </c>
      <c r="R991" t="b">
        <f t="shared" si="46"/>
        <v>0</v>
      </c>
      <c r="S991" t="b">
        <f t="shared" si="47"/>
        <v>0</v>
      </c>
      <c r="T991" t="b">
        <f t="shared" si="48"/>
        <v>0</v>
      </c>
    </row>
    <row r="992" spans="1:20" x14ac:dyDescent="0.3">
      <c r="A992">
        <v>991</v>
      </c>
      <c r="B992" t="s">
        <v>1007</v>
      </c>
      <c r="C992" s="2">
        <v>45822</v>
      </c>
      <c r="D992" s="2">
        <v>45827</v>
      </c>
      <c r="E992" t="s">
        <v>1017</v>
      </c>
      <c r="F992" t="s">
        <v>1039</v>
      </c>
      <c r="G992" t="s">
        <v>1280</v>
      </c>
      <c r="H992" t="s">
        <v>1287</v>
      </c>
      <c r="I992" t="s">
        <v>1291</v>
      </c>
      <c r="J992" t="s">
        <v>1302</v>
      </c>
      <c r="K992" t="s">
        <v>1307</v>
      </c>
      <c r="L992" t="s">
        <v>1316</v>
      </c>
      <c r="M992">
        <v>4</v>
      </c>
      <c r="N992">
        <v>0.2</v>
      </c>
      <c r="O992">
        <v>1563.72</v>
      </c>
      <c r="P992">
        <v>54.94</v>
      </c>
      <c r="Q992" t="s">
        <v>1332</v>
      </c>
      <c r="R992" t="b">
        <f t="shared" si="46"/>
        <v>0</v>
      </c>
      <c r="S992" t="b">
        <f t="shared" si="47"/>
        <v>0</v>
      </c>
      <c r="T992" t="b">
        <f t="shared" si="48"/>
        <v>0</v>
      </c>
    </row>
    <row r="993" spans="1:20" x14ac:dyDescent="0.3">
      <c r="A993">
        <v>992</v>
      </c>
      <c r="B993" t="s">
        <v>1008</v>
      </c>
      <c r="C993" s="2">
        <v>45773</v>
      </c>
      <c r="D993" s="2">
        <v>45774</v>
      </c>
      <c r="E993" t="s">
        <v>1019</v>
      </c>
      <c r="F993" t="s">
        <v>1264</v>
      </c>
      <c r="G993" t="s">
        <v>1279</v>
      </c>
      <c r="H993" t="s">
        <v>1287</v>
      </c>
      <c r="I993" t="s">
        <v>1294</v>
      </c>
      <c r="J993" t="s">
        <v>1305</v>
      </c>
      <c r="K993" t="s">
        <v>1309</v>
      </c>
      <c r="L993" t="s">
        <v>1320</v>
      </c>
      <c r="M993">
        <v>2</v>
      </c>
      <c r="N993">
        <v>0.05</v>
      </c>
      <c r="O993">
        <v>2304.73</v>
      </c>
      <c r="P993">
        <v>573.85</v>
      </c>
      <c r="Q993" t="s">
        <v>1331</v>
      </c>
      <c r="R993" t="b">
        <f t="shared" si="46"/>
        <v>0</v>
      </c>
      <c r="S993" t="b">
        <f t="shared" si="47"/>
        <v>0</v>
      </c>
      <c r="T993" t="b">
        <f t="shared" si="48"/>
        <v>0</v>
      </c>
    </row>
    <row r="994" spans="1:20" x14ac:dyDescent="0.3">
      <c r="A994">
        <v>993</v>
      </c>
      <c r="B994" t="s">
        <v>1009</v>
      </c>
      <c r="C994" s="2">
        <v>45736</v>
      </c>
      <c r="D994" s="2">
        <v>45737</v>
      </c>
      <c r="E994" t="s">
        <v>1017</v>
      </c>
      <c r="F994" t="s">
        <v>1141</v>
      </c>
      <c r="G994" t="s">
        <v>1268</v>
      </c>
      <c r="H994" t="s">
        <v>1287</v>
      </c>
      <c r="I994" t="s">
        <v>1299</v>
      </c>
      <c r="J994" t="s">
        <v>1304</v>
      </c>
      <c r="K994" t="s">
        <v>1309</v>
      </c>
      <c r="L994" t="s">
        <v>1325</v>
      </c>
      <c r="M994">
        <v>2</v>
      </c>
      <c r="N994">
        <v>0.05</v>
      </c>
      <c r="O994">
        <v>2459.89</v>
      </c>
      <c r="P994">
        <v>797.02</v>
      </c>
      <c r="Q994" t="s">
        <v>1331</v>
      </c>
      <c r="R994" t="b">
        <f t="shared" si="46"/>
        <v>0</v>
      </c>
      <c r="S994" t="b">
        <f t="shared" si="47"/>
        <v>0</v>
      </c>
      <c r="T994" t="b">
        <f t="shared" si="48"/>
        <v>0</v>
      </c>
    </row>
    <row r="995" spans="1:20" x14ac:dyDescent="0.3">
      <c r="A995">
        <v>994</v>
      </c>
      <c r="B995" t="s">
        <v>1010</v>
      </c>
      <c r="C995" s="2">
        <v>46002</v>
      </c>
      <c r="D995" s="2">
        <v>46007</v>
      </c>
      <c r="E995" t="s">
        <v>1018</v>
      </c>
      <c r="F995" t="s">
        <v>1101</v>
      </c>
      <c r="G995" t="s">
        <v>1275</v>
      </c>
      <c r="H995" t="s">
        <v>1288</v>
      </c>
      <c r="I995" t="s">
        <v>1291</v>
      </c>
      <c r="J995" t="s">
        <v>1302</v>
      </c>
      <c r="K995" t="s">
        <v>1308</v>
      </c>
      <c r="L995" t="s">
        <v>1318</v>
      </c>
      <c r="M995">
        <v>1</v>
      </c>
      <c r="N995">
        <v>0</v>
      </c>
      <c r="O995">
        <v>5242.1499999999996</v>
      </c>
      <c r="P995">
        <v>1167.23</v>
      </c>
      <c r="Q995" t="s">
        <v>1331</v>
      </c>
      <c r="R995" t="b">
        <f t="shared" si="46"/>
        <v>0</v>
      </c>
      <c r="S995" t="b">
        <f t="shared" si="47"/>
        <v>0</v>
      </c>
      <c r="T995" t="b">
        <f t="shared" si="48"/>
        <v>0</v>
      </c>
    </row>
    <row r="996" spans="1:20" x14ac:dyDescent="0.3">
      <c r="A996">
        <v>995</v>
      </c>
      <c r="B996" t="s">
        <v>1011</v>
      </c>
      <c r="C996" s="2">
        <v>45663</v>
      </c>
      <c r="D996" s="2">
        <v>45664</v>
      </c>
      <c r="E996" t="s">
        <v>1019</v>
      </c>
      <c r="F996" t="s">
        <v>1089</v>
      </c>
      <c r="G996" t="s">
        <v>1267</v>
      </c>
      <c r="H996" t="s">
        <v>1288</v>
      </c>
      <c r="I996" t="s">
        <v>1294</v>
      </c>
      <c r="J996" t="s">
        <v>1305</v>
      </c>
      <c r="K996" t="s">
        <v>1307</v>
      </c>
      <c r="L996" t="s">
        <v>1316</v>
      </c>
      <c r="M996">
        <v>1</v>
      </c>
      <c r="N996">
        <v>0</v>
      </c>
      <c r="O996">
        <v>479.26</v>
      </c>
      <c r="P996">
        <v>148.97999999999999</v>
      </c>
      <c r="Q996" t="s">
        <v>1332</v>
      </c>
      <c r="R996" t="b">
        <f t="shared" si="46"/>
        <v>0</v>
      </c>
      <c r="S996" t="b">
        <f t="shared" si="47"/>
        <v>0</v>
      </c>
      <c r="T996" t="b">
        <f t="shared" si="48"/>
        <v>0</v>
      </c>
    </row>
    <row r="997" spans="1:20" x14ac:dyDescent="0.3">
      <c r="A997">
        <v>996</v>
      </c>
      <c r="B997" t="s">
        <v>1012</v>
      </c>
      <c r="C997" s="2">
        <v>45872</v>
      </c>
      <c r="D997" s="2">
        <v>45876</v>
      </c>
      <c r="E997" t="s">
        <v>1017</v>
      </c>
      <c r="F997" t="s">
        <v>1261</v>
      </c>
      <c r="G997" t="s">
        <v>1276</v>
      </c>
      <c r="H997" t="s">
        <v>1288</v>
      </c>
      <c r="I997" t="s">
        <v>1301</v>
      </c>
      <c r="J997" t="s">
        <v>1303</v>
      </c>
      <c r="K997" t="s">
        <v>1306</v>
      </c>
      <c r="L997" t="s">
        <v>1323</v>
      </c>
      <c r="M997">
        <v>1</v>
      </c>
      <c r="N997">
        <v>0.1</v>
      </c>
      <c r="O997">
        <v>169.94</v>
      </c>
      <c r="P997">
        <v>35.56</v>
      </c>
      <c r="Q997" t="s">
        <v>1331</v>
      </c>
      <c r="R997" t="b">
        <f t="shared" si="46"/>
        <v>0</v>
      </c>
      <c r="S997" t="b">
        <f t="shared" si="47"/>
        <v>0</v>
      </c>
      <c r="T997" t="b">
        <f t="shared" si="48"/>
        <v>0</v>
      </c>
    </row>
    <row r="998" spans="1:20" x14ac:dyDescent="0.3">
      <c r="A998">
        <v>997</v>
      </c>
      <c r="B998" t="s">
        <v>1013</v>
      </c>
      <c r="C998" s="2">
        <v>45683</v>
      </c>
      <c r="D998" s="2">
        <v>45685</v>
      </c>
      <c r="E998" t="s">
        <v>1017</v>
      </c>
      <c r="F998" t="s">
        <v>1023</v>
      </c>
      <c r="G998" t="s">
        <v>1284</v>
      </c>
      <c r="H998" t="s">
        <v>1288</v>
      </c>
      <c r="I998" t="s">
        <v>1293</v>
      </c>
      <c r="J998" t="s">
        <v>1304</v>
      </c>
      <c r="K998" t="s">
        <v>1309</v>
      </c>
      <c r="L998" t="s">
        <v>1325</v>
      </c>
      <c r="M998">
        <v>2</v>
      </c>
      <c r="N998">
        <v>0.1</v>
      </c>
      <c r="O998">
        <v>2417.17</v>
      </c>
      <c r="P998">
        <v>307.20999999999998</v>
      </c>
      <c r="Q998" t="s">
        <v>1332</v>
      </c>
      <c r="R998" t="b">
        <f t="shared" si="46"/>
        <v>0</v>
      </c>
      <c r="S998" t="b">
        <f t="shared" si="47"/>
        <v>0</v>
      </c>
      <c r="T998" t="b">
        <f t="shared" si="48"/>
        <v>0</v>
      </c>
    </row>
    <row r="999" spans="1:20" x14ac:dyDescent="0.3">
      <c r="A999">
        <v>998</v>
      </c>
      <c r="B999" t="s">
        <v>1014</v>
      </c>
      <c r="C999" s="2">
        <v>45824</v>
      </c>
      <c r="D999" s="2">
        <v>45828</v>
      </c>
      <c r="E999" t="s">
        <v>1017</v>
      </c>
      <c r="F999" t="s">
        <v>1220</v>
      </c>
      <c r="G999" t="s">
        <v>1284</v>
      </c>
      <c r="H999" t="s">
        <v>1287</v>
      </c>
      <c r="I999" t="s">
        <v>1293</v>
      </c>
      <c r="J999" t="s">
        <v>1304</v>
      </c>
      <c r="K999" t="s">
        <v>1308</v>
      </c>
      <c r="L999" t="s">
        <v>1319</v>
      </c>
      <c r="M999">
        <v>5</v>
      </c>
      <c r="N999">
        <v>0</v>
      </c>
      <c r="O999">
        <v>23604.62</v>
      </c>
      <c r="P999">
        <v>5834.03</v>
      </c>
      <c r="Q999" t="s">
        <v>1333</v>
      </c>
      <c r="R999" t="b">
        <f t="shared" si="46"/>
        <v>0</v>
      </c>
      <c r="S999" t="b">
        <f t="shared" si="47"/>
        <v>0</v>
      </c>
      <c r="T999" t="b">
        <f t="shared" si="48"/>
        <v>0</v>
      </c>
    </row>
    <row r="1000" spans="1:20" x14ac:dyDescent="0.3">
      <c r="A1000">
        <v>999</v>
      </c>
      <c r="B1000" t="s">
        <v>1015</v>
      </c>
      <c r="C1000" s="2">
        <v>45672</v>
      </c>
      <c r="D1000" s="2">
        <v>45673</v>
      </c>
      <c r="E1000" t="s">
        <v>1019</v>
      </c>
      <c r="F1000" t="s">
        <v>1138</v>
      </c>
      <c r="G1000" t="s">
        <v>1268</v>
      </c>
      <c r="H1000" t="s">
        <v>1287</v>
      </c>
      <c r="I1000" t="s">
        <v>1295</v>
      </c>
      <c r="J1000" t="s">
        <v>1305</v>
      </c>
      <c r="K1000" t="s">
        <v>1306</v>
      </c>
      <c r="L1000" t="s">
        <v>1310</v>
      </c>
      <c r="M1000">
        <v>1</v>
      </c>
      <c r="N1000">
        <v>0.25</v>
      </c>
      <c r="O1000">
        <v>487.31</v>
      </c>
      <c r="P1000">
        <v>28.29</v>
      </c>
      <c r="Q1000" t="s">
        <v>1331</v>
      </c>
      <c r="R1000" t="b">
        <f t="shared" si="46"/>
        <v>0</v>
      </c>
      <c r="S1000" t="b">
        <f t="shared" si="47"/>
        <v>0</v>
      </c>
      <c r="T1000" t="b">
        <f t="shared" si="48"/>
        <v>0</v>
      </c>
    </row>
    <row r="1001" spans="1:20" x14ac:dyDescent="0.3">
      <c r="A1001">
        <v>1000</v>
      </c>
      <c r="B1001" t="s">
        <v>1016</v>
      </c>
      <c r="C1001" s="2">
        <v>46009</v>
      </c>
      <c r="D1001" s="2">
        <v>46013</v>
      </c>
      <c r="E1001" t="s">
        <v>1018</v>
      </c>
      <c r="F1001" t="s">
        <v>1253</v>
      </c>
      <c r="G1001" t="s">
        <v>1284</v>
      </c>
      <c r="H1001" t="s">
        <v>1287</v>
      </c>
      <c r="I1001" t="s">
        <v>1293</v>
      </c>
      <c r="J1001" t="s">
        <v>1304</v>
      </c>
      <c r="K1001" t="s">
        <v>1306</v>
      </c>
      <c r="L1001" t="s">
        <v>1324</v>
      </c>
      <c r="M1001">
        <v>4</v>
      </c>
      <c r="N1001">
        <v>0.05</v>
      </c>
      <c r="O1001">
        <v>347.8</v>
      </c>
      <c r="P1001">
        <v>123.37</v>
      </c>
      <c r="Q1001" t="s">
        <v>1332</v>
      </c>
      <c r="R1001" t="b">
        <f t="shared" si="46"/>
        <v>0</v>
      </c>
      <c r="S1001" t="b">
        <f t="shared" si="47"/>
        <v>0</v>
      </c>
      <c r="T1001" t="b">
        <f t="shared" si="48"/>
        <v>0</v>
      </c>
    </row>
    <row r="1002" spans="1:20" x14ac:dyDescent="0.3">
      <c r="A1002">
        <v>51</v>
      </c>
      <c r="B1002" t="s">
        <v>67</v>
      </c>
      <c r="C1002" s="2">
        <v>45664</v>
      </c>
      <c r="D1002" s="2">
        <v>45667</v>
      </c>
      <c r="E1002" t="s">
        <v>1017</v>
      </c>
      <c r="F1002" t="s">
        <v>1065</v>
      </c>
      <c r="G1002" t="s">
        <v>1269</v>
      </c>
      <c r="H1002" t="s">
        <v>1287</v>
      </c>
      <c r="I1002" t="s">
        <v>1295</v>
      </c>
      <c r="J1002" t="s">
        <v>1305</v>
      </c>
      <c r="K1002" t="s">
        <v>1306</v>
      </c>
      <c r="L1002" t="s">
        <v>1310</v>
      </c>
      <c r="M1002">
        <v>1</v>
      </c>
      <c r="N1002">
        <v>0.05</v>
      </c>
      <c r="O1002">
        <v>641.9</v>
      </c>
      <c r="P1002">
        <v>172.38</v>
      </c>
      <c r="Q1002" t="s">
        <v>1333</v>
      </c>
      <c r="R1002" t="b">
        <f t="shared" si="46"/>
        <v>0</v>
      </c>
      <c r="S1002" t="b">
        <f t="shared" si="47"/>
        <v>0</v>
      </c>
      <c r="T1002" t="b">
        <f t="shared" si="48"/>
        <v>0</v>
      </c>
    </row>
    <row r="1003" spans="1:20" x14ac:dyDescent="0.3">
      <c r="A1003">
        <v>301</v>
      </c>
      <c r="B1003" t="s">
        <v>317</v>
      </c>
      <c r="C1003" s="2">
        <v>45953</v>
      </c>
      <c r="D1003" s="2">
        <v>45954</v>
      </c>
      <c r="E1003" t="s">
        <v>1017</v>
      </c>
      <c r="F1003" t="s">
        <v>1174</v>
      </c>
      <c r="G1003" t="s">
        <v>1286</v>
      </c>
      <c r="H1003" t="s">
        <v>1287</v>
      </c>
      <c r="I1003" t="s">
        <v>1291</v>
      </c>
      <c r="J1003" t="s">
        <v>1302</v>
      </c>
      <c r="K1003" t="s">
        <v>1309</v>
      </c>
      <c r="L1003" t="s">
        <v>1329</v>
      </c>
      <c r="M1003">
        <v>1</v>
      </c>
      <c r="N1003">
        <v>0.05</v>
      </c>
      <c r="O1003">
        <v>1882.61</v>
      </c>
      <c r="P1003">
        <v>634.69000000000005</v>
      </c>
      <c r="Q1003" t="s">
        <v>1331</v>
      </c>
      <c r="R1003" t="b">
        <f t="shared" si="46"/>
        <v>0</v>
      </c>
      <c r="S1003" t="b">
        <f t="shared" si="47"/>
        <v>0</v>
      </c>
      <c r="T1003" t="b">
        <f t="shared" si="48"/>
        <v>0</v>
      </c>
    </row>
    <row r="1004" spans="1:20" x14ac:dyDescent="0.3">
      <c r="A1004">
        <f t="shared" ref="A1004:F1004" si="49">COUNTBLANK(A2:A1003)</f>
        <v>0</v>
      </c>
      <c r="B1004">
        <f t="shared" si="49"/>
        <v>0</v>
      </c>
      <c r="C1004">
        <f t="shared" si="49"/>
        <v>0</v>
      </c>
      <c r="D1004">
        <f t="shared" si="49"/>
        <v>0</v>
      </c>
      <c r="E1004">
        <f t="shared" si="49"/>
        <v>0</v>
      </c>
      <c r="F1004">
        <f t="shared" si="49"/>
        <v>0</v>
      </c>
      <c r="G1004">
        <f>COUNTBLANK(G2:G1003)</f>
        <v>1</v>
      </c>
      <c r="H1004">
        <f t="shared" ref="H1004:Q1004" si="50">COUNTBLANK(H2:H1003)</f>
        <v>0</v>
      </c>
      <c r="I1004">
        <f t="shared" si="50"/>
        <v>0</v>
      </c>
      <c r="J1004">
        <f t="shared" si="50"/>
        <v>0</v>
      </c>
      <c r="K1004">
        <f t="shared" si="50"/>
        <v>0</v>
      </c>
      <c r="L1004">
        <f t="shared" si="50"/>
        <v>0</v>
      </c>
      <c r="M1004">
        <f t="shared" si="50"/>
        <v>1</v>
      </c>
      <c r="N1004">
        <f t="shared" si="50"/>
        <v>0</v>
      </c>
      <c r="O1004">
        <f t="shared" si="50"/>
        <v>1</v>
      </c>
      <c r="P1004">
        <f t="shared" si="50"/>
        <v>0</v>
      </c>
      <c r="Q1004">
        <f t="shared" si="50"/>
        <v>1</v>
      </c>
    </row>
  </sheetData>
  <autoFilter ref="A1:Q1004" xr:uid="{00000000-0001-0000-0000-000000000000}"/>
  <conditionalFormatting sqref="A1:A1048576">
    <cfRule type="duplicateValues" dxfId="5" priority="1"/>
  </conditionalFormatting>
  <conditionalFormatting sqref="B1">
    <cfRule type="duplicateValues" dxfId="4" priority="3"/>
  </conditionalFormatting>
  <conditionalFormatting sqref="B1:B1048576"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7C81-55FA-4723-877E-CC3FBDAE5999}">
  <dimension ref="A1:B15"/>
  <sheetViews>
    <sheetView workbookViewId="0">
      <selection activeCell="A4" sqref="A4"/>
    </sheetView>
  </sheetViews>
  <sheetFormatPr defaultRowHeight="14.4" x14ac:dyDescent="0.3"/>
  <cols>
    <col min="1" max="1" width="40.109375" bestFit="1" customWidth="1"/>
    <col min="2" max="2" width="22.33203125" bestFit="1" customWidth="1"/>
    <col min="3" max="3" width="23.109375" bestFit="1" customWidth="1"/>
  </cols>
  <sheetData>
    <row r="1" spans="1:2" x14ac:dyDescent="0.3">
      <c r="A1" t="s">
        <v>1335</v>
      </c>
    </row>
    <row r="3" spans="1:2" x14ac:dyDescent="0.3">
      <c r="A3" t="s">
        <v>1336</v>
      </c>
    </row>
    <row r="4" spans="1:2" x14ac:dyDescent="0.3">
      <c r="A4" t="s">
        <v>1337</v>
      </c>
      <c r="B4" t="s">
        <v>1340</v>
      </c>
    </row>
    <row r="6" spans="1:2" x14ac:dyDescent="0.3">
      <c r="A6" t="s">
        <v>1338</v>
      </c>
    </row>
    <row r="7" spans="1:2" x14ac:dyDescent="0.3">
      <c r="A7" t="s">
        <v>1339</v>
      </c>
      <c r="B7">
        <v>1</v>
      </c>
    </row>
    <row r="8" spans="1:2" x14ac:dyDescent="0.3">
      <c r="A8" t="s">
        <v>12</v>
      </c>
      <c r="B8">
        <v>1</v>
      </c>
    </row>
    <row r="9" spans="1:2" x14ac:dyDescent="0.3">
      <c r="A9" t="s">
        <v>14</v>
      </c>
      <c r="B9">
        <v>1</v>
      </c>
    </row>
    <row r="10" spans="1:2" x14ac:dyDescent="0.3">
      <c r="A10" t="s">
        <v>1349</v>
      </c>
      <c r="B10">
        <v>1</v>
      </c>
    </row>
    <row r="12" spans="1:2" x14ac:dyDescent="0.3">
      <c r="A12" t="s">
        <v>1343</v>
      </c>
    </row>
    <row r="13" spans="1:2" x14ac:dyDescent="0.3">
      <c r="A13" t="s">
        <v>1346</v>
      </c>
      <c r="B13">
        <v>1</v>
      </c>
    </row>
    <row r="14" spans="1:2" x14ac:dyDescent="0.3">
      <c r="A14" t="s">
        <v>1347</v>
      </c>
      <c r="B14">
        <v>1</v>
      </c>
    </row>
    <row r="15" spans="1:2" x14ac:dyDescent="0.3">
      <c r="A15" t="s">
        <v>1345</v>
      </c>
      <c r="B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EF94-96C3-4738-9D60-01F1C53F494B}">
  <sheetPr filterMode="1"/>
  <dimension ref="A1:V1004"/>
  <sheetViews>
    <sheetView topLeftCell="A31" workbookViewId="0">
      <selection activeCell="D2" sqref="D2"/>
    </sheetView>
  </sheetViews>
  <sheetFormatPr defaultRowHeight="14.4" x14ac:dyDescent="0.3"/>
  <cols>
    <col min="1" max="1" width="11.88671875" bestFit="1" customWidth="1"/>
    <col min="2" max="2" width="14.109375" bestFit="1" customWidth="1"/>
    <col min="3" max="3" width="18.109375" bestFit="1" customWidth="1"/>
    <col min="4" max="4" width="18.109375" customWidth="1"/>
    <col min="5" max="5" width="18.109375" bestFit="1" customWidth="1"/>
    <col min="6" max="6" width="15.109375" bestFit="1" customWidth="1"/>
    <col min="7" max="7" width="16.33203125" bestFit="1" customWidth="1"/>
    <col min="8" max="8" width="19.6640625" bestFit="1" customWidth="1"/>
    <col min="9" max="9" width="12.88671875" bestFit="1" customWidth="1"/>
    <col min="10" max="10" width="12" bestFit="1" customWidth="1"/>
    <col min="11" max="11" width="11.21875" bestFit="1" customWidth="1"/>
    <col min="12" max="12" width="14.21875" bestFit="1" customWidth="1"/>
    <col min="13" max="13" width="16.109375" bestFit="1" customWidth="1"/>
    <col min="14" max="15" width="12.77734375" bestFit="1" customWidth="1"/>
    <col min="16" max="16" width="9.6640625" bestFit="1" customWidth="1"/>
    <col min="17" max="17" width="10.109375" bestFit="1" customWidth="1"/>
    <col min="18" max="18" width="19.109375" bestFit="1" customWidth="1"/>
    <col min="19" max="19" width="11" bestFit="1" customWidth="1"/>
    <col min="20" max="21" width="14.5546875" bestFit="1" customWidth="1"/>
    <col min="22" max="22" width="16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1363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1341</v>
      </c>
      <c r="T1" s="3" t="s">
        <v>1342</v>
      </c>
      <c r="U1" s="3" t="s">
        <v>1344</v>
      </c>
      <c r="V1" s="3" t="s">
        <v>1348</v>
      </c>
    </row>
    <row r="2" spans="1:22" x14ac:dyDescent="0.3">
      <c r="A2">
        <v>1</v>
      </c>
      <c r="B2" t="s">
        <v>17</v>
      </c>
      <c r="C2" s="2">
        <v>45779</v>
      </c>
      <c r="D2" s="2" t="str">
        <f>TEXT(C2,"mmm-yyyy")</f>
        <v>May-2025</v>
      </c>
      <c r="E2" s="2">
        <v>45782</v>
      </c>
      <c r="F2" t="s">
        <v>1017</v>
      </c>
      <c r="G2" t="s">
        <v>1020</v>
      </c>
      <c r="H2" t="s">
        <v>1267</v>
      </c>
      <c r="I2" t="s">
        <v>1287</v>
      </c>
      <c r="J2" t="s">
        <v>1290</v>
      </c>
      <c r="K2" t="s">
        <v>1302</v>
      </c>
      <c r="L2" t="s">
        <v>1306</v>
      </c>
      <c r="M2" t="s">
        <v>1310</v>
      </c>
      <c r="N2">
        <v>3</v>
      </c>
      <c r="O2">
        <v>0.1</v>
      </c>
      <c r="P2">
        <v>1684.8</v>
      </c>
      <c r="Q2">
        <v>296.69</v>
      </c>
      <c r="R2" t="s">
        <v>1330</v>
      </c>
      <c r="S2" t="b">
        <f t="shared" ref="S2:S65" si="0">E2&lt;C2</f>
        <v>0</v>
      </c>
      <c r="T2" t="b">
        <f t="shared" ref="T2:T65" si="1">N2&lt;=0</f>
        <v>0</v>
      </c>
      <c r="U2" t="b">
        <f t="shared" ref="U2:U65" si="2">OR(O2&lt;0,O2&gt;1)</f>
        <v>0</v>
      </c>
    </row>
    <row r="3" spans="1:22" x14ac:dyDescent="0.3">
      <c r="A3">
        <v>2</v>
      </c>
      <c r="B3" t="s">
        <v>18</v>
      </c>
      <c r="C3" s="2">
        <v>45679</v>
      </c>
      <c r="D3" s="2" t="str">
        <f t="shared" ref="D3:D66" si="3">TEXT(C3,"mmm-yyyy")</f>
        <v>Jan-2025</v>
      </c>
      <c r="E3" s="2">
        <v>45684</v>
      </c>
      <c r="F3" t="s">
        <v>1018</v>
      </c>
      <c r="G3" t="s">
        <v>1021</v>
      </c>
      <c r="H3" t="s">
        <v>1268</v>
      </c>
      <c r="I3" t="s">
        <v>1287</v>
      </c>
      <c r="J3" t="s">
        <v>1291</v>
      </c>
      <c r="K3" t="s">
        <v>1302</v>
      </c>
      <c r="L3" t="s">
        <v>1307</v>
      </c>
      <c r="M3" t="s">
        <v>1311</v>
      </c>
      <c r="N3">
        <v>1</v>
      </c>
      <c r="O3">
        <v>0.05</v>
      </c>
      <c r="P3">
        <v>282.12</v>
      </c>
      <c r="Q3">
        <v>79.319999999999993</v>
      </c>
      <c r="R3" t="s">
        <v>1331</v>
      </c>
      <c r="S3" t="b">
        <f t="shared" si="0"/>
        <v>0</v>
      </c>
      <c r="T3" t="b">
        <f t="shared" si="1"/>
        <v>0</v>
      </c>
      <c r="U3" t="b">
        <f t="shared" si="2"/>
        <v>0</v>
      </c>
    </row>
    <row r="4" spans="1:22" x14ac:dyDescent="0.3">
      <c r="A4">
        <v>3</v>
      </c>
      <c r="B4" t="s">
        <v>19</v>
      </c>
      <c r="C4" s="2">
        <v>45964</v>
      </c>
      <c r="D4" s="2" t="str">
        <f t="shared" si="3"/>
        <v>Nov-2025</v>
      </c>
      <c r="E4" s="2">
        <v>45969</v>
      </c>
      <c r="F4" t="s">
        <v>1019</v>
      </c>
      <c r="G4" t="s">
        <v>1022</v>
      </c>
      <c r="H4" t="s">
        <v>1269</v>
      </c>
      <c r="I4" t="s">
        <v>1287</v>
      </c>
      <c r="J4" t="s">
        <v>1292</v>
      </c>
      <c r="K4" t="s">
        <v>1303</v>
      </c>
      <c r="L4" t="s">
        <v>1308</v>
      </c>
      <c r="M4" t="s">
        <v>1312</v>
      </c>
      <c r="N4">
        <v>5</v>
      </c>
      <c r="O4">
        <v>0.1</v>
      </c>
      <c r="P4">
        <v>5816.56</v>
      </c>
      <c r="Q4">
        <v>1772.43</v>
      </c>
      <c r="R4" t="s">
        <v>1331</v>
      </c>
      <c r="S4" t="b">
        <f t="shared" si="0"/>
        <v>0</v>
      </c>
      <c r="T4" t="b">
        <f t="shared" si="1"/>
        <v>0</v>
      </c>
      <c r="U4" t="b">
        <f t="shared" si="2"/>
        <v>0</v>
      </c>
    </row>
    <row r="5" spans="1:22" x14ac:dyDescent="0.3">
      <c r="A5">
        <v>4</v>
      </c>
      <c r="B5" t="s">
        <v>20</v>
      </c>
      <c r="C5" s="2">
        <v>45692</v>
      </c>
      <c r="D5" s="2" t="str">
        <f t="shared" si="3"/>
        <v>Feb-2025</v>
      </c>
      <c r="E5" s="2">
        <v>45693</v>
      </c>
      <c r="F5" t="s">
        <v>1017</v>
      </c>
      <c r="G5" t="s">
        <v>1023</v>
      </c>
      <c r="H5" t="s">
        <v>1270</v>
      </c>
      <c r="I5" t="s">
        <v>1288</v>
      </c>
      <c r="J5" t="s">
        <v>1291</v>
      </c>
      <c r="K5" t="s">
        <v>1302</v>
      </c>
      <c r="L5" t="s">
        <v>1309</v>
      </c>
      <c r="M5" t="s">
        <v>1313</v>
      </c>
      <c r="N5">
        <v>1</v>
      </c>
      <c r="O5">
        <v>0.1</v>
      </c>
      <c r="P5">
        <v>1316.56</v>
      </c>
      <c r="Q5">
        <v>188.56</v>
      </c>
      <c r="R5" t="s">
        <v>1331</v>
      </c>
      <c r="S5" t="b">
        <f t="shared" si="0"/>
        <v>0</v>
      </c>
      <c r="T5" t="b">
        <f t="shared" si="1"/>
        <v>0</v>
      </c>
      <c r="U5" t="b">
        <f t="shared" si="2"/>
        <v>0</v>
      </c>
    </row>
    <row r="6" spans="1:22" x14ac:dyDescent="0.3">
      <c r="A6">
        <v>5</v>
      </c>
      <c r="B6" t="s">
        <v>21</v>
      </c>
      <c r="C6" s="2">
        <v>46008</v>
      </c>
      <c r="D6" s="2" t="str">
        <f t="shared" si="3"/>
        <v>Dec-2025</v>
      </c>
      <c r="E6" s="2">
        <v>46012</v>
      </c>
      <c r="F6" t="s">
        <v>1017</v>
      </c>
      <c r="G6" t="s">
        <v>1024</v>
      </c>
      <c r="H6" t="s">
        <v>1271</v>
      </c>
      <c r="I6" t="s">
        <v>1289</v>
      </c>
      <c r="J6" t="s">
        <v>1293</v>
      </c>
      <c r="K6" t="s">
        <v>1304</v>
      </c>
      <c r="L6" t="s">
        <v>1307</v>
      </c>
      <c r="M6" t="s">
        <v>1314</v>
      </c>
      <c r="N6">
        <v>2</v>
      </c>
      <c r="O6">
        <v>0.2</v>
      </c>
      <c r="P6">
        <v>1372.99</v>
      </c>
      <c r="Q6">
        <v>141.24</v>
      </c>
      <c r="R6" t="s">
        <v>1331</v>
      </c>
      <c r="S6" t="b">
        <f t="shared" si="0"/>
        <v>0</v>
      </c>
      <c r="T6" t="b">
        <f t="shared" si="1"/>
        <v>0</v>
      </c>
      <c r="U6" t="b">
        <f t="shared" si="2"/>
        <v>0</v>
      </c>
    </row>
    <row r="7" spans="1:22" x14ac:dyDescent="0.3">
      <c r="A7">
        <v>6</v>
      </c>
      <c r="B7" t="s">
        <v>22</v>
      </c>
      <c r="C7" s="2">
        <v>46002</v>
      </c>
      <c r="D7" s="2" t="str">
        <f t="shared" si="3"/>
        <v>Dec-2025</v>
      </c>
      <c r="E7" s="2">
        <v>46003</v>
      </c>
      <c r="F7" t="s">
        <v>1017</v>
      </c>
      <c r="G7" t="s">
        <v>1025</v>
      </c>
      <c r="H7" t="s">
        <v>1272</v>
      </c>
      <c r="I7" t="s">
        <v>1288</v>
      </c>
      <c r="J7" t="s">
        <v>1294</v>
      </c>
      <c r="K7" t="s">
        <v>1305</v>
      </c>
      <c r="L7" t="s">
        <v>1309</v>
      </c>
      <c r="M7" t="s">
        <v>1313</v>
      </c>
      <c r="N7">
        <v>1</v>
      </c>
      <c r="O7">
        <v>0</v>
      </c>
      <c r="P7">
        <v>1539.81</v>
      </c>
      <c r="Q7">
        <v>550.86</v>
      </c>
      <c r="R7" t="s">
        <v>1332</v>
      </c>
      <c r="S7" t="b">
        <f t="shared" si="0"/>
        <v>0</v>
      </c>
      <c r="T7" t="b">
        <f t="shared" si="1"/>
        <v>0</v>
      </c>
      <c r="U7" t="b">
        <f t="shared" si="2"/>
        <v>0</v>
      </c>
    </row>
    <row r="8" spans="1:22" x14ac:dyDescent="0.3">
      <c r="A8">
        <v>7</v>
      </c>
      <c r="B8" t="s">
        <v>23</v>
      </c>
      <c r="C8" s="2">
        <v>45792</v>
      </c>
      <c r="D8" s="2" t="str">
        <f t="shared" si="3"/>
        <v>May-2025</v>
      </c>
      <c r="E8" s="2">
        <v>45793</v>
      </c>
      <c r="F8" t="s">
        <v>1017</v>
      </c>
      <c r="G8" t="s">
        <v>1026</v>
      </c>
      <c r="H8" t="s">
        <v>1273</v>
      </c>
      <c r="I8" t="s">
        <v>1288</v>
      </c>
      <c r="J8" t="s">
        <v>1295</v>
      </c>
      <c r="K8" t="s">
        <v>1305</v>
      </c>
      <c r="L8" t="s">
        <v>1307</v>
      </c>
      <c r="M8" t="s">
        <v>1315</v>
      </c>
      <c r="N8">
        <v>2</v>
      </c>
      <c r="O8">
        <v>0</v>
      </c>
      <c r="P8">
        <v>3642.36</v>
      </c>
      <c r="Q8">
        <v>1173.49</v>
      </c>
      <c r="R8" t="s">
        <v>1332</v>
      </c>
      <c r="S8" t="b">
        <f t="shared" si="0"/>
        <v>0</v>
      </c>
      <c r="T8" t="b">
        <f t="shared" si="1"/>
        <v>0</v>
      </c>
      <c r="U8" t="b">
        <f t="shared" si="2"/>
        <v>0</v>
      </c>
    </row>
    <row r="9" spans="1:22" x14ac:dyDescent="0.3">
      <c r="A9">
        <v>8</v>
      </c>
      <c r="B9" t="s">
        <v>24</v>
      </c>
      <c r="C9" s="2">
        <v>45914</v>
      </c>
      <c r="D9" s="2" t="str">
        <f t="shared" si="3"/>
        <v>Sep-2025</v>
      </c>
      <c r="E9" s="2">
        <v>45919</v>
      </c>
      <c r="F9" t="s">
        <v>1017</v>
      </c>
      <c r="G9" t="s">
        <v>1027</v>
      </c>
      <c r="H9" t="s">
        <v>1271</v>
      </c>
      <c r="I9" t="s">
        <v>1287</v>
      </c>
      <c r="J9" t="s">
        <v>1296</v>
      </c>
      <c r="K9" t="s">
        <v>1304</v>
      </c>
      <c r="L9" t="s">
        <v>1307</v>
      </c>
      <c r="M9" t="s">
        <v>1316</v>
      </c>
      <c r="N9">
        <v>1</v>
      </c>
      <c r="O9">
        <v>0.15</v>
      </c>
      <c r="P9">
        <v>426.75</v>
      </c>
      <c r="Q9">
        <v>40.43</v>
      </c>
      <c r="R9" t="s">
        <v>1331</v>
      </c>
      <c r="S9" t="b">
        <f t="shared" si="0"/>
        <v>0</v>
      </c>
      <c r="T9" t="b">
        <f t="shared" si="1"/>
        <v>0</v>
      </c>
      <c r="U9" t="b">
        <f t="shared" si="2"/>
        <v>0</v>
      </c>
    </row>
    <row r="10" spans="1:22" x14ac:dyDescent="0.3">
      <c r="A10">
        <v>9</v>
      </c>
      <c r="B10" t="s">
        <v>25</v>
      </c>
      <c r="C10" s="2">
        <v>45888</v>
      </c>
      <c r="D10" s="2" t="str">
        <f t="shared" si="3"/>
        <v>Aug-2025</v>
      </c>
      <c r="E10" s="2">
        <v>45893</v>
      </c>
      <c r="F10" t="s">
        <v>1019</v>
      </c>
      <c r="G10" t="s">
        <v>1028</v>
      </c>
      <c r="H10" t="s">
        <v>1272</v>
      </c>
      <c r="I10" t="s">
        <v>1287</v>
      </c>
      <c r="J10" t="s">
        <v>1297</v>
      </c>
      <c r="K10" t="s">
        <v>1304</v>
      </c>
      <c r="L10" t="s">
        <v>1309</v>
      </c>
      <c r="M10" t="s">
        <v>1317</v>
      </c>
      <c r="N10">
        <v>2</v>
      </c>
      <c r="O10">
        <v>0.15</v>
      </c>
      <c r="P10">
        <v>1363.71</v>
      </c>
      <c r="Q10">
        <v>308.05</v>
      </c>
      <c r="R10" t="s">
        <v>1330</v>
      </c>
      <c r="S10" t="b">
        <f t="shared" si="0"/>
        <v>0</v>
      </c>
      <c r="T10" t="b">
        <f t="shared" si="1"/>
        <v>0</v>
      </c>
      <c r="U10" t="b">
        <f t="shared" si="2"/>
        <v>0</v>
      </c>
    </row>
    <row r="11" spans="1:22" x14ac:dyDescent="0.3">
      <c r="A11">
        <v>10</v>
      </c>
      <c r="B11" t="s">
        <v>26</v>
      </c>
      <c r="C11" s="2">
        <v>45701</v>
      </c>
      <c r="D11" s="2" t="str">
        <f t="shared" si="3"/>
        <v>Feb-2025</v>
      </c>
      <c r="E11" s="2">
        <v>45705</v>
      </c>
      <c r="F11" t="s">
        <v>1018</v>
      </c>
      <c r="G11" t="s">
        <v>1029</v>
      </c>
      <c r="H11" t="s">
        <v>1274</v>
      </c>
      <c r="I11" t="s">
        <v>1289</v>
      </c>
      <c r="J11" t="s">
        <v>1298</v>
      </c>
      <c r="K11" t="s">
        <v>1303</v>
      </c>
      <c r="L11" t="s">
        <v>1307</v>
      </c>
      <c r="M11" t="s">
        <v>1316</v>
      </c>
      <c r="N11">
        <v>4</v>
      </c>
      <c r="O11">
        <v>0.2</v>
      </c>
      <c r="P11">
        <v>1659.48</v>
      </c>
      <c r="Q11">
        <v>206.65</v>
      </c>
      <c r="R11" t="s">
        <v>1331</v>
      </c>
      <c r="S11" t="b">
        <f t="shared" si="0"/>
        <v>0</v>
      </c>
      <c r="T11" t="b">
        <f t="shared" si="1"/>
        <v>0</v>
      </c>
      <c r="U11" t="b">
        <f t="shared" si="2"/>
        <v>0</v>
      </c>
    </row>
    <row r="12" spans="1:22" x14ac:dyDescent="0.3">
      <c r="A12">
        <v>11</v>
      </c>
      <c r="B12" t="s">
        <v>27</v>
      </c>
      <c r="C12" s="2">
        <v>45855</v>
      </c>
      <c r="D12" s="2" t="str">
        <f t="shared" si="3"/>
        <v>Jul-2025</v>
      </c>
      <c r="E12" s="2">
        <v>45858</v>
      </c>
      <c r="F12" t="s">
        <v>1017</v>
      </c>
      <c r="G12" t="s">
        <v>1030</v>
      </c>
      <c r="H12" t="s">
        <v>1271</v>
      </c>
      <c r="I12" t="s">
        <v>1287</v>
      </c>
      <c r="J12" t="s">
        <v>1297</v>
      </c>
      <c r="K12" t="s">
        <v>1304</v>
      </c>
      <c r="L12" t="s">
        <v>1308</v>
      </c>
      <c r="M12" t="s">
        <v>1318</v>
      </c>
      <c r="N12">
        <v>2</v>
      </c>
      <c r="O12">
        <v>0.05</v>
      </c>
      <c r="P12">
        <v>10361.81</v>
      </c>
      <c r="Q12">
        <v>3054.5</v>
      </c>
      <c r="R12" t="s">
        <v>1331</v>
      </c>
      <c r="S12" t="b">
        <f t="shared" si="0"/>
        <v>0</v>
      </c>
      <c r="T12" t="b">
        <f t="shared" si="1"/>
        <v>0</v>
      </c>
      <c r="U12" t="b">
        <f t="shared" si="2"/>
        <v>0</v>
      </c>
    </row>
    <row r="13" spans="1:22" x14ac:dyDescent="0.3">
      <c r="A13">
        <v>12</v>
      </c>
      <c r="B13" t="s">
        <v>28</v>
      </c>
      <c r="C13" s="2">
        <v>45925</v>
      </c>
      <c r="D13" s="2" t="str">
        <f t="shared" si="3"/>
        <v>Sep-2025</v>
      </c>
      <c r="E13" s="2">
        <v>45927</v>
      </c>
      <c r="F13" t="s">
        <v>1019</v>
      </c>
      <c r="G13" t="s">
        <v>1031</v>
      </c>
      <c r="H13" t="s">
        <v>1275</v>
      </c>
      <c r="I13" t="s">
        <v>1289</v>
      </c>
      <c r="J13" t="s">
        <v>1299</v>
      </c>
      <c r="K13" t="s">
        <v>1304</v>
      </c>
      <c r="L13" t="s">
        <v>1308</v>
      </c>
      <c r="M13" t="s">
        <v>1312</v>
      </c>
      <c r="N13">
        <v>1</v>
      </c>
      <c r="O13">
        <v>0.05</v>
      </c>
      <c r="P13">
        <v>1260.25</v>
      </c>
      <c r="Q13">
        <v>416.4</v>
      </c>
      <c r="R13" t="s">
        <v>1333</v>
      </c>
      <c r="S13" t="b">
        <f t="shared" si="0"/>
        <v>0</v>
      </c>
      <c r="T13" t="b">
        <f t="shared" si="1"/>
        <v>0</v>
      </c>
      <c r="U13" t="b">
        <f t="shared" si="2"/>
        <v>0</v>
      </c>
    </row>
    <row r="14" spans="1:22" x14ac:dyDescent="0.3">
      <c r="A14">
        <v>13</v>
      </c>
      <c r="B14" t="s">
        <v>29</v>
      </c>
      <c r="C14" s="2">
        <v>45829</v>
      </c>
      <c r="D14" s="2" t="str">
        <f t="shared" si="3"/>
        <v>Jun-2025</v>
      </c>
      <c r="E14" s="2">
        <v>45831</v>
      </c>
      <c r="F14" t="s">
        <v>1018</v>
      </c>
      <c r="G14" t="s">
        <v>1032</v>
      </c>
      <c r="H14" t="s">
        <v>1275</v>
      </c>
      <c r="I14" t="s">
        <v>1288</v>
      </c>
      <c r="J14" t="s">
        <v>1299</v>
      </c>
      <c r="K14" t="s">
        <v>1304</v>
      </c>
      <c r="L14" t="s">
        <v>1309</v>
      </c>
      <c r="M14" t="s">
        <v>1317</v>
      </c>
      <c r="N14">
        <v>1</v>
      </c>
      <c r="O14">
        <v>0</v>
      </c>
      <c r="P14">
        <v>837.8</v>
      </c>
      <c r="Q14">
        <v>303.74</v>
      </c>
      <c r="R14" t="s">
        <v>1331</v>
      </c>
      <c r="S14" t="b">
        <f t="shared" si="0"/>
        <v>0</v>
      </c>
      <c r="T14" t="b">
        <f t="shared" si="1"/>
        <v>0</v>
      </c>
      <c r="U14" t="b">
        <f t="shared" si="2"/>
        <v>0</v>
      </c>
    </row>
    <row r="15" spans="1:22" x14ac:dyDescent="0.3">
      <c r="A15">
        <v>14</v>
      </c>
      <c r="B15" t="s">
        <v>30</v>
      </c>
      <c r="C15" s="2">
        <v>46006</v>
      </c>
      <c r="D15" s="2" t="str">
        <f t="shared" si="3"/>
        <v>Dec-2025</v>
      </c>
      <c r="E15" s="2">
        <v>46009</v>
      </c>
      <c r="F15" t="s">
        <v>1017</v>
      </c>
      <c r="G15" t="s">
        <v>1033</v>
      </c>
      <c r="H15" t="s">
        <v>1272</v>
      </c>
      <c r="I15" t="s">
        <v>1287</v>
      </c>
      <c r="J15" t="s">
        <v>1299</v>
      </c>
      <c r="K15" t="s">
        <v>1304</v>
      </c>
      <c r="L15" t="s">
        <v>1308</v>
      </c>
      <c r="M15" t="s">
        <v>1319</v>
      </c>
      <c r="N15">
        <v>1</v>
      </c>
      <c r="O15">
        <v>0.1</v>
      </c>
      <c r="P15">
        <v>4176.72</v>
      </c>
      <c r="Q15">
        <v>702.12</v>
      </c>
      <c r="R15" t="s">
        <v>1331</v>
      </c>
      <c r="S15" t="b">
        <f t="shared" si="0"/>
        <v>0</v>
      </c>
      <c r="T15" t="b">
        <f t="shared" si="1"/>
        <v>0</v>
      </c>
      <c r="U15" t="b">
        <f t="shared" si="2"/>
        <v>0</v>
      </c>
    </row>
    <row r="16" spans="1:22" x14ac:dyDescent="0.3">
      <c r="A16">
        <v>15</v>
      </c>
      <c r="B16" t="s">
        <v>31</v>
      </c>
      <c r="C16" s="2">
        <v>45808</v>
      </c>
      <c r="D16" s="2" t="str">
        <f t="shared" si="3"/>
        <v>May-2025</v>
      </c>
      <c r="E16" s="2">
        <v>45810</v>
      </c>
      <c r="F16" t="s">
        <v>1018</v>
      </c>
      <c r="G16" t="s">
        <v>1034</v>
      </c>
      <c r="H16" t="s">
        <v>1276</v>
      </c>
      <c r="I16" t="s">
        <v>1287</v>
      </c>
      <c r="J16" t="s">
        <v>1300</v>
      </c>
      <c r="K16" t="s">
        <v>1305</v>
      </c>
      <c r="L16" t="s">
        <v>1307</v>
      </c>
      <c r="M16" t="s">
        <v>1311</v>
      </c>
      <c r="N16">
        <v>1</v>
      </c>
      <c r="O16">
        <v>0.05</v>
      </c>
      <c r="P16">
        <v>277.17</v>
      </c>
      <c r="Q16">
        <v>52.32</v>
      </c>
      <c r="R16" t="s">
        <v>1331</v>
      </c>
      <c r="S16" t="b">
        <f t="shared" si="0"/>
        <v>0</v>
      </c>
      <c r="T16" t="b">
        <f t="shared" si="1"/>
        <v>0</v>
      </c>
      <c r="U16" t="b">
        <f t="shared" si="2"/>
        <v>0</v>
      </c>
    </row>
    <row r="17" spans="1:21" x14ac:dyDescent="0.3">
      <c r="A17">
        <v>16</v>
      </c>
      <c r="B17" t="s">
        <v>32</v>
      </c>
      <c r="C17" s="2">
        <v>45666</v>
      </c>
      <c r="D17" s="2" t="str">
        <f t="shared" si="3"/>
        <v>Jan-2025</v>
      </c>
      <c r="E17" s="2">
        <v>45667</v>
      </c>
      <c r="F17" t="s">
        <v>1018</v>
      </c>
      <c r="G17" t="s">
        <v>1035</v>
      </c>
      <c r="H17" t="s">
        <v>1277</v>
      </c>
      <c r="I17" t="s">
        <v>1288</v>
      </c>
      <c r="J17" t="s">
        <v>1298</v>
      </c>
      <c r="K17" t="s">
        <v>1303</v>
      </c>
      <c r="L17" t="s">
        <v>1309</v>
      </c>
      <c r="M17" t="s">
        <v>1313</v>
      </c>
      <c r="N17">
        <v>4</v>
      </c>
      <c r="O17">
        <v>0.1</v>
      </c>
      <c r="P17">
        <v>5315.03</v>
      </c>
      <c r="Q17">
        <v>726.94</v>
      </c>
      <c r="R17" t="s">
        <v>1331</v>
      </c>
      <c r="S17" t="b">
        <f t="shared" si="0"/>
        <v>0</v>
      </c>
      <c r="T17" t="b">
        <f t="shared" si="1"/>
        <v>0</v>
      </c>
      <c r="U17" t="b">
        <f t="shared" si="2"/>
        <v>0</v>
      </c>
    </row>
    <row r="18" spans="1:21" x14ac:dyDescent="0.3">
      <c r="A18">
        <v>17</v>
      </c>
      <c r="B18" t="s">
        <v>33</v>
      </c>
      <c r="C18" s="2">
        <v>45810</v>
      </c>
      <c r="D18" s="2" t="str">
        <f t="shared" si="3"/>
        <v>Jun-2025</v>
      </c>
      <c r="E18" s="2">
        <v>45815</v>
      </c>
      <c r="F18" t="s">
        <v>1017</v>
      </c>
      <c r="G18" t="s">
        <v>1036</v>
      </c>
      <c r="H18" t="s">
        <v>1268</v>
      </c>
      <c r="I18" t="s">
        <v>1289</v>
      </c>
      <c r="J18" t="s">
        <v>1296</v>
      </c>
      <c r="K18" t="s">
        <v>1304</v>
      </c>
      <c r="L18" t="s">
        <v>1309</v>
      </c>
      <c r="M18" t="s">
        <v>1313</v>
      </c>
      <c r="N18">
        <v>2</v>
      </c>
      <c r="O18">
        <v>0.2</v>
      </c>
      <c r="P18">
        <v>2346.58</v>
      </c>
      <c r="Q18">
        <v>304.72000000000003</v>
      </c>
      <c r="R18" t="s">
        <v>1331</v>
      </c>
      <c r="S18" t="b">
        <f t="shared" si="0"/>
        <v>0</v>
      </c>
      <c r="T18" t="b">
        <f t="shared" si="1"/>
        <v>0</v>
      </c>
      <c r="U18" t="b">
        <f t="shared" si="2"/>
        <v>0</v>
      </c>
    </row>
    <row r="19" spans="1:21" x14ac:dyDescent="0.3">
      <c r="A19">
        <v>18</v>
      </c>
      <c r="B19" t="s">
        <v>34</v>
      </c>
      <c r="C19" s="2">
        <v>45852</v>
      </c>
      <c r="D19" s="2" t="str">
        <f t="shared" si="3"/>
        <v>Jul-2025</v>
      </c>
      <c r="E19" s="2">
        <v>45853</v>
      </c>
      <c r="F19" t="s">
        <v>1017</v>
      </c>
      <c r="G19" t="s">
        <v>1037</v>
      </c>
      <c r="H19" t="s">
        <v>1350</v>
      </c>
      <c r="I19" t="s">
        <v>1288</v>
      </c>
      <c r="J19" t="s">
        <v>1297</v>
      </c>
      <c r="K19" t="s">
        <v>1304</v>
      </c>
      <c r="L19" t="s">
        <v>1309</v>
      </c>
      <c r="M19" t="s">
        <v>1320</v>
      </c>
      <c r="N19">
        <v>2</v>
      </c>
      <c r="O19">
        <v>0.15</v>
      </c>
      <c r="P19">
        <v>1999.18</v>
      </c>
      <c r="Q19">
        <v>252.22</v>
      </c>
      <c r="R19" t="s">
        <v>1330</v>
      </c>
      <c r="S19" t="b">
        <f t="shared" si="0"/>
        <v>0</v>
      </c>
      <c r="T19" t="b">
        <f t="shared" si="1"/>
        <v>0</v>
      </c>
      <c r="U19" t="b">
        <f t="shared" si="2"/>
        <v>0</v>
      </c>
    </row>
    <row r="20" spans="1:21" x14ac:dyDescent="0.3">
      <c r="A20">
        <v>19</v>
      </c>
      <c r="B20" t="s">
        <v>35</v>
      </c>
      <c r="C20" s="2">
        <v>45941</v>
      </c>
      <c r="D20" s="2" t="str">
        <f t="shared" si="3"/>
        <v>Oct-2025</v>
      </c>
      <c r="E20" s="2">
        <v>45942</v>
      </c>
      <c r="F20" t="s">
        <v>1017</v>
      </c>
      <c r="G20" t="s">
        <v>1038</v>
      </c>
      <c r="H20" t="s">
        <v>1275</v>
      </c>
      <c r="I20" t="s">
        <v>1287</v>
      </c>
      <c r="J20" t="s">
        <v>1290</v>
      </c>
      <c r="K20" t="s">
        <v>1302</v>
      </c>
      <c r="L20" t="s">
        <v>1306</v>
      </c>
      <c r="M20" t="s">
        <v>1321</v>
      </c>
      <c r="N20">
        <v>3</v>
      </c>
      <c r="O20">
        <v>0.1</v>
      </c>
      <c r="P20">
        <v>1177.97</v>
      </c>
      <c r="Q20">
        <v>145.91</v>
      </c>
      <c r="R20" t="s">
        <v>1330</v>
      </c>
      <c r="S20" t="b">
        <f t="shared" si="0"/>
        <v>0</v>
      </c>
      <c r="T20" t="b">
        <f t="shared" si="1"/>
        <v>0</v>
      </c>
      <c r="U20" t="b">
        <f t="shared" si="2"/>
        <v>0</v>
      </c>
    </row>
    <row r="21" spans="1:21" x14ac:dyDescent="0.3">
      <c r="A21">
        <v>20</v>
      </c>
      <c r="B21" t="s">
        <v>36</v>
      </c>
      <c r="C21" s="2">
        <v>45937</v>
      </c>
      <c r="D21" s="2" t="str">
        <f t="shared" si="3"/>
        <v>Oct-2025</v>
      </c>
      <c r="E21" s="2">
        <v>45942</v>
      </c>
      <c r="F21" t="s">
        <v>1019</v>
      </c>
      <c r="G21" t="s">
        <v>1039</v>
      </c>
      <c r="H21" t="s">
        <v>1276</v>
      </c>
      <c r="I21" t="s">
        <v>1287</v>
      </c>
      <c r="J21" t="s">
        <v>1301</v>
      </c>
      <c r="K21" t="s">
        <v>1303</v>
      </c>
      <c r="L21" t="s">
        <v>1306</v>
      </c>
      <c r="M21" t="s">
        <v>1310</v>
      </c>
      <c r="N21">
        <v>2</v>
      </c>
      <c r="O21">
        <v>0</v>
      </c>
      <c r="P21">
        <v>1290.6600000000001</v>
      </c>
      <c r="Q21">
        <v>233.33</v>
      </c>
      <c r="R21" t="s">
        <v>1331</v>
      </c>
      <c r="S21" t="b">
        <f t="shared" si="0"/>
        <v>0</v>
      </c>
      <c r="T21" t="b">
        <f t="shared" si="1"/>
        <v>0</v>
      </c>
      <c r="U21" t="b">
        <f t="shared" si="2"/>
        <v>0</v>
      </c>
    </row>
    <row r="22" spans="1:21" x14ac:dyDescent="0.3">
      <c r="A22">
        <v>21</v>
      </c>
      <c r="B22" t="s">
        <v>37</v>
      </c>
      <c r="C22" s="2">
        <v>45715</v>
      </c>
      <c r="D22" s="2" t="str">
        <f t="shared" si="3"/>
        <v>Feb-2025</v>
      </c>
      <c r="E22" s="2">
        <v>45718</v>
      </c>
      <c r="F22" t="s">
        <v>1018</v>
      </c>
      <c r="G22" t="s">
        <v>1040</v>
      </c>
      <c r="H22" t="s">
        <v>1278</v>
      </c>
      <c r="I22" t="s">
        <v>1287</v>
      </c>
      <c r="J22" t="s">
        <v>1293</v>
      </c>
      <c r="K22" t="s">
        <v>1304</v>
      </c>
      <c r="L22" t="s">
        <v>1307</v>
      </c>
      <c r="M22" t="s">
        <v>1322</v>
      </c>
      <c r="N22">
        <v>2</v>
      </c>
      <c r="O22">
        <v>0.2</v>
      </c>
      <c r="P22">
        <v>1126.24</v>
      </c>
      <c r="Q22">
        <v>232.31</v>
      </c>
      <c r="R22" t="s">
        <v>1331</v>
      </c>
      <c r="S22" t="b">
        <f t="shared" si="0"/>
        <v>0</v>
      </c>
      <c r="T22" t="b">
        <f t="shared" si="1"/>
        <v>0</v>
      </c>
      <c r="U22" t="b">
        <f t="shared" si="2"/>
        <v>0</v>
      </c>
    </row>
    <row r="23" spans="1:21" x14ac:dyDescent="0.3">
      <c r="A23">
        <v>22</v>
      </c>
      <c r="B23" t="s">
        <v>38</v>
      </c>
      <c r="C23" s="2">
        <v>45827</v>
      </c>
      <c r="D23" s="2" t="str">
        <f t="shared" si="3"/>
        <v>Jun-2025</v>
      </c>
      <c r="E23" s="2">
        <v>45829</v>
      </c>
      <c r="F23" t="s">
        <v>1019</v>
      </c>
      <c r="G23" t="s">
        <v>1041</v>
      </c>
      <c r="H23" t="s">
        <v>1274</v>
      </c>
      <c r="I23" t="s">
        <v>1287</v>
      </c>
      <c r="J23" t="s">
        <v>1294</v>
      </c>
      <c r="K23" t="s">
        <v>1305</v>
      </c>
      <c r="L23" t="s">
        <v>1306</v>
      </c>
      <c r="M23" t="s">
        <v>1323</v>
      </c>
      <c r="N23">
        <v>3</v>
      </c>
      <c r="O23">
        <v>0.05</v>
      </c>
      <c r="P23">
        <v>528.91</v>
      </c>
      <c r="Q23">
        <v>100.47</v>
      </c>
      <c r="R23" t="s">
        <v>1332</v>
      </c>
      <c r="S23" t="b">
        <f t="shared" si="0"/>
        <v>0</v>
      </c>
      <c r="T23" t="b">
        <f t="shared" si="1"/>
        <v>0</v>
      </c>
      <c r="U23" t="b">
        <f t="shared" si="2"/>
        <v>0</v>
      </c>
    </row>
    <row r="24" spans="1:21" x14ac:dyDescent="0.3">
      <c r="A24">
        <v>23</v>
      </c>
      <c r="B24" t="s">
        <v>39</v>
      </c>
      <c r="C24" s="2">
        <v>45979</v>
      </c>
      <c r="D24" s="2" t="str">
        <f t="shared" si="3"/>
        <v>Nov-2025</v>
      </c>
      <c r="E24" s="2">
        <v>45982</v>
      </c>
      <c r="F24" t="s">
        <v>1017</v>
      </c>
      <c r="G24" t="s">
        <v>1042</v>
      </c>
      <c r="H24" t="s">
        <v>1275</v>
      </c>
      <c r="I24" t="s">
        <v>1287</v>
      </c>
      <c r="J24" t="s">
        <v>1296</v>
      </c>
      <c r="K24" t="s">
        <v>1304</v>
      </c>
      <c r="L24" t="s">
        <v>1308</v>
      </c>
      <c r="M24" t="s">
        <v>1312</v>
      </c>
      <c r="N24">
        <v>1</v>
      </c>
      <c r="O24">
        <v>0.05</v>
      </c>
      <c r="P24">
        <v>1229.8</v>
      </c>
      <c r="Q24">
        <v>283.44</v>
      </c>
      <c r="R24" t="s">
        <v>1334</v>
      </c>
      <c r="S24" t="b">
        <f t="shared" si="0"/>
        <v>0</v>
      </c>
      <c r="T24" t="b">
        <f t="shared" si="1"/>
        <v>0</v>
      </c>
      <c r="U24" t="b">
        <f t="shared" si="2"/>
        <v>0</v>
      </c>
    </row>
    <row r="25" spans="1:21" x14ac:dyDescent="0.3">
      <c r="A25">
        <v>24</v>
      </c>
      <c r="B25" t="s">
        <v>40</v>
      </c>
      <c r="C25" s="2">
        <v>45765</v>
      </c>
      <c r="D25" s="2" t="str">
        <f t="shared" si="3"/>
        <v>Apr-2025</v>
      </c>
      <c r="E25" s="2">
        <v>45770</v>
      </c>
      <c r="F25" t="s">
        <v>1017</v>
      </c>
      <c r="G25" t="s">
        <v>1043</v>
      </c>
      <c r="H25" t="s">
        <v>1271</v>
      </c>
      <c r="I25" t="s">
        <v>1288</v>
      </c>
      <c r="J25" t="s">
        <v>1298</v>
      </c>
      <c r="K25" t="s">
        <v>1303</v>
      </c>
      <c r="L25" t="s">
        <v>1306</v>
      </c>
      <c r="M25" t="s">
        <v>1324</v>
      </c>
      <c r="N25">
        <v>2</v>
      </c>
      <c r="O25">
        <v>0.15</v>
      </c>
      <c r="P25">
        <v>152.35</v>
      </c>
      <c r="Q25">
        <v>10.44</v>
      </c>
      <c r="R25" t="s">
        <v>1331</v>
      </c>
      <c r="S25" t="b">
        <f t="shared" si="0"/>
        <v>0</v>
      </c>
      <c r="T25" t="b">
        <f t="shared" si="1"/>
        <v>0</v>
      </c>
      <c r="U25" t="b">
        <f t="shared" si="2"/>
        <v>0</v>
      </c>
    </row>
    <row r="26" spans="1:21" x14ac:dyDescent="0.3">
      <c r="A26">
        <v>25</v>
      </c>
      <c r="B26" t="s">
        <v>41</v>
      </c>
      <c r="C26" s="2">
        <v>45777</v>
      </c>
      <c r="D26" s="2" t="str">
        <f t="shared" si="3"/>
        <v>Apr-2025</v>
      </c>
      <c r="E26" s="2">
        <v>45780</v>
      </c>
      <c r="F26" t="s">
        <v>1017</v>
      </c>
      <c r="G26" t="s">
        <v>1044</v>
      </c>
      <c r="H26" t="s">
        <v>1279</v>
      </c>
      <c r="I26" t="s">
        <v>1288</v>
      </c>
      <c r="J26" t="s">
        <v>1291</v>
      </c>
      <c r="K26" t="s">
        <v>1302</v>
      </c>
      <c r="L26" t="s">
        <v>1309</v>
      </c>
      <c r="M26" t="s">
        <v>1325</v>
      </c>
      <c r="N26">
        <v>3</v>
      </c>
      <c r="O26">
        <v>0</v>
      </c>
      <c r="P26">
        <v>3873.22</v>
      </c>
      <c r="Q26">
        <v>1395.93</v>
      </c>
      <c r="R26" t="s">
        <v>1331</v>
      </c>
      <c r="S26" t="b">
        <f t="shared" si="0"/>
        <v>0</v>
      </c>
      <c r="T26" t="b">
        <f t="shared" si="1"/>
        <v>0</v>
      </c>
      <c r="U26" t="b">
        <f t="shared" si="2"/>
        <v>0</v>
      </c>
    </row>
    <row r="27" spans="1:21" x14ac:dyDescent="0.3">
      <c r="A27">
        <v>26</v>
      </c>
      <c r="B27" t="s">
        <v>42</v>
      </c>
      <c r="C27" s="2">
        <v>45929</v>
      </c>
      <c r="D27" s="2" t="str">
        <f t="shared" si="3"/>
        <v>Sep-2025</v>
      </c>
      <c r="E27" s="2">
        <v>45934</v>
      </c>
      <c r="F27" t="s">
        <v>1018</v>
      </c>
      <c r="G27" t="s">
        <v>1045</v>
      </c>
      <c r="H27" t="s">
        <v>1267</v>
      </c>
      <c r="I27" t="s">
        <v>1287</v>
      </c>
      <c r="J27" t="s">
        <v>1301</v>
      </c>
      <c r="K27" t="s">
        <v>1303</v>
      </c>
      <c r="L27" t="s">
        <v>1307</v>
      </c>
      <c r="M27" t="s">
        <v>1311</v>
      </c>
      <c r="N27">
        <v>3</v>
      </c>
      <c r="O27">
        <v>0.15</v>
      </c>
      <c r="P27">
        <v>780.59</v>
      </c>
      <c r="Q27">
        <v>125</v>
      </c>
      <c r="R27" t="s">
        <v>1331</v>
      </c>
      <c r="S27" t="b">
        <f t="shared" si="0"/>
        <v>0</v>
      </c>
      <c r="T27" t="b">
        <f t="shared" si="1"/>
        <v>0</v>
      </c>
      <c r="U27" t="b">
        <f t="shared" si="2"/>
        <v>0</v>
      </c>
    </row>
    <row r="28" spans="1:21" x14ac:dyDescent="0.3">
      <c r="A28">
        <v>27</v>
      </c>
      <c r="B28" t="s">
        <v>43</v>
      </c>
      <c r="C28" s="2">
        <v>45895</v>
      </c>
      <c r="D28" s="2" t="str">
        <f t="shared" si="3"/>
        <v>Aug-2025</v>
      </c>
      <c r="E28" s="2">
        <v>45899</v>
      </c>
      <c r="F28" t="s">
        <v>1018</v>
      </c>
      <c r="G28" t="s">
        <v>1046</v>
      </c>
      <c r="H28" t="s">
        <v>1274</v>
      </c>
      <c r="I28" t="s">
        <v>1287</v>
      </c>
      <c r="J28" t="s">
        <v>1291</v>
      </c>
      <c r="K28" t="s">
        <v>1302</v>
      </c>
      <c r="L28" t="s">
        <v>1307</v>
      </c>
      <c r="M28" t="s">
        <v>1316</v>
      </c>
      <c r="N28">
        <v>1</v>
      </c>
      <c r="O28">
        <v>0</v>
      </c>
      <c r="P28">
        <v>482.8</v>
      </c>
      <c r="Q28">
        <v>171.71</v>
      </c>
      <c r="R28" t="s">
        <v>1333</v>
      </c>
      <c r="S28" t="b">
        <f t="shared" si="0"/>
        <v>0</v>
      </c>
      <c r="T28" t="b">
        <f t="shared" si="1"/>
        <v>0</v>
      </c>
      <c r="U28" t="b">
        <f t="shared" si="2"/>
        <v>0</v>
      </c>
    </row>
    <row r="29" spans="1:21" x14ac:dyDescent="0.3">
      <c r="A29">
        <v>28</v>
      </c>
      <c r="B29" t="s">
        <v>44</v>
      </c>
      <c r="C29" s="2">
        <v>45837</v>
      </c>
      <c r="D29" s="2" t="str">
        <f t="shared" si="3"/>
        <v>Jun-2025</v>
      </c>
      <c r="E29" s="2">
        <v>45839</v>
      </c>
      <c r="F29" t="s">
        <v>1018</v>
      </c>
      <c r="G29" t="s">
        <v>1047</v>
      </c>
      <c r="H29" t="s">
        <v>1280</v>
      </c>
      <c r="I29" t="s">
        <v>1287</v>
      </c>
      <c r="J29" t="s">
        <v>1295</v>
      </c>
      <c r="K29" t="s">
        <v>1305</v>
      </c>
      <c r="L29" t="s">
        <v>1308</v>
      </c>
      <c r="M29" t="s">
        <v>1326</v>
      </c>
      <c r="N29">
        <v>4</v>
      </c>
      <c r="O29">
        <v>0.2</v>
      </c>
      <c r="P29">
        <v>22678.69</v>
      </c>
      <c r="Q29">
        <v>2504.0100000000002</v>
      </c>
      <c r="R29" t="s">
        <v>1331</v>
      </c>
      <c r="S29" t="b">
        <f t="shared" si="0"/>
        <v>0</v>
      </c>
      <c r="T29" t="b">
        <f t="shared" si="1"/>
        <v>0</v>
      </c>
      <c r="U29" t="b">
        <f t="shared" si="2"/>
        <v>0</v>
      </c>
    </row>
    <row r="30" spans="1:21" x14ac:dyDescent="0.3">
      <c r="A30">
        <v>29</v>
      </c>
      <c r="B30" t="s">
        <v>45</v>
      </c>
      <c r="C30" s="2">
        <v>45809</v>
      </c>
      <c r="D30" s="2" t="str">
        <f t="shared" si="3"/>
        <v>Jun-2025</v>
      </c>
      <c r="E30" s="2">
        <v>45813</v>
      </c>
      <c r="F30" t="s">
        <v>1017</v>
      </c>
      <c r="G30" t="s">
        <v>1048</v>
      </c>
      <c r="H30" t="s">
        <v>1281</v>
      </c>
      <c r="I30" t="s">
        <v>1289</v>
      </c>
      <c r="J30" t="s">
        <v>1291</v>
      </c>
      <c r="K30" t="s">
        <v>1302</v>
      </c>
      <c r="L30" t="s">
        <v>1308</v>
      </c>
      <c r="M30" t="s">
        <v>1318</v>
      </c>
      <c r="N30">
        <v>2</v>
      </c>
      <c r="O30">
        <v>0.2</v>
      </c>
      <c r="P30">
        <v>8700.01</v>
      </c>
      <c r="Q30">
        <v>466.27</v>
      </c>
      <c r="R30" t="s">
        <v>1331</v>
      </c>
      <c r="S30" t="b">
        <f t="shared" si="0"/>
        <v>0</v>
      </c>
      <c r="T30" t="b">
        <f t="shared" si="1"/>
        <v>0</v>
      </c>
      <c r="U30" t="b">
        <f t="shared" si="2"/>
        <v>0</v>
      </c>
    </row>
    <row r="31" spans="1:21" x14ac:dyDescent="0.3">
      <c r="A31">
        <v>30</v>
      </c>
      <c r="B31" t="s">
        <v>46</v>
      </c>
      <c r="C31" s="2">
        <v>45752</v>
      </c>
      <c r="D31" s="2" t="str">
        <f t="shared" si="3"/>
        <v>Apr-2025</v>
      </c>
      <c r="E31" s="2">
        <v>45754</v>
      </c>
      <c r="F31" t="s">
        <v>1017</v>
      </c>
      <c r="G31" t="s">
        <v>1049</v>
      </c>
      <c r="H31" t="s">
        <v>1282</v>
      </c>
      <c r="I31" t="s">
        <v>1287</v>
      </c>
      <c r="J31" t="s">
        <v>1290</v>
      </c>
      <c r="K31" t="s">
        <v>1302</v>
      </c>
      <c r="L31" t="s">
        <v>1307</v>
      </c>
      <c r="M31" t="s">
        <v>1311</v>
      </c>
      <c r="N31">
        <v>1</v>
      </c>
      <c r="O31">
        <v>0</v>
      </c>
      <c r="P31">
        <v>285.20999999999998</v>
      </c>
      <c r="Q31">
        <v>62.86</v>
      </c>
      <c r="R31" t="s">
        <v>1332</v>
      </c>
      <c r="S31" t="b">
        <f t="shared" si="0"/>
        <v>0</v>
      </c>
      <c r="T31" t="b">
        <f t="shared" si="1"/>
        <v>0</v>
      </c>
      <c r="U31" t="b">
        <f t="shared" si="2"/>
        <v>0</v>
      </c>
    </row>
    <row r="32" spans="1:21" x14ac:dyDescent="0.3">
      <c r="A32">
        <v>31</v>
      </c>
      <c r="B32" t="s">
        <v>47</v>
      </c>
      <c r="C32" s="2">
        <v>45771</v>
      </c>
      <c r="D32" s="2" t="str">
        <f t="shared" si="3"/>
        <v>Apr-2025</v>
      </c>
      <c r="E32" s="2">
        <v>45776</v>
      </c>
      <c r="F32" t="s">
        <v>1017</v>
      </c>
      <c r="G32" t="s">
        <v>1034</v>
      </c>
      <c r="H32" t="s">
        <v>1283</v>
      </c>
      <c r="I32" t="s">
        <v>1287</v>
      </c>
      <c r="J32" t="s">
        <v>1294</v>
      </c>
      <c r="K32" t="s">
        <v>1305</v>
      </c>
      <c r="L32" t="s">
        <v>1306</v>
      </c>
      <c r="M32" t="s">
        <v>1321</v>
      </c>
      <c r="N32">
        <v>2</v>
      </c>
      <c r="O32">
        <v>0.15</v>
      </c>
      <c r="P32">
        <v>798.4</v>
      </c>
      <c r="Q32">
        <v>233.35</v>
      </c>
      <c r="R32" t="s">
        <v>1332</v>
      </c>
      <c r="S32" t="b">
        <f t="shared" si="0"/>
        <v>0</v>
      </c>
      <c r="T32" t="b">
        <f t="shared" si="1"/>
        <v>0</v>
      </c>
      <c r="U32" t="b">
        <f t="shared" si="2"/>
        <v>0</v>
      </c>
    </row>
    <row r="33" spans="1:21" x14ac:dyDescent="0.3">
      <c r="A33">
        <v>32</v>
      </c>
      <c r="B33" t="s">
        <v>48</v>
      </c>
      <c r="C33" s="2">
        <v>45753</v>
      </c>
      <c r="D33" s="2" t="str">
        <f t="shared" si="3"/>
        <v>Apr-2025</v>
      </c>
      <c r="E33" s="2">
        <v>45758</v>
      </c>
      <c r="F33" t="s">
        <v>1018</v>
      </c>
      <c r="G33" t="s">
        <v>1050</v>
      </c>
      <c r="H33" t="s">
        <v>1279</v>
      </c>
      <c r="I33" t="s">
        <v>1287</v>
      </c>
      <c r="J33" t="s">
        <v>1296</v>
      </c>
      <c r="K33" t="s">
        <v>1304</v>
      </c>
      <c r="L33" t="s">
        <v>1307</v>
      </c>
      <c r="M33" t="s">
        <v>1316</v>
      </c>
      <c r="N33">
        <v>2</v>
      </c>
      <c r="O33">
        <v>0.05</v>
      </c>
      <c r="P33">
        <v>923.32</v>
      </c>
      <c r="Q33">
        <v>168.86</v>
      </c>
      <c r="R33" t="s">
        <v>1333</v>
      </c>
      <c r="S33" t="b">
        <f t="shared" si="0"/>
        <v>0</v>
      </c>
      <c r="T33" t="b">
        <f t="shared" si="1"/>
        <v>0</v>
      </c>
      <c r="U33" t="b">
        <f t="shared" si="2"/>
        <v>0</v>
      </c>
    </row>
    <row r="34" spans="1:21" x14ac:dyDescent="0.3">
      <c r="A34">
        <v>33</v>
      </c>
      <c r="B34" t="s">
        <v>49</v>
      </c>
      <c r="C34" s="2">
        <v>45757</v>
      </c>
      <c r="D34" s="2" t="str">
        <f t="shared" si="3"/>
        <v>Apr-2025</v>
      </c>
      <c r="E34" s="2">
        <v>45761</v>
      </c>
      <c r="F34" t="s">
        <v>1017</v>
      </c>
      <c r="G34" t="s">
        <v>1051</v>
      </c>
      <c r="H34" t="s">
        <v>1284</v>
      </c>
      <c r="I34" t="s">
        <v>1288</v>
      </c>
      <c r="J34" t="s">
        <v>1301</v>
      </c>
      <c r="K34" t="s">
        <v>1303</v>
      </c>
      <c r="L34" t="s">
        <v>1306</v>
      </c>
      <c r="M34" t="s">
        <v>1323</v>
      </c>
      <c r="N34">
        <v>1</v>
      </c>
      <c r="O34">
        <v>0</v>
      </c>
      <c r="P34">
        <v>188.25</v>
      </c>
      <c r="Q34">
        <v>46.15</v>
      </c>
      <c r="R34" t="s">
        <v>1333</v>
      </c>
      <c r="S34" t="b">
        <f t="shared" si="0"/>
        <v>0</v>
      </c>
      <c r="T34" t="b">
        <f t="shared" si="1"/>
        <v>0</v>
      </c>
      <c r="U34" t="b">
        <f t="shared" si="2"/>
        <v>0</v>
      </c>
    </row>
    <row r="35" spans="1:21" x14ac:dyDescent="0.3">
      <c r="A35">
        <v>34</v>
      </c>
      <c r="B35" t="s">
        <v>50</v>
      </c>
      <c r="C35" s="2">
        <v>45710</v>
      </c>
      <c r="D35" s="2" t="str">
        <f t="shared" si="3"/>
        <v>Feb-2025</v>
      </c>
      <c r="E35" s="2">
        <v>45711</v>
      </c>
      <c r="F35" t="s">
        <v>1019</v>
      </c>
      <c r="G35" t="s">
        <v>1052</v>
      </c>
      <c r="H35" t="s">
        <v>1273</v>
      </c>
      <c r="I35" t="s">
        <v>1288</v>
      </c>
      <c r="J35" t="s">
        <v>1298</v>
      </c>
      <c r="K35" t="s">
        <v>1303</v>
      </c>
      <c r="L35" t="s">
        <v>1306</v>
      </c>
      <c r="M35" t="s">
        <v>1310</v>
      </c>
      <c r="N35">
        <v>1</v>
      </c>
      <c r="O35">
        <v>0.05</v>
      </c>
      <c r="P35">
        <v>593.63</v>
      </c>
      <c r="Q35">
        <v>69.61</v>
      </c>
      <c r="R35" t="s">
        <v>1333</v>
      </c>
      <c r="S35" t="b">
        <f t="shared" si="0"/>
        <v>0</v>
      </c>
      <c r="T35" t="b">
        <f t="shared" si="1"/>
        <v>0</v>
      </c>
      <c r="U35" t="b">
        <f t="shared" si="2"/>
        <v>0</v>
      </c>
    </row>
    <row r="36" spans="1:21" x14ac:dyDescent="0.3">
      <c r="A36">
        <v>35</v>
      </c>
      <c r="B36" t="s">
        <v>51</v>
      </c>
      <c r="C36" s="2">
        <v>45910</v>
      </c>
      <c r="D36" s="2" t="str">
        <f t="shared" si="3"/>
        <v>Sep-2025</v>
      </c>
      <c r="E36" s="2">
        <v>45915</v>
      </c>
      <c r="F36" t="s">
        <v>1018</v>
      </c>
      <c r="G36" t="s">
        <v>1053</v>
      </c>
      <c r="H36" t="s">
        <v>1273</v>
      </c>
      <c r="I36" t="s">
        <v>1287</v>
      </c>
      <c r="J36" t="s">
        <v>1294</v>
      </c>
      <c r="K36" t="s">
        <v>1305</v>
      </c>
      <c r="L36" t="s">
        <v>1308</v>
      </c>
      <c r="M36" t="s">
        <v>1312</v>
      </c>
      <c r="N36">
        <v>3</v>
      </c>
      <c r="O36">
        <v>0.1</v>
      </c>
      <c r="P36">
        <v>3410</v>
      </c>
      <c r="Q36">
        <v>684.71</v>
      </c>
      <c r="R36" t="s">
        <v>1331</v>
      </c>
      <c r="S36" t="b">
        <f t="shared" si="0"/>
        <v>0</v>
      </c>
      <c r="T36" t="b">
        <f t="shared" si="1"/>
        <v>0</v>
      </c>
      <c r="U36" t="b">
        <f t="shared" si="2"/>
        <v>0</v>
      </c>
    </row>
    <row r="37" spans="1:21" x14ac:dyDescent="0.3">
      <c r="A37">
        <v>36</v>
      </c>
      <c r="B37" t="s">
        <v>52</v>
      </c>
      <c r="C37" s="2">
        <v>45984</v>
      </c>
      <c r="D37" s="2" t="str">
        <f t="shared" si="3"/>
        <v>Nov-2025</v>
      </c>
      <c r="E37" s="2">
        <v>45985</v>
      </c>
      <c r="F37" t="s">
        <v>1018</v>
      </c>
      <c r="G37" t="s">
        <v>1054</v>
      </c>
      <c r="H37" t="s">
        <v>1285</v>
      </c>
      <c r="I37" t="s">
        <v>1288</v>
      </c>
      <c r="J37" t="s">
        <v>1299</v>
      </c>
      <c r="K37" t="s">
        <v>1304</v>
      </c>
      <c r="L37" t="s">
        <v>1308</v>
      </c>
      <c r="M37" t="s">
        <v>1327</v>
      </c>
      <c r="N37">
        <v>4</v>
      </c>
      <c r="O37">
        <v>0</v>
      </c>
      <c r="P37">
        <v>7262.12</v>
      </c>
      <c r="Q37">
        <v>2296.5700000000002</v>
      </c>
      <c r="R37" t="s">
        <v>1333</v>
      </c>
      <c r="S37" t="b">
        <f t="shared" si="0"/>
        <v>0</v>
      </c>
      <c r="T37" t="b">
        <f t="shared" si="1"/>
        <v>0</v>
      </c>
      <c r="U37" t="b">
        <f t="shared" si="2"/>
        <v>0</v>
      </c>
    </row>
    <row r="38" spans="1:21" x14ac:dyDescent="0.3">
      <c r="A38">
        <v>37</v>
      </c>
      <c r="B38" t="s">
        <v>53</v>
      </c>
      <c r="C38" s="2">
        <v>45974</v>
      </c>
      <c r="D38" s="2" t="str">
        <f t="shared" si="3"/>
        <v>Nov-2025</v>
      </c>
      <c r="E38" s="2">
        <v>45975</v>
      </c>
      <c r="F38" t="s">
        <v>1017</v>
      </c>
      <c r="G38" t="s">
        <v>1034</v>
      </c>
      <c r="H38" t="s">
        <v>1275</v>
      </c>
      <c r="I38" t="s">
        <v>1287</v>
      </c>
      <c r="J38" t="s">
        <v>1293</v>
      </c>
      <c r="K38" t="s">
        <v>1304</v>
      </c>
      <c r="L38" t="s">
        <v>1307</v>
      </c>
      <c r="M38" t="s">
        <v>1322</v>
      </c>
      <c r="N38">
        <v>2</v>
      </c>
      <c r="O38">
        <v>0</v>
      </c>
      <c r="P38">
        <v>1432.14</v>
      </c>
      <c r="Q38">
        <v>374.96</v>
      </c>
      <c r="R38" t="s">
        <v>1333</v>
      </c>
      <c r="S38" t="b">
        <f t="shared" si="0"/>
        <v>0</v>
      </c>
      <c r="T38" t="b">
        <f t="shared" si="1"/>
        <v>0</v>
      </c>
      <c r="U38" t="b">
        <f t="shared" si="2"/>
        <v>0</v>
      </c>
    </row>
    <row r="39" spans="1:21" x14ac:dyDescent="0.3">
      <c r="A39">
        <v>38</v>
      </c>
      <c r="B39" t="s">
        <v>54</v>
      </c>
      <c r="C39" s="2">
        <v>45960</v>
      </c>
      <c r="D39" s="2" t="str">
        <f t="shared" si="3"/>
        <v>Oct-2025</v>
      </c>
      <c r="E39" s="2">
        <v>45965</v>
      </c>
      <c r="F39" t="s">
        <v>1019</v>
      </c>
      <c r="G39" t="s">
        <v>1055</v>
      </c>
      <c r="H39" t="s">
        <v>1267</v>
      </c>
      <c r="I39" t="s">
        <v>1288</v>
      </c>
      <c r="J39" t="s">
        <v>1291</v>
      </c>
      <c r="K39" t="s">
        <v>1302</v>
      </c>
      <c r="L39" t="s">
        <v>1306</v>
      </c>
      <c r="M39" t="s">
        <v>1328</v>
      </c>
      <c r="N39">
        <v>5</v>
      </c>
      <c r="O39">
        <v>0.1</v>
      </c>
      <c r="P39">
        <v>515.34</v>
      </c>
      <c r="Q39">
        <v>32.380000000000003</v>
      </c>
      <c r="R39" t="s">
        <v>1331</v>
      </c>
      <c r="S39" t="b">
        <f t="shared" si="0"/>
        <v>0</v>
      </c>
      <c r="T39" t="b">
        <f t="shared" si="1"/>
        <v>0</v>
      </c>
      <c r="U39" t="b">
        <f t="shared" si="2"/>
        <v>0</v>
      </c>
    </row>
    <row r="40" spans="1:21" x14ac:dyDescent="0.3">
      <c r="A40">
        <v>39</v>
      </c>
      <c r="B40" t="s">
        <v>55</v>
      </c>
      <c r="C40" s="2">
        <v>45801</v>
      </c>
      <c r="D40" s="2" t="str">
        <f t="shared" si="3"/>
        <v>May-2025</v>
      </c>
      <c r="E40" s="2">
        <v>45802</v>
      </c>
      <c r="F40" t="s">
        <v>1017</v>
      </c>
      <c r="G40" t="s">
        <v>1056</v>
      </c>
      <c r="H40" t="s">
        <v>1285</v>
      </c>
      <c r="I40" t="s">
        <v>1287</v>
      </c>
      <c r="J40" t="s">
        <v>1299</v>
      </c>
      <c r="K40" t="s">
        <v>1304</v>
      </c>
      <c r="L40" t="s">
        <v>1309</v>
      </c>
      <c r="M40" t="s">
        <v>1317</v>
      </c>
      <c r="N40">
        <v>2</v>
      </c>
      <c r="O40">
        <v>0.1</v>
      </c>
      <c r="P40">
        <v>1497.92</v>
      </c>
      <c r="Q40">
        <v>200.76</v>
      </c>
      <c r="R40" t="s">
        <v>1331</v>
      </c>
      <c r="S40" t="b">
        <f t="shared" si="0"/>
        <v>0</v>
      </c>
      <c r="T40" t="b">
        <f t="shared" si="1"/>
        <v>0</v>
      </c>
      <c r="U40" t="b">
        <f t="shared" si="2"/>
        <v>0</v>
      </c>
    </row>
    <row r="41" spans="1:21" x14ac:dyDescent="0.3">
      <c r="A41">
        <v>40</v>
      </c>
      <c r="B41" t="s">
        <v>56</v>
      </c>
      <c r="C41" s="2">
        <v>45685</v>
      </c>
      <c r="D41" s="2" t="str">
        <f t="shared" si="3"/>
        <v>Jan-2025</v>
      </c>
      <c r="E41" s="2">
        <v>45689</v>
      </c>
      <c r="F41" t="s">
        <v>1017</v>
      </c>
      <c r="G41" t="s">
        <v>1057</v>
      </c>
      <c r="H41" t="s">
        <v>1275</v>
      </c>
      <c r="I41" t="s">
        <v>1287</v>
      </c>
      <c r="J41" t="s">
        <v>1295</v>
      </c>
      <c r="K41" t="s">
        <v>1305</v>
      </c>
      <c r="L41" t="s">
        <v>1309</v>
      </c>
      <c r="M41" t="s">
        <v>1313</v>
      </c>
      <c r="N41">
        <v>2</v>
      </c>
      <c r="O41">
        <v>0</v>
      </c>
      <c r="P41">
        <v>2956.13</v>
      </c>
      <c r="Q41">
        <v>941.5</v>
      </c>
      <c r="R41" t="s">
        <v>1333</v>
      </c>
      <c r="S41" t="b">
        <f t="shared" si="0"/>
        <v>0</v>
      </c>
      <c r="T41" t="b">
        <f t="shared" si="1"/>
        <v>0</v>
      </c>
      <c r="U41" t="b">
        <f t="shared" si="2"/>
        <v>0</v>
      </c>
    </row>
    <row r="42" spans="1:21" x14ac:dyDescent="0.3">
      <c r="A42">
        <v>41</v>
      </c>
      <c r="B42" t="s">
        <v>57</v>
      </c>
      <c r="C42" s="2">
        <v>45913</v>
      </c>
      <c r="D42" s="2" t="str">
        <f t="shared" si="3"/>
        <v>Sep-2025</v>
      </c>
      <c r="E42" s="2">
        <v>45918</v>
      </c>
      <c r="F42" t="s">
        <v>1019</v>
      </c>
      <c r="G42" t="s">
        <v>1058</v>
      </c>
      <c r="H42" t="s">
        <v>1280</v>
      </c>
      <c r="I42" t="s">
        <v>1287</v>
      </c>
      <c r="J42" t="s">
        <v>1296</v>
      </c>
      <c r="K42" t="s">
        <v>1304</v>
      </c>
      <c r="L42" t="s">
        <v>1308</v>
      </c>
      <c r="M42" t="s">
        <v>1327</v>
      </c>
      <c r="N42">
        <v>3</v>
      </c>
      <c r="O42">
        <v>0.2</v>
      </c>
      <c r="P42">
        <v>4366.57</v>
      </c>
      <c r="Q42">
        <v>568.98</v>
      </c>
      <c r="R42" t="s">
        <v>1333</v>
      </c>
      <c r="S42" t="b">
        <f t="shared" si="0"/>
        <v>0</v>
      </c>
      <c r="T42" t="b">
        <f t="shared" si="1"/>
        <v>0</v>
      </c>
      <c r="U42" t="b">
        <f t="shared" si="2"/>
        <v>0</v>
      </c>
    </row>
    <row r="43" spans="1:21" x14ac:dyDescent="0.3">
      <c r="A43">
        <v>42</v>
      </c>
      <c r="B43" t="s">
        <v>58</v>
      </c>
      <c r="C43" s="2">
        <v>45874</v>
      </c>
      <c r="D43" s="2" t="str">
        <f t="shared" si="3"/>
        <v>Aug-2025</v>
      </c>
      <c r="E43" s="2">
        <v>45877</v>
      </c>
      <c r="F43" t="s">
        <v>1017</v>
      </c>
      <c r="G43" t="s">
        <v>1050</v>
      </c>
      <c r="H43" t="s">
        <v>1277</v>
      </c>
      <c r="I43" t="s">
        <v>1287</v>
      </c>
      <c r="J43" t="s">
        <v>1299</v>
      </c>
      <c r="K43" t="s">
        <v>1304</v>
      </c>
      <c r="L43" t="s">
        <v>1307</v>
      </c>
      <c r="M43" t="s">
        <v>1311</v>
      </c>
      <c r="N43">
        <v>2</v>
      </c>
      <c r="O43">
        <v>0.15</v>
      </c>
      <c r="P43">
        <v>525.69000000000005</v>
      </c>
      <c r="Q43">
        <v>54.67</v>
      </c>
      <c r="R43" t="s">
        <v>1331</v>
      </c>
      <c r="S43" t="b">
        <f t="shared" si="0"/>
        <v>0</v>
      </c>
      <c r="T43" t="b">
        <f t="shared" si="1"/>
        <v>0</v>
      </c>
      <c r="U43" t="b">
        <f t="shared" si="2"/>
        <v>0</v>
      </c>
    </row>
    <row r="44" spans="1:21" x14ac:dyDescent="0.3">
      <c r="A44">
        <v>43</v>
      </c>
      <c r="B44" t="s">
        <v>59</v>
      </c>
      <c r="C44" s="2">
        <v>45710</v>
      </c>
      <c r="D44" s="2" t="str">
        <f t="shared" si="3"/>
        <v>Feb-2025</v>
      </c>
      <c r="E44" s="2">
        <v>45715</v>
      </c>
      <c r="F44" t="s">
        <v>1017</v>
      </c>
      <c r="G44" t="s">
        <v>1059</v>
      </c>
      <c r="H44" t="s">
        <v>1284</v>
      </c>
      <c r="I44" t="s">
        <v>1287</v>
      </c>
      <c r="J44" t="s">
        <v>1298</v>
      </c>
      <c r="K44" t="s">
        <v>1303</v>
      </c>
      <c r="L44" t="s">
        <v>1308</v>
      </c>
      <c r="M44" t="s">
        <v>1327</v>
      </c>
      <c r="N44">
        <v>5</v>
      </c>
      <c r="O44">
        <v>0.1</v>
      </c>
      <c r="P44">
        <v>8303.6200000000008</v>
      </c>
      <c r="Q44">
        <v>2046.97</v>
      </c>
      <c r="R44" t="s">
        <v>1331</v>
      </c>
      <c r="S44" t="b">
        <f t="shared" si="0"/>
        <v>0</v>
      </c>
      <c r="T44" t="b">
        <f t="shared" si="1"/>
        <v>0</v>
      </c>
      <c r="U44" t="b">
        <f t="shared" si="2"/>
        <v>0</v>
      </c>
    </row>
    <row r="45" spans="1:21" x14ac:dyDescent="0.3">
      <c r="A45">
        <v>44</v>
      </c>
      <c r="B45" t="s">
        <v>60</v>
      </c>
      <c r="C45" s="2">
        <v>45752</v>
      </c>
      <c r="D45" s="2" t="str">
        <f t="shared" si="3"/>
        <v>Apr-2025</v>
      </c>
      <c r="E45" s="2">
        <v>45754</v>
      </c>
      <c r="F45" t="s">
        <v>1018</v>
      </c>
      <c r="G45" t="s">
        <v>1060</v>
      </c>
      <c r="H45" t="s">
        <v>1285</v>
      </c>
      <c r="I45" t="s">
        <v>1289</v>
      </c>
      <c r="J45" t="s">
        <v>1299</v>
      </c>
      <c r="K45" t="s">
        <v>1304</v>
      </c>
      <c r="L45" t="s">
        <v>1309</v>
      </c>
      <c r="M45" t="s">
        <v>1317</v>
      </c>
      <c r="N45">
        <v>3</v>
      </c>
      <c r="O45">
        <v>0</v>
      </c>
      <c r="P45">
        <v>2396.56</v>
      </c>
      <c r="Q45">
        <v>682.12</v>
      </c>
      <c r="R45" t="s">
        <v>1330</v>
      </c>
      <c r="S45" t="b">
        <f t="shared" si="0"/>
        <v>0</v>
      </c>
      <c r="T45" t="b">
        <f t="shared" si="1"/>
        <v>0</v>
      </c>
      <c r="U45" t="b">
        <f t="shared" si="2"/>
        <v>0</v>
      </c>
    </row>
    <row r="46" spans="1:21" x14ac:dyDescent="0.3">
      <c r="A46">
        <v>45</v>
      </c>
      <c r="B46" t="s">
        <v>61</v>
      </c>
      <c r="C46" s="2">
        <v>45864</v>
      </c>
      <c r="D46" s="2" t="str">
        <f t="shared" si="3"/>
        <v>Jul-2025</v>
      </c>
      <c r="E46" s="2">
        <v>45869</v>
      </c>
      <c r="F46" t="s">
        <v>1017</v>
      </c>
      <c r="G46" t="s">
        <v>1061</v>
      </c>
      <c r="H46" t="s">
        <v>1278</v>
      </c>
      <c r="I46" t="s">
        <v>1287</v>
      </c>
      <c r="J46" t="s">
        <v>1294</v>
      </c>
      <c r="K46" t="s">
        <v>1305</v>
      </c>
      <c r="L46" t="s">
        <v>1309</v>
      </c>
      <c r="M46" t="s">
        <v>1329</v>
      </c>
      <c r="N46">
        <v>2</v>
      </c>
      <c r="O46">
        <v>0.1</v>
      </c>
      <c r="P46">
        <v>3459.32</v>
      </c>
      <c r="Q46">
        <v>569.74</v>
      </c>
      <c r="R46" t="s">
        <v>1333</v>
      </c>
      <c r="S46" t="b">
        <f t="shared" si="0"/>
        <v>0</v>
      </c>
      <c r="T46" t="b">
        <f t="shared" si="1"/>
        <v>0</v>
      </c>
      <c r="U46" t="b">
        <f t="shared" si="2"/>
        <v>0</v>
      </c>
    </row>
    <row r="47" spans="1:21" x14ac:dyDescent="0.3">
      <c r="A47">
        <v>46</v>
      </c>
      <c r="B47" t="s">
        <v>62</v>
      </c>
      <c r="C47" s="2">
        <v>45823</v>
      </c>
      <c r="D47" s="2" t="str">
        <f t="shared" si="3"/>
        <v>Jun-2025</v>
      </c>
      <c r="E47" s="2">
        <v>45824</v>
      </c>
      <c r="F47" t="s">
        <v>1018</v>
      </c>
      <c r="G47" t="s">
        <v>1062</v>
      </c>
      <c r="H47" t="s">
        <v>1275</v>
      </c>
      <c r="I47" t="s">
        <v>1289</v>
      </c>
      <c r="J47" t="s">
        <v>1296</v>
      </c>
      <c r="K47" t="s">
        <v>1304</v>
      </c>
      <c r="L47" t="s">
        <v>1306</v>
      </c>
      <c r="M47" t="s">
        <v>1321</v>
      </c>
      <c r="N47">
        <v>4</v>
      </c>
      <c r="O47">
        <v>0.05</v>
      </c>
      <c r="P47">
        <v>1758.5</v>
      </c>
      <c r="Q47">
        <v>499.74</v>
      </c>
      <c r="R47" t="s">
        <v>1331</v>
      </c>
      <c r="S47" t="b">
        <f t="shared" si="0"/>
        <v>0</v>
      </c>
      <c r="T47" t="b">
        <f t="shared" si="1"/>
        <v>0</v>
      </c>
      <c r="U47" t="b">
        <f t="shared" si="2"/>
        <v>0</v>
      </c>
    </row>
    <row r="48" spans="1:21" x14ac:dyDescent="0.3">
      <c r="A48">
        <v>47</v>
      </c>
      <c r="B48" t="s">
        <v>63</v>
      </c>
      <c r="C48" s="2">
        <v>45691</v>
      </c>
      <c r="D48" s="2" t="str">
        <f t="shared" si="3"/>
        <v>Feb-2025</v>
      </c>
      <c r="E48" s="2">
        <v>45696</v>
      </c>
      <c r="F48" t="s">
        <v>1017</v>
      </c>
      <c r="G48" t="s">
        <v>1032</v>
      </c>
      <c r="H48" t="s">
        <v>1272</v>
      </c>
      <c r="I48" t="s">
        <v>1287</v>
      </c>
      <c r="J48" t="s">
        <v>1299</v>
      </c>
      <c r="K48" t="s">
        <v>1304</v>
      </c>
      <c r="L48" t="s">
        <v>1307</v>
      </c>
      <c r="M48" t="s">
        <v>1311</v>
      </c>
      <c r="N48">
        <v>1</v>
      </c>
      <c r="O48">
        <v>0.1</v>
      </c>
      <c r="P48">
        <v>264.99</v>
      </c>
      <c r="Q48">
        <v>67.099999999999994</v>
      </c>
      <c r="R48" t="s">
        <v>1333</v>
      </c>
      <c r="S48" t="b">
        <f t="shared" si="0"/>
        <v>0</v>
      </c>
      <c r="T48" t="b">
        <f t="shared" si="1"/>
        <v>0</v>
      </c>
      <c r="U48" t="b">
        <f t="shared" si="2"/>
        <v>0</v>
      </c>
    </row>
    <row r="49" spans="1:21" x14ac:dyDescent="0.3">
      <c r="A49">
        <v>48</v>
      </c>
      <c r="B49" t="s">
        <v>64</v>
      </c>
      <c r="C49" s="2">
        <v>45841</v>
      </c>
      <c r="D49" s="2" t="str">
        <f t="shared" si="3"/>
        <v>Jul-2025</v>
      </c>
      <c r="E49" s="2">
        <v>45842</v>
      </c>
      <c r="F49" t="s">
        <v>1018</v>
      </c>
      <c r="G49" t="s">
        <v>1063</v>
      </c>
      <c r="H49" t="s">
        <v>1272</v>
      </c>
      <c r="I49" t="s">
        <v>1287</v>
      </c>
      <c r="J49" t="s">
        <v>1301</v>
      </c>
      <c r="K49" t="s">
        <v>1303</v>
      </c>
      <c r="L49" t="s">
        <v>1308</v>
      </c>
      <c r="M49" t="s">
        <v>1319</v>
      </c>
      <c r="N49">
        <v>3</v>
      </c>
      <c r="O49">
        <v>0</v>
      </c>
      <c r="P49">
        <v>14344.45</v>
      </c>
      <c r="Q49">
        <v>4482.46</v>
      </c>
      <c r="R49" t="s">
        <v>1331</v>
      </c>
      <c r="S49" t="b">
        <f t="shared" si="0"/>
        <v>0</v>
      </c>
      <c r="T49" t="b">
        <f t="shared" si="1"/>
        <v>0</v>
      </c>
      <c r="U49" t="b">
        <f t="shared" si="2"/>
        <v>0</v>
      </c>
    </row>
    <row r="50" spans="1:21" x14ac:dyDescent="0.3">
      <c r="A50">
        <v>49</v>
      </c>
      <c r="B50" t="s">
        <v>65</v>
      </c>
      <c r="C50" s="2">
        <v>45890</v>
      </c>
      <c r="D50" s="2" t="str">
        <f t="shared" si="3"/>
        <v>Aug-2025</v>
      </c>
      <c r="E50" s="2">
        <v>45894</v>
      </c>
      <c r="F50" t="s">
        <v>1017</v>
      </c>
      <c r="G50" t="s">
        <v>1064</v>
      </c>
      <c r="H50" t="s">
        <v>1279</v>
      </c>
      <c r="I50" t="s">
        <v>1287</v>
      </c>
      <c r="J50" t="s">
        <v>1301</v>
      </c>
      <c r="K50" t="s">
        <v>1303</v>
      </c>
      <c r="L50" t="s">
        <v>1309</v>
      </c>
      <c r="M50" t="s">
        <v>1320</v>
      </c>
      <c r="N50">
        <v>1</v>
      </c>
      <c r="O50">
        <v>0</v>
      </c>
      <c r="P50">
        <v>1163.79</v>
      </c>
      <c r="Q50">
        <v>333.06</v>
      </c>
      <c r="R50" t="s">
        <v>1333</v>
      </c>
      <c r="S50" t="b">
        <f t="shared" si="0"/>
        <v>0</v>
      </c>
      <c r="T50" t="b">
        <f t="shared" si="1"/>
        <v>0</v>
      </c>
      <c r="U50" t="b">
        <f t="shared" si="2"/>
        <v>0</v>
      </c>
    </row>
    <row r="51" spans="1:21" x14ac:dyDescent="0.3">
      <c r="A51">
        <v>50</v>
      </c>
      <c r="B51" t="s">
        <v>66</v>
      </c>
      <c r="C51" s="2">
        <v>45770</v>
      </c>
      <c r="D51" s="2" t="str">
        <f t="shared" si="3"/>
        <v>Apr-2025</v>
      </c>
      <c r="E51" s="2">
        <v>45773</v>
      </c>
      <c r="F51" t="s">
        <v>1017</v>
      </c>
      <c r="G51" t="s">
        <v>1037</v>
      </c>
      <c r="H51" t="s">
        <v>1284</v>
      </c>
      <c r="I51" t="s">
        <v>1288</v>
      </c>
      <c r="J51" t="s">
        <v>1299</v>
      </c>
      <c r="K51" t="s">
        <v>1304</v>
      </c>
      <c r="L51" t="s">
        <v>1308</v>
      </c>
      <c r="M51" t="s">
        <v>1319</v>
      </c>
      <c r="N51">
        <v>1</v>
      </c>
      <c r="O51">
        <v>0.2</v>
      </c>
      <c r="P51">
        <v>3563.13</v>
      </c>
      <c r="Q51">
        <v>519.19000000000005</v>
      </c>
      <c r="R51" t="s">
        <v>1331</v>
      </c>
      <c r="S51" t="b">
        <f t="shared" si="0"/>
        <v>0</v>
      </c>
      <c r="T51" t="b">
        <f t="shared" si="1"/>
        <v>0</v>
      </c>
      <c r="U51" t="b">
        <f t="shared" si="2"/>
        <v>0</v>
      </c>
    </row>
    <row r="52" spans="1:21" x14ac:dyDescent="0.3">
      <c r="A52">
        <v>51</v>
      </c>
      <c r="B52" t="s">
        <v>67</v>
      </c>
      <c r="C52" s="2">
        <v>45664</v>
      </c>
      <c r="D52" s="2" t="str">
        <f t="shared" si="3"/>
        <v>Jan-2025</v>
      </c>
      <c r="E52" s="2">
        <v>45667</v>
      </c>
      <c r="F52" t="s">
        <v>1017</v>
      </c>
      <c r="G52" t="s">
        <v>1065</v>
      </c>
      <c r="H52" t="s">
        <v>1269</v>
      </c>
      <c r="I52" t="s">
        <v>1287</v>
      </c>
      <c r="J52" t="s">
        <v>1295</v>
      </c>
      <c r="K52" t="s">
        <v>1305</v>
      </c>
      <c r="L52" t="s">
        <v>1306</v>
      </c>
      <c r="M52" t="s">
        <v>1310</v>
      </c>
      <c r="N52">
        <v>1</v>
      </c>
      <c r="O52">
        <v>0.05</v>
      </c>
      <c r="P52">
        <v>641.9</v>
      </c>
      <c r="Q52">
        <v>172.38</v>
      </c>
      <c r="R52" t="s">
        <v>1333</v>
      </c>
      <c r="S52" t="b">
        <f t="shared" si="0"/>
        <v>0</v>
      </c>
      <c r="T52" t="b">
        <f t="shared" si="1"/>
        <v>0</v>
      </c>
      <c r="U52" t="b">
        <f t="shared" si="2"/>
        <v>0</v>
      </c>
    </row>
    <row r="53" spans="1:21" x14ac:dyDescent="0.3">
      <c r="A53">
        <v>52</v>
      </c>
      <c r="B53" t="s">
        <v>68</v>
      </c>
      <c r="C53" s="2">
        <v>45930</v>
      </c>
      <c r="D53" s="2" t="str">
        <f t="shared" si="3"/>
        <v>Sep-2025</v>
      </c>
      <c r="E53" s="2">
        <v>45932</v>
      </c>
      <c r="F53" t="s">
        <v>1017</v>
      </c>
      <c r="G53" t="s">
        <v>1066</v>
      </c>
      <c r="H53" t="s">
        <v>1283</v>
      </c>
      <c r="I53" t="s">
        <v>1287</v>
      </c>
      <c r="J53" t="s">
        <v>1292</v>
      </c>
      <c r="K53" t="s">
        <v>1303</v>
      </c>
      <c r="L53" t="s">
        <v>1309</v>
      </c>
      <c r="M53" t="s">
        <v>1317</v>
      </c>
      <c r="N53">
        <v>2</v>
      </c>
      <c r="O53">
        <v>0</v>
      </c>
      <c r="P53">
        <v>1603.65</v>
      </c>
      <c r="Q53">
        <v>538.35</v>
      </c>
      <c r="R53" t="s">
        <v>1332</v>
      </c>
      <c r="S53" t="b">
        <f t="shared" si="0"/>
        <v>0</v>
      </c>
      <c r="T53" t="b">
        <f t="shared" si="1"/>
        <v>0</v>
      </c>
      <c r="U53" t="b">
        <f t="shared" si="2"/>
        <v>0</v>
      </c>
    </row>
    <row r="54" spans="1:21" x14ac:dyDescent="0.3">
      <c r="A54">
        <v>53</v>
      </c>
      <c r="B54" t="s">
        <v>69</v>
      </c>
      <c r="C54" s="2">
        <v>45893</v>
      </c>
      <c r="D54" s="2" t="str">
        <f t="shared" si="3"/>
        <v>Aug-2025</v>
      </c>
      <c r="E54" s="2">
        <v>45896</v>
      </c>
      <c r="F54" t="s">
        <v>1018</v>
      </c>
      <c r="G54" t="s">
        <v>1067</v>
      </c>
      <c r="H54" t="s">
        <v>1278</v>
      </c>
      <c r="I54" t="s">
        <v>1287</v>
      </c>
      <c r="J54" t="s">
        <v>1301</v>
      </c>
      <c r="K54" t="s">
        <v>1303</v>
      </c>
      <c r="L54" t="s">
        <v>1306</v>
      </c>
      <c r="M54" t="s">
        <v>1324</v>
      </c>
      <c r="N54">
        <v>2</v>
      </c>
      <c r="O54">
        <v>0.15</v>
      </c>
      <c r="P54">
        <v>151.15</v>
      </c>
      <c r="Q54">
        <v>27.4</v>
      </c>
      <c r="R54" t="s">
        <v>1333</v>
      </c>
      <c r="S54" t="b">
        <f t="shared" si="0"/>
        <v>0</v>
      </c>
      <c r="T54" t="b">
        <f t="shared" si="1"/>
        <v>0</v>
      </c>
      <c r="U54" t="b">
        <f t="shared" si="2"/>
        <v>0</v>
      </c>
    </row>
    <row r="55" spans="1:21" x14ac:dyDescent="0.3">
      <c r="A55">
        <v>54</v>
      </c>
      <c r="B55" t="s">
        <v>70</v>
      </c>
      <c r="C55" s="2">
        <v>45727</v>
      </c>
      <c r="D55" s="2" t="str">
        <f t="shared" si="3"/>
        <v>Mar-2025</v>
      </c>
      <c r="E55" s="2">
        <v>45731</v>
      </c>
      <c r="F55" t="s">
        <v>1018</v>
      </c>
      <c r="G55" t="s">
        <v>1035</v>
      </c>
      <c r="H55" t="s">
        <v>1279</v>
      </c>
      <c r="I55" t="s">
        <v>1287</v>
      </c>
      <c r="J55" t="s">
        <v>1299</v>
      </c>
      <c r="K55" t="s">
        <v>1304</v>
      </c>
      <c r="L55" t="s">
        <v>1306</v>
      </c>
      <c r="M55" t="s">
        <v>1323</v>
      </c>
      <c r="N55">
        <v>1</v>
      </c>
      <c r="O55">
        <v>0</v>
      </c>
      <c r="P55">
        <v>186.31</v>
      </c>
      <c r="Q55">
        <v>71.55</v>
      </c>
      <c r="R55" t="s">
        <v>1333</v>
      </c>
      <c r="S55" t="b">
        <f t="shared" si="0"/>
        <v>0</v>
      </c>
      <c r="T55" t="b">
        <f t="shared" si="1"/>
        <v>0</v>
      </c>
      <c r="U55" t="b">
        <f t="shared" si="2"/>
        <v>0</v>
      </c>
    </row>
    <row r="56" spans="1:21" x14ac:dyDescent="0.3">
      <c r="A56">
        <v>55</v>
      </c>
      <c r="B56" t="s">
        <v>71</v>
      </c>
      <c r="C56" s="2">
        <v>45877</v>
      </c>
      <c r="D56" s="2" t="str">
        <f t="shared" si="3"/>
        <v>Aug-2025</v>
      </c>
      <c r="E56" s="2">
        <v>45880</v>
      </c>
      <c r="F56" t="s">
        <v>1017</v>
      </c>
      <c r="G56" t="s">
        <v>1068</v>
      </c>
      <c r="H56" t="s">
        <v>1286</v>
      </c>
      <c r="I56" t="s">
        <v>1288</v>
      </c>
      <c r="J56" t="s">
        <v>1300</v>
      </c>
      <c r="K56" t="s">
        <v>1305</v>
      </c>
      <c r="L56" t="s">
        <v>1306</v>
      </c>
      <c r="M56" t="s">
        <v>1324</v>
      </c>
      <c r="N56">
        <v>1</v>
      </c>
      <c r="O56">
        <v>0.05</v>
      </c>
      <c r="P56">
        <v>88.63</v>
      </c>
      <c r="Q56">
        <v>18.12</v>
      </c>
      <c r="R56" t="s">
        <v>1330</v>
      </c>
      <c r="S56" t="b">
        <f t="shared" si="0"/>
        <v>0</v>
      </c>
      <c r="T56" t="b">
        <f t="shared" si="1"/>
        <v>0</v>
      </c>
      <c r="U56" t="b">
        <f t="shared" si="2"/>
        <v>0</v>
      </c>
    </row>
    <row r="57" spans="1:21" x14ac:dyDescent="0.3">
      <c r="A57">
        <v>56</v>
      </c>
      <c r="B57" t="s">
        <v>72</v>
      </c>
      <c r="C57" s="2">
        <v>45775</v>
      </c>
      <c r="D57" s="2" t="str">
        <f t="shared" si="3"/>
        <v>Apr-2025</v>
      </c>
      <c r="E57" s="2">
        <v>45779</v>
      </c>
      <c r="F57" t="s">
        <v>1017</v>
      </c>
      <c r="G57" t="s">
        <v>1069</v>
      </c>
      <c r="H57" t="s">
        <v>1277</v>
      </c>
      <c r="I57" t="s">
        <v>1288</v>
      </c>
      <c r="J57" t="s">
        <v>1296</v>
      </c>
      <c r="K57" t="s">
        <v>1304</v>
      </c>
      <c r="L57" t="s">
        <v>1308</v>
      </c>
      <c r="M57" t="s">
        <v>1326</v>
      </c>
      <c r="N57">
        <v>4</v>
      </c>
      <c r="O57">
        <v>0</v>
      </c>
      <c r="P57">
        <v>27787.25</v>
      </c>
      <c r="Q57">
        <v>7587.52</v>
      </c>
      <c r="R57" t="s">
        <v>1331</v>
      </c>
      <c r="S57" t="b">
        <f t="shared" si="0"/>
        <v>0</v>
      </c>
      <c r="T57" t="b">
        <f t="shared" si="1"/>
        <v>0</v>
      </c>
      <c r="U57" t="b">
        <f t="shared" si="2"/>
        <v>0</v>
      </c>
    </row>
    <row r="58" spans="1:21" x14ac:dyDescent="0.3">
      <c r="A58">
        <v>57</v>
      </c>
      <c r="B58" t="s">
        <v>73</v>
      </c>
      <c r="C58" s="2">
        <v>45835</v>
      </c>
      <c r="D58" s="2" t="str">
        <f t="shared" si="3"/>
        <v>Jun-2025</v>
      </c>
      <c r="E58" s="2">
        <v>45837</v>
      </c>
      <c r="F58" t="s">
        <v>1017</v>
      </c>
      <c r="G58" t="s">
        <v>1070</v>
      </c>
      <c r="H58" t="s">
        <v>1278</v>
      </c>
      <c r="I58" t="s">
        <v>1287</v>
      </c>
      <c r="J58" t="s">
        <v>1297</v>
      </c>
      <c r="K58" t="s">
        <v>1304</v>
      </c>
      <c r="L58" t="s">
        <v>1308</v>
      </c>
      <c r="M58" t="s">
        <v>1319</v>
      </c>
      <c r="N58">
        <v>1</v>
      </c>
      <c r="O58">
        <v>0.1</v>
      </c>
      <c r="P58">
        <v>4159.22</v>
      </c>
      <c r="Q58">
        <v>802.94</v>
      </c>
      <c r="R58" t="s">
        <v>1331</v>
      </c>
      <c r="S58" t="b">
        <f t="shared" si="0"/>
        <v>0</v>
      </c>
      <c r="T58" t="b">
        <f t="shared" si="1"/>
        <v>0</v>
      </c>
      <c r="U58" t="b">
        <f t="shared" si="2"/>
        <v>0</v>
      </c>
    </row>
    <row r="59" spans="1:21" x14ac:dyDescent="0.3">
      <c r="A59">
        <v>58</v>
      </c>
      <c r="B59" t="s">
        <v>74</v>
      </c>
      <c r="C59" s="2">
        <v>45751</v>
      </c>
      <c r="D59" s="2" t="str">
        <f t="shared" si="3"/>
        <v>Apr-2025</v>
      </c>
      <c r="E59" s="2">
        <v>45752</v>
      </c>
      <c r="F59" t="s">
        <v>1017</v>
      </c>
      <c r="G59" t="s">
        <v>1044</v>
      </c>
      <c r="H59" t="s">
        <v>1281</v>
      </c>
      <c r="I59" t="s">
        <v>1289</v>
      </c>
      <c r="J59" t="s">
        <v>1290</v>
      </c>
      <c r="K59" t="s">
        <v>1302</v>
      </c>
      <c r="L59" t="s">
        <v>1309</v>
      </c>
      <c r="M59" t="s">
        <v>1317</v>
      </c>
      <c r="N59">
        <v>2</v>
      </c>
      <c r="O59">
        <v>0.1</v>
      </c>
      <c r="P59">
        <v>1488.64</v>
      </c>
      <c r="Q59">
        <v>259.47000000000003</v>
      </c>
      <c r="R59" t="s">
        <v>1331</v>
      </c>
      <c r="S59" t="b">
        <f t="shared" si="0"/>
        <v>0</v>
      </c>
      <c r="T59" t="b">
        <f t="shared" si="1"/>
        <v>0</v>
      </c>
      <c r="U59" t="b">
        <f t="shared" si="2"/>
        <v>0</v>
      </c>
    </row>
    <row r="60" spans="1:21" x14ac:dyDescent="0.3">
      <c r="A60">
        <v>59</v>
      </c>
      <c r="B60" t="s">
        <v>75</v>
      </c>
      <c r="C60" s="2">
        <v>45973</v>
      </c>
      <c r="D60" s="2" t="str">
        <f t="shared" si="3"/>
        <v>Nov-2025</v>
      </c>
      <c r="E60" s="2">
        <v>45976</v>
      </c>
      <c r="F60" t="s">
        <v>1018</v>
      </c>
      <c r="G60" t="s">
        <v>1071</v>
      </c>
      <c r="H60" t="s">
        <v>1283</v>
      </c>
      <c r="I60" t="s">
        <v>1287</v>
      </c>
      <c r="J60" t="s">
        <v>1300</v>
      </c>
      <c r="K60" t="s">
        <v>1305</v>
      </c>
      <c r="L60" t="s">
        <v>1309</v>
      </c>
      <c r="M60" t="s">
        <v>1313</v>
      </c>
      <c r="N60">
        <v>3</v>
      </c>
      <c r="O60">
        <v>0.15</v>
      </c>
      <c r="P60">
        <v>3694.12</v>
      </c>
      <c r="Q60">
        <v>173.35</v>
      </c>
      <c r="R60" t="s">
        <v>1333</v>
      </c>
      <c r="S60" t="b">
        <f t="shared" si="0"/>
        <v>0</v>
      </c>
      <c r="T60" t="b">
        <f t="shared" si="1"/>
        <v>0</v>
      </c>
      <c r="U60" t="b">
        <f t="shared" si="2"/>
        <v>0</v>
      </c>
    </row>
    <row r="61" spans="1:21" x14ac:dyDescent="0.3">
      <c r="A61">
        <v>60</v>
      </c>
      <c r="B61" t="s">
        <v>76</v>
      </c>
      <c r="C61" s="2">
        <v>45810</v>
      </c>
      <c r="D61" s="2" t="str">
        <f t="shared" si="3"/>
        <v>Jun-2025</v>
      </c>
      <c r="E61" s="2">
        <v>45811</v>
      </c>
      <c r="F61" t="s">
        <v>1017</v>
      </c>
      <c r="G61" t="s">
        <v>1020</v>
      </c>
      <c r="H61" t="s">
        <v>1282</v>
      </c>
      <c r="I61" t="s">
        <v>1288</v>
      </c>
      <c r="J61" t="s">
        <v>1301</v>
      </c>
      <c r="K61" t="s">
        <v>1303</v>
      </c>
      <c r="L61" t="s">
        <v>1308</v>
      </c>
      <c r="M61" t="s">
        <v>1319</v>
      </c>
      <c r="N61">
        <v>2</v>
      </c>
      <c r="O61">
        <v>0.1</v>
      </c>
      <c r="P61">
        <v>8608.98</v>
      </c>
      <c r="Q61">
        <v>2200.0100000000002</v>
      </c>
      <c r="R61" t="s">
        <v>1331</v>
      </c>
      <c r="S61" t="b">
        <f t="shared" si="0"/>
        <v>0</v>
      </c>
      <c r="T61" t="b">
        <f t="shared" si="1"/>
        <v>0</v>
      </c>
      <c r="U61" t="b">
        <f t="shared" si="2"/>
        <v>0</v>
      </c>
    </row>
    <row r="62" spans="1:21" x14ac:dyDescent="0.3">
      <c r="A62">
        <v>61</v>
      </c>
      <c r="B62" t="s">
        <v>77</v>
      </c>
      <c r="C62" s="2">
        <v>45768</v>
      </c>
      <c r="D62" s="2" t="str">
        <f t="shared" si="3"/>
        <v>Apr-2025</v>
      </c>
      <c r="E62" s="2">
        <v>45773</v>
      </c>
      <c r="F62" t="s">
        <v>1017</v>
      </c>
      <c r="G62" t="s">
        <v>1072</v>
      </c>
      <c r="H62" t="s">
        <v>1286</v>
      </c>
      <c r="I62" t="s">
        <v>1288</v>
      </c>
      <c r="J62" t="s">
        <v>1300</v>
      </c>
      <c r="K62" t="s">
        <v>1305</v>
      </c>
      <c r="L62" t="s">
        <v>1307</v>
      </c>
      <c r="M62" t="s">
        <v>1322</v>
      </c>
      <c r="N62">
        <v>3</v>
      </c>
      <c r="O62">
        <v>0</v>
      </c>
      <c r="P62">
        <v>2096.04</v>
      </c>
      <c r="Q62">
        <v>484.93</v>
      </c>
      <c r="R62" t="s">
        <v>1332</v>
      </c>
      <c r="S62" t="b">
        <f t="shared" si="0"/>
        <v>0</v>
      </c>
      <c r="T62" t="b">
        <f t="shared" si="1"/>
        <v>0</v>
      </c>
      <c r="U62" t="b">
        <f t="shared" si="2"/>
        <v>0</v>
      </c>
    </row>
    <row r="63" spans="1:21" x14ac:dyDescent="0.3">
      <c r="A63">
        <v>62</v>
      </c>
      <c r="B63" t="s">
        <v>78</v>
      </c>
      <c r="C63" s="2">
        <v>45780</v>
      </c>
      <c r="D63" s="2" t="str">
        <f t="shared" si="3"/>
        <v>May-2025</v>
      </c>
      <c r="E63" s="2">
        <v>45782</v>
      </c>
      <c r="F63" t="s">
        <v>1017</v>
      </c>
      <c r="G63" t="s">
        <v>1073</v>
      </c>
      <c r="H63" t="s">
        <v>1280</v>
      </c>
      <c r="I63" t="s">
        <v>1287</v>
      </c>
      <c r="J63" t="s">
        <v>1297</v>
      </c>
      <c r="K63" t="s">
        <v>1304</v>
      </c>
      <c r="L63" t="s">
        <v>1307</v>
      </c>
      <c r="M63" t="s">
        <v>1316</v>
      </c>
      <c r="N63">
        <v>2</v>
      </c>
      <c r="O63">
        <v>0.15</v>
      </c>
      <c r="P63">
        <v>834.9</v>
      </c>
      <c r="Q63">
        <v>52.22</v>
      </c>
      <c r="R63" t="s">
        <v>1331</v>
      </c>
      <c r="S63" t="b">
        <f t="shared" si="0"/>
        <v>0</v>
      </c>
      <c r="T63" t="b">
        <f t="shared" si="1"/>
        <v>0</v>
      </c>
      <c r="U63" t="b">
        <f t="shared" si="2"/>
        <v>0</v>
      </c>
    </row>
    <row r="64" spans="1:21" x14ac:dyDescent="0.3">
      <c r="A64">
        <v>63</v>
      </c>
      <c r="B64" t="s">
        <v>79</v>
      </c>
      <c r="C64" s="2">
        <v>45752</v>
      </c>
      <c r="D64" s="2" t="str">
        <f t="shared" si="3"/>
        <v>Apr-2025</v>
      </c>
      <c r="E64" s="2">
        <v>45755</v>
      </c>
      <c r="F64" t="s">
        <v>1017</v>
      </c>
      <c r="G64" t="s">
        <v>1047</v>
      </c>
      <c r="H64" t="s">
        <v>1276</v>
      </c>
      <c r="I64" t="s">
        <v>1287</v>
      </c>
      <c r="J64" t="s">
        <v>1297</v>
      </c>
      <c r="K64" t="s">
        <v>1304</v>
      </c>
      <c r="L64" t="s">
        <v>1307</v>
      </c>
      <c r="M64" t="s">
        <v>1315</v>
      </c>
      <c r="N64">
        <v>3</v>
      </c>
      <c r="O64">
        <v>0.15</v>
      </c>
      <c r="P64">
        <v>4676.42</v>
      </c>
      <c r="Q64">
        <v>744.46</v>
      </c>
      <c r="R64" t="s">
        <v>1330</v>
      </c>
      <c r="S64" t="b">
        <f t="shared" si="0"/>
        <v>0</v>
      </c>
      <c r="T64" t="b">
        <f t="shared" si="1"/>
        <v>0</v>
      </c>
      <c r="U64" t="b">
        <f t="shared" si="2"/>
        <v>0</v>
      </c>
    </row>
    <row r="65" spans="1:21" x14ac:dyDescent="0.3">
      <c r="A65">
        <v>64</v>
      </c>
      <c r="B65" t="s">
        <v>80</v>
      </c>
      <c r="C65" s="2">
        <v>45867</v>
      </c>
      <c r="D65" s="2" t="str">
        <f t="shared" si="3"/>
        <v>Jul-2025</v>
      </c>
      <c r="E65" s="2">
        <v>45868</v>
      </c>
      <c r="F65" t="s">
        <v>1017</v>
      </c>
      <c r="G65" t="s">
        <v>1074</v>
      </c>
      <c r="H65" t="s">
        <v>1283</v>
      </c>
      <c r="I65" t="s">
        <v>1289</v>
      </c>
      <c r="J65" t="s">
        <v>1290</v>
      </c>
      <c r="K65" t="s">
        <v>1302</v>
      </c>
      <c r="L65" t="s">
        <v>1308</v>
      </c>
      <c r="M65" t="s">
        <v>1326</v>
      </c>
      <c r="N65">
        <v>1</v>
      </c>
      <c r="O65">
        <v>0.1</v>
      </c>
      <c r="P65">
        <v>6145.41</v>
      </c>
      <c r="Q65">
        <v>789.64</v>
      </c>
      <c r="R65" t="s">
        <v>1332</v>
      </c>
      <c r="S65" t="b">
        <f t="shared" si="0"/>
        <v>0</v>
      </c>
      <c r="T65" t="b">
        <f t="shared" si="1"/>
        <v>0</v>
      </c>
      <c r="U65" t="b">
        <f t="shared" si="2"/>
        <v>0</v>
      </c>
    </row>
    <row r="66" spans="1:21" x14ac:dyDescent="0.3">
      <c r="A66">
        <v>65</v>
      </c>
      <c r="B66" t="s">
        <v>81</v>
      </c>
      <c r="C66" s="2">
        <v>45708</v>
      </c>
      <c r="D66" s="2" t="str">
        <f t="shared" si="3"/>
        <v>Feb-2025</v>
      </c>
      <c r="E66" s="2">
        <v>45713</v>
      </c>
      <c r="F66" t="s">
        <v>1019</v>
      </c>
      <c r="G66" t="s">
        <v>1075</v>
      </c>
      <c r="H66" t="s">
        <v>1284</v>
      </c>
      <c r="I66" t="s">
        <v>1287</v>
      </c>
      <c r="J66" t="s">
        <v>1299</v>
      </c>
      <c r="K66" t="s">
        <v>1304</v>
      </c>
      <c r="L66" t="s">
        <v>1309</v>
      </c>
      <c r="M66" t="s">
        <v>1325</v>
      </c>
      <c r="N66">
        <v>2</v>
      </c>
      <c r="O66">
        <v>0.1</v>
      </c>
      <c r="P66">
        <v>2245.67</v>
      </c>
      <c r="Q66">
        <v>198.22</v>
      </c>
      <c r="R66" t="s">
        <v>1331</v>
      </c>
      <c r="S66" t="b">
        <f t="shared" ref="S66:S129" si="4">E66&lt;C66</f>
        <v>0</v>
      </c>
      <c r="T66" t="b">
        <f t="shared" ref="T66:T129" si="5">N66&lt;=0</f>
        <v>0</v>
      </c>
      <c r="U66" t="b">
        <f t="shared" ref="U66:U129" si="6">OR(O66&lt;0,O66&gt;1)</f>
        <v>0</v>
      </c>
    </row>
    <row r="67" spans="1:21" x14ac:dyDescent="0.3">
      <c r="A67">
        <v>66</v>
      </c>
      <c r="B67" t="s">
        <v>82</v>
      </c>
      <c r="C67" s="2">
        <v>45806</v>
      </c>
      <c r="D67" s="2" t="str">
        <f t="shared" ref="D67:D130" si="7">TEXT(C67,"mmm-yyyy")</f>
        <v>May-2025</v>
      </c>
      <c r="E67" s="2">
        <v>45807</v>
      </c>
      <c r="F67" t="s">
        <v>1018</v>
      </c>
      <c r="G67" t="s">
        <v>1071</v>
      </c>
      <c r="H67" t="s">
        <v>1279</v>
      </c>
      <c r="I67" t="s">
        <v>1287</v>
      </c>
      <c r="J67" t="s">
        <v>1299</v>
      </c>
      <c r="K67" t="s">
        <v>1304</v>
      </c>
      <c r="L67" t="s">
        <v>1309</v>
      </c>
      <c r="M67" t="s">
        <v>1317</v>
      </c>
      <c r="N67">
        <v>4</v>
      </c>
      <c r="O67">
        <v>0.1</v>
      </c>
      <c r="P67">
        <v>2946.66</v>
      </c>
      <c r="Q67">
        <v>833.73</v>
      </c>
      <c r="R67" t="s">
        <v>1333</v>
      </c>
      <c r="S67" t="b">
        <f t="shared" si="4"/>
        <v>0</v>
      </c>
      <c r="T67" t="b">
        <f t="shared" si="5"/>
        <v>0</v>
      </c>
      <c r="U67" t="b">
        <f t="shared" si="6"/>
        <v>0</v>
      </c>
    </row>
    <row r="68" spans="1:21" x14ac:dyDescent="0.3">
      <c r="A68">
        <v>67</v>
      </c>
      <c r="B68" t="s">
        <v>83</v>
      </c>
      <c r="C68" s="2">
        <v>45674</v>
      </c>
      <c r="D68" s="2" t="str">
        <f t="shared" si="7"/>
        <v>Jan-2025</v>
      </c>
      <c r="E68" s="2">
        <v>45677</v>
      </c>
      <c r="F68" t="s">
        <v>1017</v>
      </c>
      <c r="G68" t="s">
        <v>1066</v>
      </c>
      <c r="H68" t="s">
        <v>1274</v>
      </c>
      <c r="I68" t="s">
        <v>1287</v>
      </c>
      <c r="J68" t="s">
        <v>1292</v>
      </c>
      <c r="K68" t="s">
        <v>1303</v>
      </c>
      <c r="L68" t="s">
        <v>1307</v>
      </c>
      <c r="M68" t="s">
        <v>1311</v>
      </c>
      <c r="N68">
        <v>1</v>
      </c>
      <c r="O68">
        <v>0.15</v>
      </c>
      <c r="P68">
        <v>242.28</v>
      </c>
      <c r="Q68">
        <v>2.3199999999999998</v>
      </c>
      <c r="R68" t="s">
        <v>1331</v>
      </c>
      <c r="S68" t="b">
        <f t="shared" si="4"/>
        <v>0</v>
      </c>
      <c r="T68" t="b">
        <f t="shared" si="5"/>
        <v>0</v>
      </c>
      <c r="U68" t="b">
        <f t="shared" si="6"/>
        <v>0</v>
      </c>
    </row>
    <row r="69" spans="1:21" x14ac:dyDescent="0.3">
      <c r="A69">
        <v>68</v>
      </c>
      <c r="B69" t="s">
        <v>84</v>
      </c>
      <c r="C69" s="2">
        <v>45706</v>
      </c>
      <c r="D69" s="2" t="str">
        <f t="shared" si="7"/>
        <v>Feb-2025</v>
      </c>
      <c r="E69" s="2">
        <v>45707</v>
      </c>
      <c r="F69" t="s">
        <v>1017</v>
      </c>
      <c r="G69" t="s">
        <v>1076</v>
      </c>
      <c r="H69" t="s">
        <v>1282</v>
      </c>
      <c r="I69" t="s">
        <v>1287</v>
      </c>
      <c r="J69" t="s">
        <v>1290</v>
      </c>
      <c r="K69" t="s">
        <v>1302</v>
      </c>
      <c r="L69" t="s">
        <v>1306</v>
      </c>
      <c r="M69" t="s">
        <v>1310</v>
      </c>
      <c r="N69">
        <v>2</v>
      </c>
      <c r="O69">
        <v>0</v>
      </c>
      <c r="P69">
        <v>1359.94</v>
      </c>
      <c r="Q69">
        <v>515.29</v>
      </c>
      <c r="R69" t="s">
        <v>1333</v>
      </c>
      <c r="S69" t="b">
        <f t="shared" si="4"/>
        <v>0</v>
      </c>
      <c r="T69" t="b">
        <f t="shared" si="5"/>
        <v>0</v>
      </c>
      <c r="U69" t="b">
        <f t="shared" si="6"/>
        <v>0</v>
      </c>
    </row>
    <row r="70" spans="1:21" x14ac:dyDescent="0.3">
      <c r="A70">
        <v>69</v>
      </c>
      <c r="B70" t="s">
        <v>85</v>
      </c>
      <c r="C70" s="2">
        <v>45815</v>
      </c>
      <c r="D70" s="2" t="str">
        <f t="shared" si="7"/>
        <v>Jun-2025</v>
      </c>
      <c r="E70" s="2">
        <v>45820</v>
      </c>
      <c r="F70" t="s">
        <v>1018</v>
      </c>
      <c r="G70" t="s">
        <v>1054</v>
      </c>
      <c r="H70" t="s">
        <v>1269</v>
      </c>
      <c r="I70" t="s">
        <v>1287</v>
      </c>
      <c r="J70" t="s">
        <v>1290</v>
      </c>
      <c r="K70" t="s">
        <v>1302</v>
      </c>
      <c r="L70" t="s">
        <v>1309</v>
      </c>
      <c r="M70" t="s">
        <v>1329</v>
      </c>
      <c r="N70">
        <v>3</v>
      </c>
      <c r="O70">
        <v>0.05</v>
      </c>
      <c r="P70">
        <v>5479.79</v>
      </c>
      <c r="Q70">
        <v>1517.27</v>
      </c>
      <c r="R70" t="s">
        <v>1332</v>
      </c>
      <c r="S70" t="b">
        <f t="shared" si="4"/>
        <v>0</v>
      </c>
      <c r="T70" t="b">
        <f t="shared" si="5"/>
        <v>0</v>
      </c>
      <c r="U70" t="b">
        <f t="shared" si="6"/>
        <v>0</v>
      </c>
    </row>
    <row r="71" spans="1:21" x14ac:dyDescent="0.3">
      <c r="A71">
        <v>70</v>
      </c>
      <c r="B71" t="s">
        <v>86</v>
      </c>
      <c r="C71" s="2">
        <v>45976</v>
      </c>
      <c r="D71" s="2" t="str">
        <f t="shared" si="7"/>
        <v>Nov-2025</v>
      </c>
      <c r="E71" s="2">
        <v>45980</v>
      </c>
      <c r="F71" t="s">
        <v>1019</v>
      </c>
      <c r="G71" t="s">
        <v>1077</v>
      </c>
      <c r="H71" t="s">
        <v>1270</v>
      </c>
      <c r="I71" t="s">
        <v>1287</v>
      </c>
      <c r="J71" t="s">
        <v>1299</v>
      </c>
      <c r="K71" t="s">
        <v>1304</v>
      </c>
      <c r="L71" t="s">
        <v>1306</v>
      </c>
      <c r="M71" t="s">
        <v>1324</v>
      </c>
      <c r="N71">
        <v>2</v>
      </c>
      <c r="O71">
        <v>0.1</v>
      </c>
      <c r="P71">
        <v>156.85</v>
      </c>
      <c r="Q71">
        <v>14.23</v>
      </c>
      <c r="R71" t="s">
        <v>1332</v>
      </c>
      <c r="S71" t="b">
        <f t="shared" si="4"/>
        <v>0</v>
      </c>
      <c r="T71" t="b">
        <f t="shared" si="5"/>
        <v>0</v>
      </c>
      <c r="U71" t="b">
        <f t="shared" si="6"/>
        <v>0</v>
      </c>
    </row>
    <row r="72" spans="1:21" x14ac:dyDescent="0.3">
      <c r="A72">
        <v>71</v>
      </c>
      <c r="B72" t="s">
        <v>87</v>
      </c>
      <c r="C72" s="2">
        <v>45970</v>
      </c>
      <c r="D72" s="2" t="str">
        <f t="shared" si="7"/>
        <v>Nov-2025</v>
      </c>
      <c r="E72" s="2">
        <v>45973</v>
      </c>
      <c r="F72" t="s">
        <v>1017</v>
      </c>
      <c r="G72" t="s">
        <v>1078</v>
      </c>
      <c r="H72" t="s">
        <v>1271</v>
      </c>
      <c r="I72" t="s">
        <v>1288</v>
      </c>
      <c r="J72" t="s">
        <v>1293</v>
      </c>
      <c r="K72" t="s">
        <v>1304</v>
      </c>
      <c r="L72" t="s">
        <v>1306</v>
      </c>
      <c r="M72" t="s">
        <v>1324</v>
      </c>
      <c r="N72">
        <v>4</v>
      </c>
      <c r="O72">
        <v>0.1</v>
      </c>
      <c r="P72">
        <v>315.29000000000002</v>
      </c>
      <c r="Q72">
        <v>43.71</v>
      </c>
      <c r="R72" t="s">
        <v>1330</v>
      </c>
      <c r="S72" t="b">
        <f t="shared" si="4"/>
        <v>0</v>
      </c>
      <c r="T72" t="b">
        <f t="shared" si="5"/>
        <v>0</v>
      </c>
      <c r="U72" t="b">
        <f t="shared" si="6"/>
        <v>0</v>
      </c>
    </row>
    <row r="73" spans="1:21" x14ac:dyDescent="0.3">
      <c r="A73">
        <v>72</v>
      </c>
      <c r="B73" t="s">
        <v>88</v>
      </c>
      <c r="C73" s="2">
        <v>45777</v>
      </c>
      <c r="D73" s="2" t="str">
        <f t="shared" si="7"/>
        <v>Apr-2025</v>
      </c>
      <c r="E73" s="2">
        <v>45780</v>
      </c>
      <c r="F73" t="s">
        <v>1017</v>
      </c>
      <c r="G73" t="s">
        <v>1052</v>
      </c>
      <c r="H73" t="s">
        <v>1268</v>
      </c>
      <c r="I73" t="s">
        <v>1287</v>
      </c>
      <c r="J73" t="s">
        <v>1296</v>
      </c>
      <c r="K73" t="s">
        <v>1304</v>
      </c>
      <c r="L73" t="s">
        <v>1308</v>
      </c>
      <c r="M73" t="s">
        <v>1326</v>
      </c>
      <c r="N73">
        <v>1</v>
      </c>
      <c r="O73">
        <v>0.15</v>
      </c>
      <c r="P73">
        <v>6224.39</v>
      </c>
      <c r="Q73">
        <v>563.03</v>
      </c>
      <c r="R73" t="s">
        <v>1332</v>
      </c>
      <c r="S73" t="b">
        <f t="shared" si="4"/>
        <v>0</v>
      </c>
      <c r="T73" t="b">
        <f t="shared" si="5"/>
        <v>0</v>
      </c>
      <c r="U73" t="b">
        <f t="shared" si="6"/>
        <v>0</v>
      </c>
    </row>
    <row r="74" spans="1:21" x14ac:dyDescent="0.3">
      <c r="A74">
        <v>73</v>
      </c>
      <c r="B74" t="s">
        <v>89</v>
      </c>
      <c r="C74" s="2">
        <v>45942</v>
      </c>
      <c r="D74" s="2" t="str">
        <f t="shared" si="7"/>
        <v>Oct-2025</v>
      </c>
      <c r="E74" s="2">
        <v>45946</v>
      </c>
      <c r="F74" t="s">
        <v>1018</v>
      </c>
      <c r="G74" t="s">
        <v>1079</v>
      </c>
      <c r="H74" t="s">
        <v>1270</v>
      </c>
      <c r="I74" t="s">
        <v>1289</v>
      </c>
      <c r="J74" t="s">
        <v>1296</v>
      </c>
      <c r="K74" t="s">
        <v>1304</v>
      </c>
      <c r="L74" t="s">
        <v>1308</v>
      </c>
      <c r="M74" t="s">
        <v>1327</v>
      </c>
      <c r="N74">
        <v>1</v>
      </c>
      <c r="O74">
        <v>0.2</v>
      </c>
      <c r="P74">
        <v>1468.55</v>
      </c>
      <c r="Q74">
        <v>25.53</v>
      </c>
      <c r="R74" t="s">
        <v>1331</v>
      </c>
      <c r="S74" t="b">
        <f t="shared" si="4"/>
        <v>0</v>
      </c>
      <c r="T74" t="b">
        <f t="shared" si="5"/>
        <v>0</v>
      </c>
      <c r="U74" t="b">
        <f t="shared" si="6"/>
        <v>0</v>
      </c>
    </row>
    <row r="75" spans="1:21" x14ac:dyDescent="0.3">
      <c r="A75">
        <v>74</v>
      </c>
      <c r="B75" t="s">
        <v>90</v>
      </c>
      <c r="C75" s="2">
        <v>45883</v>
      </c>
      <c r="D75" s="2" t="str">
        <f t="shared" si="7"/>
        <v>Aug-2025</v>
      </c>
      <c r="E75" s="2">
        <v>45888</v>
      </c>
      <c r="F75" t="s">
        <v>1018</v>
      </c>
      <c r="G75" t="s">
        <v>1080</v>
      </c>
      <c r="H75" t="s">
        <v>1275</v>
      </c>
      <c r="I75" t="s">
        <v>1289</v>
      </c>
      <c r="J75" t="s">
        <v>1298</v>
      </c>
      <c r="K75" t="s">
        <v>1303</v>
      </c>
      <c r="L75" t="s">
        <v>1309</v>
      </c>
      <c r="M75" t="s">
        <v>1313</v>
      </c>
      <c r="N75">
        <v>1</v>
      </c>
      <c r="O75">
        <v>0.15</v>
      </c>
      <c r="P75">
        <v>1247.96</v>
      </c>
      <c r="Q75">
        <v>34.229999999999997</v>
      </c>
      <c r="R75" t="s">
        <v>1333</v>
      </c>
      <c r="S75" t="b">
        <f t="shared" si="4"/>
        <v>0</v>
      </c>
      <c r="T75" t="b">
        <f t="shared" si="5"/>
        <v>0</v>
      </c>
      <c r="U75" t="b">
        <f t="shared" si="6"/>
        <v>0</v>
      </c>
    </row>
    <row r="76" spans="1:21" x14ac:dyDescent="0.3">
      <c r="A76">
        <v>75</v>
      </c>
      <c r="B76" t="s">
        <v>91</v>
      </c>
      <c r="C76" s="2">
        <v>45697</v>
      </c>
      <c r="D76" s="2" t="str">
        <f t="shared" si="7"/>
        <v>Feb-2025</v>
      </c>
      <c r="E76" s="2">
        <v>45699</v>
      </c>
      <c r="F76" t="s">
        <v>1017</v>
      </c>
      <c r="G76" t="s">
        <v>1081</v>
      </c>
      <c r="H76" t="s">
        <v>1284</v>
      </c>
      <c r="I76" t="s">
        <v>1289</v>
      </c>
      <c r="J76" t="s">
        <v>1293</v>
      </c>
      <c r="K76" t="s">
        <v>1304</v>
      </c>
      <c r="L76" t="s">
        <v>1307</v>
      </c>
      <c r="M76" t="s">
        <v>1316</v>
      </c>
      <c r="N76">
        <v>1</v>
      </c>
      <c r="O76">
        <v>0.05</v>
      </c>
      <c r="P76">
        <v>480.38</v>
      </c>
      <c r="Q76">
        <v>145.26</v>
      </c>
      <c r="R76" t="s">
        <v>1333</v>
      </c>
      <c r="S76" t="b">
        <f t="shared" si="4"/>
        <v>0</v>
      </c>
      <c r="T76" t="b">
        <f t="shared" si="5"/>
        <v>0</v>
      </c>
      <c r="U76" t="b">
        <f t="shared" si="6"/>
        <v>0</v>
      </c>
    </row>
    <row r="77" spans="1:21" x14ac:dyDescent="0.3">
      <c r="A77">
        <v>76</v>
      </c>
      <c r="B77" t="s">
        <v>92</v>
      </c>
      <c r="C77" s="2">
        <v>45699</v>
      </c>
      <c r="D77" s="2" t="str">
        <f t="shared" si="7"/>
        <v>Feb-2025</v>
      </c>
      <c r="E77" s="2">
        <v>45703</v>
      </c>
      <c r="F77" t="s">
        <v>1017</v>
      </c>
      <c r="G77" t="s">
        <v>1082</v>
      </c>
      <c r="H77" t="s">
        <v>1285</v>
      </c>
      <c r="I77" t="s">
        <v>1287</v>
      </c>
      <c r="J77" t="s">
        <v>1290</v>
      </c>
      <c r="K77" t="s">
        <v>1302</v>
      </c>
      <c r="L77" t="s">
        <v>1309</v>
      </c>
      <c r="M77" t="s">
        <v>1320</v>
      </c>
      <c r="N77">
        <v>3</v>
      </c>
      <c r="O77">
        <v>0.1</v>
      </c>
      <c r="P77">
        <v>3236.68</v>
      </c>
      <c r="Q77">
        <v>958.21</v>
      </c>
      <c r="R77" t="s">
        <v>1331</v>
      </c>
      <c r="S77" t="b">
        <f t="shared" si="4"/>
        <v>0</v>
      </c>
      <c r="T77" t="b">
        <f t="shared" si="5"/>
        <v>0</v>
      </c>
      <c r="U77" t="b">
        <f t="shared" si="6"/>
        <v>0</v>
      </c>
    </row>
    <row r="78" spans="1:21" x14ac:dyDescent="0.3">
      <c r="A78">
        <v>77</v>
      </c>
      <c r="B78" t="s">
        <v>93</v>
      </c>
      <c r="C78" s="2">
        <v>45894</v>
      </c>
      <c r="D78" s="2" t="str">
        <f t="shared" si="7"/>
        <v>Aug-2025</v>
      </c>
      <c r="E78" s="2">
        <v>45895</v>
      </c>
      <c r="F78" t="s">
        <v>1018</v>
      </c>
      <c r="G78" t="s">
        <v>1083</v>
      </c>
      <c r="H78" t="s">
        <v>1284</v>
      </c>
      <c r="I78" t="s">
        <v>1287</v>
      </c>
      <c r="J78" t="s">
        <v>1301</v>
      </c>
      <c r="K78" t="s">
        <v>1303</v>
      </c>
      <c r="L78" t="s">
        <v>1309</v>
      </c>
      <c r="M78" t="s">
        <v>1317</v>
      </c>
      <c r="N78">
        <v>3</v>
      </c>
      <c r="O78">
        <v>0.05</v>
      </c>
      <c r="P78">
        <v>2275.85</v>
      </c>
      <c r="Q78">
        <v>514.87</v>
      </c>
      <c r="R78" t="s">
        <v>1331</v>
      </c>
      <c r="S78" t="b">
        <f t="shared" si="4"/>
        <v>0</v>
      </c>
      <c r="T78" t="b">
        <f t="shared" si="5"/>
        <v>0</v>
      </c>
      <c r="U78" t="b">
        <f t="shared" si="6"/>
        <v>0</v>
      </c>
    </row>
    <row r="79" spans="1:21" x14ac:dyDescent="0.3">
      <c r="A79">
        <v>78</v>
      </c>
      <c r="B79" t="s">
        <v>94</v>
      </c>
      <c r="C79" s="2">
        <v>45806</v>
      </c>
      <c r="D79" s="2" t="str">
        <f t="shared" si="7"/>
        <v>May-2025</v>
      </c>
      <c r="E79" s="2">
        <v>45809</v>
      </c>
      <c r="F79" t="s">
        <v>1018</v>
      </c>
      <c r="G79" t="s">
        <v>1084</v>
      </c>
      <c r="H79" t="s">
        <v>1282</v>
      </c>
      <c r="I79" t="s">
        <v>1288</v>
      </c>
      <c r="J79" t="s">
        <v>1298</v>
      </c>
      <c r="K79" t="s">
        <v>1303</v>
      </c>
      <c r="L79" t="s">
        <v>1308</v>
      </c>
      <c r="M79" t="s">
        <v>1319</v>
      </c>
      <c r="N79">
        <v>2</v>
      </c>
      <c r="O79">
        <v>0</v>
      </c>
      <c r="P79">
        <v>9003.64</v>
      </c>
      <c r="Q79">
        <v>2646.58</v>
      </c>
      <c r="R79" t="s">
        <v>1333</v>
      </c>
      <c r="S79" t="b">
        <f t="shared" si="4"/>
        <v>0</v>
      </c>
      <c r="T79" t="b">
        <f t="shared" si="5"/>
        <v>0</v>
      </c>
      <c r="U79" t="b">
        <f t="shared" si="6"/>
        <v>0</v>
      </c>
    </row>
    <row r="80" spans="1:21" x14ac:dyDescent="0.3">
      <c r="A80">
        <v>79</v>
      </c>
      <c r="B80" t="s">
        <v>95</v>
      </c>
      <c r="C80" s="2">
        <v>45805</v>
      </c>
      <c r="D80" s="2" t="str">
        <f t="shared" si="7"/>
        <v>May-2025</v>
      </c>
      <c r="E80" s="2">
        <v>45808</v>
      </c>
      <c r="F80" t="s">
        <v>1017</v>
      </c>
      <c r="G80" t="s">
        <v>1085</v>
      </c>
      <c r="H80" t="s">
        <v>1281</v>
      </c>
      <c r="I80" t="s">
        <v>1287</v>
      </c>
      <c r="J80" t="s">
        <v>1300</v>
      </c>
      <c r="K80" t="s">
        <v>1305</v>
      </c>
      <c r="L80" t="s">
        <v>1308</v>
      </c>
      <c r="M80" t="s">
        <v>1327</v>
      </c>
      <c r="N80">
        <v>1</v>
      </c>
      <c r="O80">
        <v>0</v>
      </c>
      <c r="P80">
        <v>1816.1</v>
      </c>
      <c r="Q80">
        <v>682.22</v>
      </c>
      <c r="R80" t="s">
        <v>1332</v>
      </c>
      <c r="S80" t="b">
        <f t="shared" si="4"/>
        <v>0</v>
      </c>
      <c r="T80" t="b">
        <f t="shared" si="5"/>
        <v>0</v>
      </c>
      <c r="U80" t="b">
        <f t="shared" si="6"/>
        <v>0</v>
      </c>
    </row>
    <row r="81" spans="1:21" x14ac:dyDescent="0.3">
      <c r="A81">
        <v>80</v>
      </c>
      <c r="B81" t="s">
        <v>96</v>
      </c>
      <c r="C81" s="2">
        <v>45761</v>
      </c>
      <c r="D81" s="2" t="str">
        <f t="shared" si="7"/>
        <v>Apr-2025</v>
      </c>
      <c r="E81" s="2">
        <v>45763</v>
      </c>
      <c r="F81" t="s">
        <v>1017</v>
      </c>
      <c r="G81" t="s">
        <v>1086</v>
      </c>
      <c r="H81" t="s">
        <v>1285</v>
      </c>
      <c r="I81" t="s">
        <v>1289</v>
      </c>
      <c r="J81" t="s">
        <v>1300</v>
      </c>
      <c r="K81" t="s">
        <v>1305</v>
      </c>
      <c r="L81" t="s">
        <v>1309</v>
      </c>
      <c r="M81" t="s">
        <v>1317</v>
      </c>
      <c r="N81">
        <v>3</v>
      </c>
      <c r="O81">
        <v>0.1</v>
      </c>
      <c r="P81">
        <v>2148.6</v>
      </c>
      <c r="Q81">
        <v>626.05999999999995</v>
      </c>
      <c r="R81" t="s">
        <v>1331</v>
      </c>
      <c r="S81" t="b">
        <f t="shared" si="4"/>
        <v>0</v>
      </c>
      <c r="T81" t="b">
        <f t="shared" si="5"/>
        <v>0</v>
      </c>
      <c r="U81" t="b">
        <f t="shared" si="6"/>
        <v>0</v>
      </c>
    </row>
    <row r="82" spans="1:21" x14ac:dyDescent="0.3">
      <c r="A82">
        <v>81</v>
      </c>
      <c r="B82" t="s">
        <v>97</v>
      </c>
      <c r="C82" s="2">
        <v>45674</v>
      </c>
      <c r="D82" s="2" t="str">
        <f t="shared" si="7"/>
        <v>Jan-2025</v>
      </c>
      <c r="E82" s="2">
        <v>45676</v>
      </c>
      <c r="F82" t="s">
        <v>1017</v>
      </c>
      <c r="G82" t="s">
        <v>1087</v>
      </c>
      <c r="H82" t="s">
        <v>1272</v>
      </c>
      <c r="I82" t="s">
        <v>1288</v>
      </c>
      <c r="J82" t="s">
        <v>1291</v>
      </c>
      <c r="K82" t="s">
        <v>1302</v>
      </c>
      <c r="L82" t="s">
        <v>1309</v>
      </c>
      <c r="M82" t="s">
        <v>1320</v>
      </c>
      <c r="N82">
        <v>3</v>
      </c>
      <c r="O82">
        <v>0.25</v>
      </c>
      <c r="P82">
        <v>2749.16</v>
      </c>
      <c r="Q82">
        <v>144</v>
      </c>
      <c r="R82" t="s">
        <v>1334</v>
      </c>
      <c r="S82" t="b">
        <f t="shared" si="4"/>
        <v>0</v>
      </c>
      <c r="T82" t="b">
        <f t="shared" si="5"/>
        <v>0</v>
      </c>
      <c r="U82" t="b">
        <f t="shared" si="6"/>
        <v>0</v>
      </c>
    </row>
    <row r="83" spans="1:21" x14ac:dyDescent="0.3">
      <c r="A83">
        <v>82</v>
      </c>
      <c r="B83" t="s">
        <v>98</v>
      </c>
      <c r="C83" s="2">
        <v>46022</v>
      </c>
      <c r="D83" s="2" t="str">
        <f t="shared" si="7"/>
        <v>Dec-2025</v>
      </c>
      <c r="E83" s="2">
        <v>46024</v>
      </c>
      <c r="F83" t="s">
        <v>1019</v>
      </c>
      <c r="G83" t="s">
        <v>1026</v>
      </c>
      <c r="H83" t="s">
        <v>1274</v>
      </c>
      <c r="I83" t="s">
        <v>1287</v>
      </c>
      <c r="J83" t="s">
        <v>1293</v>
      </c>
      <c r="K83" t="s">
        <v>1304</v>
      </c>
      <c r="L83" t="s">
        <v>1308</v>
      </c>
      <c r="M83" t="s">
        <v>1318</v>
      </c>
      <c r="N83">
        <v>2</v>
      </c>
      <c r="O83">
        <v>0</v>
      </c>
      <c r="P83">
        <v>10491.46</v>
      </c>
      <c r="Q83">
        <v>2120.7199999999998</v>
      </c>
      <c r="R83" t="s">
        <v>1332</v>
      </c>
      <c r="S83" t="b">
        <f t="shared" si="4"/>
        <v>0</v>
      </c>
      <c r="T83" t="b">
        <f t="shared" si="5"/>
        <v>0</v>
      </c>
      <c r="U83" t="b">
        <f t="shared" si="6"/>
        <v>0</v>
      </c>
    </row>
    <row r="84" spans="1:21" x14ac:dyDescent="0.3">
      <c r="A84">
        <v>83</v>
      </c>
      <c r="B84" t="s">
        <v>99</v>
      </c>
      <c r="C84" s="2">
        <v>45760</v>
      </c>
      <c r="D84" s="2" t="str">
        <f t="shared" si="7"/>
        <v>Apr-2025</v>
      </c>
      <c r="E84" s="2">
        <v>45761</v>
      </c>
      <c r="F84" t="s">
        <v>1017</v>
      </c>
      <c r="G84" t="s">
        <v>1064</v>
      </c>
      <c r="H84" t="s">
        <v>1278</v>
      </c>
      <c r="I84" t="s">
        <v>1289</v>
      </c>
      <c r="J84" t="s">
        <v>1290</v>
      </c>
      <c r="K84" t="s">
        <v>1302</v>
      </c>
      <c r="L84" t="s">
        <v>1309</v>
      </c>
      <c r="M84" t="s">
        <v>1325</v>
      </c>
      <c r="N84">
        <v>4</v>
      </c>
      <c r="O84">
        <v>0.1</v>
      </c>
      <c r="P84">
        <v>4746.62</v>
      </c>
      <c r="Q84">
        <v>1146.1099999999999</v>
      </c>
      <c r="R84" t="s">
        <v>1333</v>
      </c>
      <c r="S84" t="b">
        <f t="shared" si="4"/>
        <v>0</v>
      </c>
      <c r="T84" t="b">
        <f t="shared" si="5"/>
        <v>0</v>
      </c>
      <c r="U84" t="b">
        <f t="shared" si="6"/>
        <v>0</v>
      </c>
    </row>
    <row r="85" spans="1:21" x14ac:dyDescent="0.3">
      <c r="A85">
        <v>84</v>
      </c>
      <c r="B85" t="s">
        <v>100</v>
      </c>
      <c r="C85" s="2">
        <v>46006</v>
      </c>
      <c r="D85" s="2" t="str">
        <f t="shared" si="7"/>
        <v>Dec-2025</v>
      </c>
      <c r="E85" s="2">
        <v>46007</v>
      </c>
      <c r="F85" t="s">
        <v>1017</v>
      </c>
      <c r="G85" t="s">
        <v>1086</v>
      </c>
      <c r="H85" t="s">
        <v>1278</v>
      </c>
      <c r="I85" t="s">
        <v>1287</v>
      </c>
      <c r="J85" t="s">
        <v>1292</v>
      </c>
      <c r="K85" t="s">
        <v>1303</v>
      </c>
      <c r="L85" t="s">
        <v>1306</v>
      </c>
      <c r="M85" t="s">
        <v>1324</v>
      </c>
      <c r="N85">
        <v>1</v>
      </c>
      <c r="O85">
        <v>0.1</v>
      </c>
      <c r="P85">
        <v>82.93</v>
      </c>
      <c r="Q85">
        <v>17.77</v>
      </c>
      <c r="R85" t="s">
        <v>1334</v>
      </c>
      <c r="S85" t="b">
        <f t="shared" si="4"/>
        <v>0</v>
      </c>
      <c r="T85" t="b">
        <f t="shared" si="5"/>
        <v>0</v>
      </c>
      <c r="U85" t="b">
        <f t="shared" si="6"/>
        <v>0</v>
      </c>
    </row>
    <row r="86" spans="1:21" x14ac:dyDescent="0.3">
      <c r="A86">
        <v>85</v>
      </c>
      <c r="B86" t="s">
        <v>101</v>
      </c>
      <c r="C86" s="2">
        <v>45696</v>
      </c>
      <c r="D86" s="2" t="str">
        <f t="shared" si="7"/>
        <v>Feb-2025</v>
      </c>
      <c r="E86" s="2">
        <v>45700</v>
      </c>
      <c r="F86" t="s">
        <v>1017</v>
      </c>
      <c r="G86" t="s">
        <v>1074</v>
      </c>
      <c r="H86" t="s">
        <v>1268</v>
      </c>
      <c r="I86" t="s">
        <v>1289</v>
      </c>
      <c r="J86" t="s">
        <v>1293</v>
      </c>
      <c r="K86" t="s">
        <v>1304</v>
      </c>
      <c r="L86" t="s">
        <v>1309</v>
      </c>
      <c r="M86" t="s">
        <v>1320</v>
      </c>
      <c r="N86">
        <v>4</v>
      </c>
      <c r="O86">
        <v>0.15</v>
      </c>
      <c r="P86">
        <v>3894.25</v>
      </c>
      <c r="Q86">
        <v>835.8</v>
      </c>
      <c r="R86" t="s">
        <v>1330</v>
      </c>
      <c r="S86" t="b">
        <f t="shared" si="4"/>
        <v>0</v>
      </c>
      <c r="T86" t="b">
        <f t="shared" si="5"/>
        <v>0</v>
      </c>
      <c r="U86" t="b">
        <f t="shared" si="6"/>
        <v>0</v>
      </c>
    </row>
    <row r="87" spans="1:21" x14ac:dyDescent="0.3">
      <c r="A87">
        <v>86</v>
      </c>
      <c r="B87" t="s">
        <v>102</v>
      </c>
      <c r="C87" s="2">
        <v>45834</v>
      </c>
      <c r="D87" s="2" t="str">
        <f t="shared" si="7"/>
        <v>Jun-2025</v>
      </c>
      <c r="E87" s="2">
        <v>45837</v>
      </c>
      <c r="F87" t="s">
        <v>1018</v>
      </c>
      <c r="G87" t="s">
        <v>1088</v>
      </c>
      <c r="H87" t="s">
        <v>1273</v>
      </c>
      <c r="I87" t="s">
        <v>1287</v>
      </c>
      <c r="J87" t="s">
        <v>1292</v>
      </c>
      <c r="K87" t="s">
        <v>1303</v>
      </c>
      <c r="L87" t="s">
        <v>1307</v>
      </c>
      <c r="M87" t="s">
        <v>1316</v>
      </c>
      <c r="N87">
        <v>2</v>
      </c>
      <c r="O87">
        <v>0.15</v>
      </c>
      <c r="P87">
        <v>845.53</v>
      </c>
      <c r="Q87">
        <v>167.49</v>
      </c>
      <c r="R87" t="s">
        <v>1331</v>
      </c>
      <c r="S87" t="b">
        <f t="shared" si="4"/>
        <v>0</v>
      </c>
      <c r="T87" t="b">
        <f t="shared" si="5"/>
        <v>0</v>
      </c>
      <c r="U87" t="b">
        <f t="shared" si="6"/>
        <v>0</v>
      </c>
    </row>
    <row r="88" spans="1:21" x14ac:dyDescent="0.3">
      <c r="A88">
        <v>87</v>
      </c>
      <c r="B88" t="s">
        <v>103</v>
      </c>
      <c r="C88" s="2">
        <v>45844</v>
      </c>
      <c r="D88" s="2" t="str">
        <f t="shared" si="7"/>
        <v>Jul-2025</v>
      </c>
      <c r="E88" s="2">
        <v>45846</v>
      </c>
      <c r="F88" t="s">
        <v>1017</v>
      </c>
      <c r="G88" t="s">
        <v>1084</v>
      </c>
      <c r="H88" t="s">
        <v>1284</v>
      </c>
      <c r="I88" t="s">
        <v>1288</v>
      </c>
      <c r="J88" t="s">
        <v>1299</v>
      </c>
      <c r="K88" t="s">
        <v>1304</v>
      </c>
      <c r="L88" t="s">
        <v>1307</v>
      </c>
      <c r="M88" t="s">
        <v>1316</v>
      </c>
      <c r="N88">
        <v>2</v>
      </c>
      <c r="O88">
        <v>0</v>
      </c>
      <c r="P88">
        <v>1027.74</v>
      </c>
      <c r="Q88">
        <v>357.29</v>
      </c>
      <c r="R88" t="s">
        <v>1350</v>
      </c>
      <c r="S88" t="b">
        <f t="shared" si="4"/>
        <v>0</v>
      </c>
      <c r="T88" t="b">
        <f t="shared" si="5"/>
        <v>0</v>
      </c>
      <c r="U88" t="b">
        <f t="shared" si="6"/>
        <v>0</v>
      </c>
    </row>
    <row r="89" spans="1:21" x14ac:dyDescent="0.3">
      <c r="A89">
        <v>88</v>
      </c>
      <c r="B89" t="s">
        <v>104</v>
      </c>
      <c r="C89" s="2">
        <v>45720</v>
      </c>
      <c r="D89" s="2" t="str">
        <f t="shared" si="7"/>
        <v>Mar-2025</v>
      </c>
      <c r="E89" s="2">
        <v>45725</v>
      </c>
      <c r="F89" t="s">
        <v>1017</v>
      </c>
      <c r="G89" t="s">
        <v>1089</v>
      </c>
      <c r="H89" t="s">
        <v>1279</v>
      </c>
      <c r="I89" t="s">
        <v>1287</v>
      </c>
      <c r="J89" t="s">
        <v>1297</v>
      </c>
      <c r="K89" t="s">
        <v>1304</v>
      </c>
      <c r="L89" t="s">
        <v>1307</v>
      </c>
      <c r="M89" t="s">
        <v>1314</v>
      </c>
      <c r="N89">
        <v>1</v>
      </c>
      <c r="O89">
        <v>0.2</v>
      </c>
      <c r="P89">
        <v>742.98</v>
      </c>
      <c r="Q89">
        <v>163.96</v>
      </c>
      <c r="R89" t="s">
        <v>1332</v>
      </c>
      <c r="S89" t="b">
        <f t="shared" si="4"/>
        <v>0</v>
      </c>
      <c r="T89" t="b">
        <f t="shared" si="5"/>
        <v>0</v>
      </c>
      <c r="U89" t="b">
        <f t="shared" si="6"/>
        <v>0</v>
      </c>
    </row>
    <row r="90" spans="1:21" x14ac:dyDescent="0.3">
      <c r="A90">
        <v>89</v>
      </c>
      <c r="B90" t="s">
        <v>105</v>
      </c>
      <c r="C90" s="2">
        <v>45756</v>
      </c>
      <c r="D90" s="2" t="str">
        <f t="shared" si="7"/>
        <v>Apr-2025</v>
      </c>
      <c r="E90" s="2">
        <v>45760</v>
      </c>
      <c r="F90" t="s">
        <v>1017</v>
      </c>
      <c r="G90" t="s">
        <v>1063</v>
      </c>
      <c r="H90" t="s">
        <v>1269</v>
      </c>
      <c r="I90" t="s">
        <v>1288</v>
      </c>
      <c r="J90" t="s">
        <v>1301</v>
      </c>
      <c r="K90" t="s">
        <v>1303</v>
      </c>
      <c r="L90" t="s">
        <v>1306</v>
      </c>
      <c r="M90" t="s">
        <v>1310</v>
      </c>
      <c r="N90">
        <v>5</v>
      </c>
      <c r="O90">
        <v>0.2</v>
      </c>
      <c r="P90">
        <v>2728.68</v>
      </c>
      <c r="Q90">
        <v>600.65</v>
      </c>
      <c r="R90" t="s">
        <v>1331</v>
      </c>
      <c r="S90" t="b">
        <f t="shared" si="4"/>
        <v>0</v>
      </c>
      <c r="T90" t="b">
        <f t="shared" si="5"/>
        <v>0</v>
      </c>
      <c r="U90" t="b">
        <f t="shared" si="6"/>
        <v>0</v>
      </c>
    </row>
    <row r="91" spans="1:21" x14ac:dyDescent="0.3">
      <c r="A91">
        <v>90</v>
      </c>
      <c r="B91" t="s">
        <v>106</v>
      </c>
      <c r="C91" s="2">
        <v>45725</v>
      </c>
      <c r="D91" s="2" t="str">
        <f t="shared" si="7"/>
        <v>Mar-2025</v>
      </c>
      <c r="E91" s="2">
        <v>45730</v>
      </c>
      <c r="F91" t="s">
        <v>1017</v>
      </c>
      <c r="G91" t="s">
        <v>1076</v>
      </c>
      <c r="H91" t="s">
        <v>1279</v>
      </c>
      <c r="I91" t="s">
        <v>1287</v>
      </c>
      <c r="J91" t="s">
        <v>1300</v>
      </c>
      <c r="K91" t="s">
        <v>1305</v>
      </c>
      <c r="L91" t="s">
        <v>1307</v>
      </c>
      <c r="M91" t="s">
        <v>1315</v>
      </c>
      <c r="N91">
        <v>3</v>
      </c>
      <c r="O91">
        <v>0</v>
      </c>
      <c r="P91">
        <v>5176.53</v>
      </c>
      <c r="Q91">
        <v>883.26</v>
      </c>
      <c r="R91" t="s">
        <v>1334</v>
      </c>
      <c r="S91" t="b">
        <f t="shared" si="4"/>
        <v>0</v>
      </c>
      <c r="T91" t="b">
        <f t="shared" si="5"/>
        <v>0</v>
      </c>
      <c r="U91" t="b">
        <f t="shared" si="6"/>
        <v>0</v>
      </c>
    </row>
    <row r="92" spans="1:21" x14ac:dyDescent="0.3">
      <c r="A92">
        <v>91</v>
      </c>
      <c r="B92" t="s">
        <v>107</v>
      </c>
      <c r="C92" s="2">
        <v>45781</v>
      </c>
      <c r="D92" s="2" t="str">
        <f t="shared" si="7"/>
        <v>May-2025</v>
      </c>
      <c r="E92" s="2">
        <v>45784</v>
      </c>
      <c r="F92" t="s">
        <v>1017</v>
      </c>
      <c r="G92" t="s">
        <v>1090</v>
      </c>
      <c r="H92" t="s">
        <v>1268</v>
      </c>
      <c r="I92" t="s">
        <v>1288</v>
      </c>
      <c r="J92" t="s">
        <v>1298</v>
      </c>
      <c r="K92" t="s">
        <v>1303</v>
      </c>
      <c r="L92" t="s">
        <v>1309</v>
      </c>
      <c r="M92" t="s">
        <v>1317</v>
      </c>
      <c r="N92">
        <v>3</v>
      </c>
      <c r="O92">
        <v>0.05</v>
      </c>
      <c r="P92">
        <v>2328.0300000000002</v>
      </c>
      <c r="Q92">
        <v>604.16999999999996</v>
      </c>
      <c r="R92" t="s">
        <v>1331</v>
      </c>
      <c r="S92" t="b">
        <f t="shared" si="4"/>
        <v>0</v>
      </c>
      <c r="T92" t="b">
        <f t="shared" si="5"/>
        <v>0</v>
      </c>
      <c r="U92" t="b">
        <f t="shared" si="6"/>
        <v>0</v>
      </c>
    </row>
    <row r="93" spans="1:21" x14ac:dyDescent="0.3">
      <c r="A93">
        <v>92</v>
      </c>
      <c r="B93" t="s">
        <v>108</v>
      </c>
      <c r="C93" s="2">
        <v>46011</v>
      </c>
      <c r="D93" s="2" t="str">
        <f t="shared" si="7"/>
        <v>Dec-2025</v>
      </c>
      <c r="E93" s="2">
        <v>46014</v>
      </c>
      <c r="F93" t="s">
        <v>1017</v>
      </c>
      <c r="G93" t="s">
        <v>1087</v>
      </c>
      <c r="H93" t="s">
        <v>1282</v>
      </c>
      <c r="I93" t="s">
        <v>1287</v>
      </c>
      <c r="J93" t="s">
        <v>1296</v>
      </c>
      <c r="K93" t="s">
        <v>1304</v>
      </c>
      <c r="L93" t="s">
        <v>1307</v>
      </c>
      <c r="M93" t="s">
        <v>1315</v>
      </c>
      <c r="N93">
        <v>3</v>
      </c>
      <c r="O93">
        <v>0.05</v>
      </c>
      <c r="P93">
        <v>5314.03</v>
      </c>
      <c r="Q93">
        <v>1175.71</v>
      </c>
      <c r="R93" t="s">
        <v>1331</v>
      </c>
      <c r="S93" t="b">
        <f t="shared" si="4"/>
        <v>0</v>
      </c>
      <c r="T93" t="b">
        <f t="shared" si="5"/>
        <v>0</v>
      </c>
      <c r="U93" t="b">
        <f t="shared" si="6"/>
        <v>0</v>
      </c>
    </row>
    <row r="94" spans="1:21" x14ac:dyDescent="0.3">
      <c r="A94">
        <v>93</v>
      </c>
      <c r="B94" t="s">
        <v>109</v>
      </c>
      <c r="C94" s="2">
        <v>46013</v>
      </c>
      <c r="D94" s="2" t="str">
        <f t="shared" si="7"/>
        <v>Dec-2025</v>
      </c>
      <c r="E94" s="2">
        <v>46016</v>
      </c>
      <c r="F94" t="s">
        <v>1018</v>
      </c>
      <c r="G94" t="s">
        <v>1042</v>
      </c>
      <c r="H94" t="s">
        <v>1272</v>
      </c>
      <c r="I94" t="s">
        <v>1289</v>
      </c>
      <c r="J94" t="s">
        <v>1290</v>
      </c>
      <c r="K94" t="s">
        <v>1302</v>
      </c>
      <c r="L94" t="s">
        <v>1309</v>
      </c>
      <c r="M94" t="s">
        <v>1320</v>
      </c>
      <c r="N94">
        <v>1</v>
      </c>
      <c r="O94">
        <v>0.2</v>
      </c>
      <c r="P94">
        <v>983.44</v>
      </c>
      <c r="Q94">
        <v>202.03</v>
      </c>
      <c r="R94" t="s">
        <v>1331</v>
      </c>
      <c r="S94" t="b">
        <f t="shared" si="4"/>
        <v>0</v>
      </c>
      <c r="T94" t="b">
        <f t="shared" si="5"/>
        <v>0</v>
      </c>
      <c r="U94" t="b">
        <f t="shared" si="6"/>
        <v>0</v>
      </c>
    </row>
    <row r="95" spans="1:21" x14ac:dyDescent="0.3">
      <c r="A95">
        <v>94</v>
      </c>
      <c r="B95" t="s">
        <v>110</v>
      </c>
      <c r="C95" s="2">
        <v>45863</v>
      </c>
      <c r="D95" s="2" t="str">
        <f t="shared" si="7"/>
        <v>Jul-2025</v>
      </c>
      <c r="E95" s="2">
        <v>45868</v>
      </c>
      <c r="F95" t="s">
        <v>1017</v>
      </c>
      <c r="G95" t="s">
        <v>1091</v>
      </c>
      <c r="H95" t="s">
        <v>1275</v>
      </c>
      <c r="I95" t="s">
        <v>1288</v>
      </c>
      <c r="J95" t="s">
        <v>1292</v>
      </c>
      <c r="K95" t="s">
        <v>1303</v>
      </c>
      <c r="L95" t="s">
        <v>1307</v>
      </c>
      <c r="M95" t="s">
        <v>1315</v>
      </c>
      <c r="N95">
        <v>1</v>
      </c>
      <c r="O95">
        <v>0.2</v>
      </c>
      <c r="P95">
        <v>1440.27</v>
      </c>
      <c r="Q95">
        <v>322.58999999999997</v>
      </c>
      <c r="R95" t="s">
        <v>1331</v>
      </c>
      <c r="S95" t="b">
        <f t="shared" si="4"/>
        <v>0</v>
      </c>
      <c r="T95" t="b">
        <f t="shared" si="5"/>
        <v>0</v>
      </c>
      <c r="U95" t="b">
        <f t="shared" si="6"/>
        <v>0</v>
      </c>
    </row>
    <row r="96" spans="1:21" x14ac:dyDescent="0.3">
      <c r="A96">
        <v>95</v>
      </c>
      <c r="B96" t="s">
        <v>111</v>
      </c>
      <c r="C96" s="2">
        <v>45731</v>
      </c>
      <c r="D96" s="2" t="str">
        <f t="shared" si="7"/>
        <v>Mar-2025</v>
      </c>
      <c r="E96" s="2">
        <v>45732</v>
      </c>
      <c r="F96" t="s">
        <v>1018</v>
      </c>
      <c r="G96" t="s">
        <v>1092</v>
      </c>
      <c r="H96" t="s">
        <v>1273</v>
      </c>
      <c r="I96" t="s">
        <v>1287</v>
      </c>
      <c r="J96" t="s">
        <v>1296</v>
      </c>
      <c r="K96" t="s">
        <v>1304</v>
      </c>
      <c r="L96" t="s">
        <v>1306</v>
      </c>
      <c r="M96" t="s">
        <v>1310</v>
      </c>
      <c r="N96">
        <v>1</v>
      </c>
      <c r="O96">
        <v>0.05</v>
      </c>
      <c r="P96">
        <v>646.09</v>
      </c>
      <c r="Q96">
        <v>198.65</v>
      </c>
      <c r="R96" t="s">
        <v>1330</v>
      </c>
      <c r="S96" t="b">
        <f t="shared" si="4"/>
        <v>0</v>
      </c>
      <c r="T96" t="b">
        <f t="shared" si="5"/>
        <v>0</v>
      </c>
      <c r="U96" t="b">
        <f t="shared" si="6"/>
        <v>0</v>
      </c>
    </row>
    <row r="97" spans="1:21" x14ac:dyDescent="0.3">
      <c r="A97">
        <v>96</v>
      </c>
      <c r="B97" t="s">
        <v>112</v>
      </c>
      <c r="C97" s="2">
        <v>45850</v>
      </c>
      <c r="D97" s="2" t="str">
        <f t="shared" si="7"/>
        <v>Jul-2025</v>
      </c>
      <c r="E97" s="2">
        <v>45852</v>
      </c>
      <c r="F97" t="s">
        <v>1019</v>
      </c>
      <c r="G97" t="s">
        <v>1093</v>
      </c>
      <c r="H97" t="s">
        <v>1285</v>
      </c>
      <c r="I97" t="s">
        <v>1288</v>
      </c>
      <c r="J97" t="s">
        <v>1297</v>
      </c>
      <c r="K97" t="s">
        <v>1304</v>
      </c>
      <c r="L97" t="s">
        <v>1308</v>
      </c>
      <c r="M97" t="s">
        <v>1326</v>
      </c>
      <c r="N97">
        <v>1</v>
      </c>
      <c r="O97">
        <v>0.15</v>
      </c>
      <c r="P97">
        <v>5696.13</v>
      </c>
      <c r="Q97">
        <v>163.54</v>
      </c>
      <c r="R97" t="s">
        <v>1331</v>
      </c>
      <c r="S97" t="b">
        <f t="shared" si="4"/>
        <v>0</v>
      </c>
      <c r="T97" t="b">
        <f t="shared" si="5"/>
        <v>0</v>
      </c>
      <c r="U97" t="b">
        <f t="shared" si="6"/>
        <v>0</v>
      </c>
    </row>
    <row r="98" spans="1:21" x14ac:dyDescent="0.3">
      <c r="A98">
        <v>97</v>
      </c>
      <c r="B98" t="s">
        <v>113</v>
      </c>
      <c r="C98" s="2">
        <v>45715</v>
      </c>
      <c r="D98" s="2" t="str">
        <f t="shared" si="7"/>
        <v>Feb-2025</v>
      </c>
      <c r="E98" s="2">
        <v>45717</v>
      </c>
      <c r="F98" t="s">
        <v>1019</v>
      </c>
      <c r="G98" t="s">
        <v>1050</v>
      </c>
      <c r="H98" t="s">
        <v>1280</v>
      </c>
      <c r="I98" t="s">
        <v>1289</v>
      </c>
      <c r="J98" t="s">
        <v>1290</v>
      </c>
      <c r="K98" t="s">
        <v>1302</v>
      </c>
      <c r="L98" t="s">
        <v>1307</v>
      </c>
      <c r="M98" t="s">
        <v>1315</v>
      </c>
      <c r="N98">
        <v>3</v>
      </c>
      <c r="O98">
        <v>0.05</v>
      </c>
      <c r="P98">
        <v>4952.28</v>
      </c>
      <c r="Q98">
        <v>1100.4000000000001</v>
      </c>
      <c r="R98" t="s">
        <v>1333</v>
      </c>
      <c r="S98" t="b">
        <f t="shared" si="4"/>
        <v>0</v>
      </c>
      <c r="T98" t="b">
        <f t="shared" si="5"/>
        <v>0</v>
      </c>
      <c r="U98" t="b">
        <f t="shared" si="6"/>
        <v>0</v>
      </c>
    </row>
    <row r="99" spans="1:21" x14ac:dyDescent="0.3">
      <c r="A99">
        <v>98</v>
      </c>
      <c r="B99" t="s">
        <v>114</v>
      </c>
      <c r="C99" s="2">
        <v>45741</v>
      </c>
      <c r="D99" s="2" t="str">
        <f t="shared" si="7"/>
        <v>Mar-2025</v>
      </c>
      <c r="E99" s="2">
        <v>45744</v>
      </c>
      <c r="F99" t="s">
        <v>1017</v>
      </c>
      <c r="G99" t="s">
        <v>1029</v>
      </c>
      <c r="H99" t="s">
        <v>1271</v>
      </c>
      <c r="I99" t="s">
        <v>1287</v>
      </c>
      <c r="J99" t="s">
        <v>1297</v>
      </c>
      <c r="K99" t="s">
        <v>1304</v>
      </c>
      <c r="L99" t="s">
        <v>1307</v>
      </c>
      <c r="M99" t="s">
        <v>1322</v>
      </c>
      <c r="N99">
        <v>4</v>
      </c>
      <c r="O99">
        <v>0.15</v>
      </c>
      <c r="P99">
        <v>2322.71</v>
      </c>
      <c r="Q99">
        <v>57.47</v>
      </c>
      <c r="R99" t="s">
        <v>1332</v>
      </c>
      <c r="S99" t="b">
        <f t="shared" si="4"/>
        <v>0</v>
      </c>
      <c r="T99" t="b">
        <f t="shared" si="5"/>
        <v>0</v>
      </c>
      <c r="U99" t="b">
        <f t="shared" si="6"/>
        <v>0</v>
      </c>
    </row>
    <row r="100" spans="1:21" x14ac:dyDescent="0.3">
      <c r="A100">
        <v>99</v>
      </c>
      <c r="B100" t="s">
        <v>115</v>
      </c>
      <c r="C100" s="2">
        <v>45672</v>
      </c>
      <c r="D100" s="2" t="str">
        <f t="shared" si="7"/>
        <v>Jan-2025</v>
      </c>
      <c r="E100" s="2">
        <v>45674</v>
      </c>
      <c r="F100" t="s">
        <v>1018</v>
      </c>
      <c r="G100" t="s">
        <v>1094</v>
      </c>
      <c r="H100" t="s">
        <v>1269</v>
      </c>
      <c r="I100" t="s">
        <v>1289</v>
      </c>
      <c r="J100" t="s">
        <v>1298</v>
      </c>
      <c r="K100" t="s">
        <v>1303</v>
      </c>
      <c r="L100" t="s">
        <v>1306</v>
      </c>
      <c r="M100" t="s">
        <v>1323</v>
      </c>
      <c r="N100">
        <v>5</v>
      </c>
      <c r="O100">
        <v>0.1</v>
      </c>
      <c r="P100">
        <v>786.76</v>
      </c>
      <c r="Q100">
        <v>223.16</v>
      </c>
      <c r="R100" t="s">
        <v>1333</v>
      </c>
      <c r="S100" t="b">
        <f t="shared" si="4"/>
        <v>0</v>
      </c>
      <c r="T100" t="b">
        <f t="shared" si="5"/>
        <v>0</v>
      </c>
      <c r="U100" t="b">
        <f t="shared" si="6"/>
        <v>0</v>
      </c>
    </row>
    <row r="101" spans="1:21" x14ac:dyDescent="0.3">
      <c r="A101">
        <v>100</v>
      </c>
      <c r="B101" t="s">
        <v>116</v>
      </c>
      <c r="C101" s="2">
        <v>45684</v>
      </c>
      <c r="D101" s="2" t="str">
        <f t="shared" si="7"/>
        <v>Jan-2025</v>
      </c>
      <c r="E101" s="2">
        <v>45686</v>
      </c>
      <c r="F101" t="s">
        <v>1017</v>
      </c>
      <c r="G101" t="s">
        <v>1095</v>
      </c>
      <c r="H101" t="s">
        <v>1267</v>
      </c>
      <c r="I101" t="s">
        <v>1287</v>
      </c>
      <c r="J101" t="s">
        <v>1299</v>
      </c>
      <c r="K101" t="s">
        <v>1304</v>
      </c>
      <c r="L101" t="s">
        <v>1307</v>
      </c>
      <c r="M101" t="s">
        <v>1316</v>
      </c>
      <c r="N101">
        <v>1</v>
      </c>
      <c r="O101">
        <v>0</v>
      </c>
      <c r="P101">
        <v>512.03</v>
      </c>
      <c r="Q101">
        <v>140.15</v>
      </c>
      <c r="R101" t="s">
        <v>1333</v>
      </c>
      <c r="S101" t="b">
        <f t="shared" si="4"/>
        <v>0</v>
      </c>
      <c r="T101" t="b">
        <f t="shared" si="5"/>
        <v>0</v>
      </c>
      <c r="U101" t="b">
        <f t="shared" si="6"/>
        <v>0</v>
      </c>
    </row>
    <row r="102" spans="1:21" x14ac:dyDescent="0.3">
      <c r="A102">
        <v>101</v>
      </c>
      <c r="B102" t="s">
        <v>117</v>
      </c>
      <c r="C102" s="2">
        <v>45976</v>
      </c>
      <c r="D102" s="2" t="str">
        <f t="shared" si="7"/>
        <v>Nov-2025</v>
      </c>
      <c r="E102" s="2">
        <v>45981</v>
      </c>
      <c r="F102" t="s">
        <v>1017</v>
      </c>
      <c r="G102" t="s">
        <v>1096</v>
      </c>
      <c r="H102" t="s">
        <v>1275</v>
      </c>
      <c r="I102" t="s">
        <v>1287</v>
      </c>
      <c r="J102" t="s">
        <v>1291</v>
      </c>
      <c r="K102" t="s">
        <v>1302</v>
      </c>
      <c r="L102" t="s">
        <v>1309</v>
      </c>
      <c r="M102" t="s">
        <v>1317</v>
      </c>
      <c r="N102">
        <v>1</v>
      </c>
      <c r="O102">
        <v>0.1</v>
      </c>
      <c r="P102">
        <v>702.49</v>
      </c>
      <c r="Q102">
        <v>79.66</v>
      </c>
      <c r="R102" t="s">
        <v>1331</v>
      </c>
      <c r="S102" t="b">
        <f t="shared" si="4"/>
        <v>0</v>
      </c>
      <c r="T102" t="b">
        <f t="shared" si="5"/>
        <v>0</v>
      </c>
      <c r="U102" t="b">
        <f t="shared" si="6"/>
        <v>0</v>
      </c>
    </row>
    <row r="103" spans="1:21" x14ac:dyDescent="0.3">
      <c r="A103">
        <v>102</v>
      </c>
      <c r="B103" t="s">
        <v>118</v>
      </c>
      <c r="C103" s="2">
        <v>45924</v>
      </c>
      <c r="D103" s="2" t="str">
        <f t="shared" si="7"/>
        <v>Sep-2025</v>
      </c>
      <c r="E103" s="2">
        <v>45927</v>
      </c>
      <c r="F103" t="s">
        <v>1019</v>
      </c>
      <c r="G103" t="s">
        <v>1097</v>
      </c>
      <c r="H103" t="s">
        <v>1271</v>
      </c>
      <c r="I103" t="s">
        <v>1287</v>
      </c>
      <c r="J103" t="s">
        <v>1294</v>
      </c>
      <c r="K103" t="s">
        <v>1305</v>
      </c>
      <c r="L103" t="s">
        <v>1306</v>
      </c>
      <c r="M103" t="s">
        <v>1321</v>
      </c>
      <c r="N103">
        <v>4</v>
      </c>
      <c r="O103">
        <v>0.15</v>
      </c>
      <c r="P103">
        <v>1469.55</v>
      </c>
      <c r="Q103">
        <v>266.41000000000003</v>
      </c>
      <c r="R103" t="s">
        <v>1332</v>
      </c>
      <c r="S103" t="b">
        <f t="shared" si="4"/>
        <v>0</v>
      </c>
      <c r="T103" t="b">
        <f t="shared" si="5"/>
        <v>0</v>
      </c>
      <c r="U103" t="b">
        <f t="shared" si="6"/>
        <v>0</v>
      </c>
    </row>
    <row r="104" spans="1:21" x14ac:dyDescent="0.3">
      <c r="A104">
        <v>103</v>
      </c>
      <c r="B104" t="s">
        <v>119</v>
      </c>
      <c r="C104" s="2">
        <v>45659</v>
      </c>
      <c r="D104" s="2" t="str">
        <f t="shared" si="7"/>
        <v>Jan-2025</v>
      </c>
      <c r="E104" s="2">
        <v>45660</v>
      </c>
      <c r="F104" t="s">
        <v>1017</v>
      </c>
      <c r="G104" t="s">
        <v>1098</v>
      </c>
      <c r="H104" t="s">
        <v>1274</v>
      </c>
      <c r="I104" t="s">
        <v>1287</v>
      </c>
      <c r="J104" t="s">
        <v>1300</v>
      </c>
      <c r="K104" t="s">
        <v>1305</v>
      </c>
      <c r="L104" t="s">
        <v>1308</v>
      </c>
      <c r="M104" t="s">
        <v>1326</v>
      </c>
      <c r="N104">
        <v>1</v>
      </c>
      <c r="O104">
        <v>0.05</v>
      </c>
      <c r="P104">
        <v>6375.02</v>
      </c>
      <c r="Q104">
        <v>1544.83</v>
      </c>
      <c r="R104" t="s">
        <v>1333</v>
      </c>
      <c r="S104" t="b">
        <f t="shared" si="4"/>
        <v>0</v>
      </c>
      <c r="T104" t="b">
        <f t="shared" si="5"/>
        <v>0</v>
      </c>
      <c r="U104" t="b">
        <f t="shared" si="6"/>
        <v>0</v>
      </c>
    </row>
    <row r="105" spans="1:21" x14ac:dyDescent="0.3">
      <c r="A105">
        <v>104</v>
      </c>
      <c r="B105" t="s">
        <v>120</v>
      </c>
      <c r="C105" s="2">
        <v>46017</v>
      </c>
      <c r="D105" s="2" t="str">
        <f t="shared" si="7"/>
        <v>Dec-2025</v>
      </c>
      <c r="E105" s="2">
        <v>46020</v>
      </c>
      <c r="F105" t="s">
        <v>1017</v>
      </c>
      <c r="G105" t="s">
        <v>1099</v>
      </c>
      <c r="H105" t="s">
        <v>1274</v>
      </c>
      <c r="I105" t="s">
        <v>1288</v>
      </c>
      <c r="J105" t="s">
        <v>1293</v>
      </c>
      <c r="K105" t="s">
        <v>1304</v>
      </c>
      <c r="L105" t="s">
        <v>1308</v>
      </c>
      <c r="M105" t="s">
        <v>1326</v>
      </c>
      <c r="N105">
        <v>1</v>
      </c>
      <c r="O105">
        <v>0.15</v>
      </c>
      <c r="P105">
        <v>5725.59</v>
      </c>
      <c r="Q105">
        <v>131.68</v>
      </c>
      <c r="R105" t="s">
        <v>1331</v>
      </c>
      <c r="S105" t="b">
        <f t="shared" si="4"/>
        <v>0</v>
      </c>
      <c r="T105" t="b">
        <f t="shared" si="5"/>
        <v>0</v>
      </c>
      <c r="U105" t="b">
        <f t="shared" si="6"/>
        <v>0</v>
      </c>
    </row>
    <row r="106" spans="1:21" x14ac:dyDescent="0.3">
      <c r="A106">
        <v>105</v>
      </c>
      <c r="B106" t="s">
        <v>121</v>
      </c>
      <c r="C106" s="2">
        <v>45908</v>
      </c>
      <c r="D106" s="2" t="str">
        <f t="shared" si="7"/>
        <v>Sep-2025</v>
      </c>
      <c r="E106" s="2">
        <v>45911</v>
      </c>
      <c r="F106" t="s">
        <v>1018</v>
      </c>
      <c r="G106" t="s">
        <v>1071</v>
      </c>
      <c r="H106" t="s">
        <v>1267</v>
      </c>
      <c r="I106" t="s">
        <v>1287</v>
      </c>
      <c r="J106" t="s">
        <v>1291</v>
      </c>
      <c r="K106" t="s">
        <v>1302</v>
      </c>
      <c r="L106" t="s">
        <v>1307</v>
      </c>
      <c r="M106" t="s">
        <v>1311</v>
      </c>
      <c r="N106">
        <v>3</v>
      </c>
      <c r="O106">
        <v>0.05</v>
      </c>
      <c r="P106">
        <v>885.79</v>
      </c>
      <c r="Q106">
        <v>231.41</v>
      </c>
      <c r="R106" t="s">
        <v>1331</v>
      </c>
      <c r="S106" t="b">
        <f t="shared" si="4"/>
        <v>0</v>
      </c>
      <c r="T106" t="b">
        <f t="shared" si="5"/>
        <v>0</v>
      </c>
      <c r="U106" t="b">
        <f t="shared" si="6"/>
        <v>0</v>
      </c>
    </row>
    <row r="107" spans="1:21" x14ac:dyDescent="0.3">
      <c r="A107">
        <v>106</v>
      </c>
      <c r="B107" t="s">
        <v>122</v>
      </c>
      <c r="C107" s="2">
        <v>45682</v>
      </c>
      <c r="D107" s="2" t="str">
        <f t="shared" si="7"/>
        <v>Jan-2025</v>
      </c>
      <c r="E107" s="2">
        <v>45687</v>
      </c>
      <c r="F107" t="s">
        <v>1017</v>
      </c>
      <c r="G107" t="s">
        <v>1100</v>
      </c>
      <c r="H107" t="s">
        <v>1282</v>
      </c>
      <c r="I107" t="s">
        <v>1289</v>
      </c>
      <c r="J107" t="s">
        <v>1301</v>
      </c>
      <c r="K107" t="s">
        <v>1303</v>
      </c>
      <c r="L107" t="s">
        <v>1306</v>
      </c>
      <c r="M107" t="s">
        <v>1328</v>
      </c>
      <c r="N107">
        <v>2</v>
      </c>
      <c r="O107">
        <v>0.15</v>
      </c>
      <c r="P107">
        <v>206.36</v>
      </c>
      <c r="Q107">
        <v>41.77</v>
      </c>
      <c r="R107" t="s">
        <v>1333</v>
      </c>
      <c r="S107" t="b">
        <f t="shared" si="4"/>
        <v>0</v>
      </c>
      <c r="T107" t="b">
        <f t="shared" si="5"/>
        <v>0</v>
      </c>
      <c r="U107" t="b">
        <f t="shared" si="6"/>
        <v>0</v>
      </c>
    </row>
    <row r="108" spans="1:21" x14ac:dyDescent="0.3">
      <c r="A108">
        <v>107</v>
      </c>
      <c r="B108" t="s">
        <v>123</v>
      </c>
      <c r="C108" s="2">
        <v>45694</v>
      </c>
      <c r="D108" s="2" t="str">
        <f t="shared" si="7"/>
        <v>Feb-2025</v>
      </c>
      <c r="E108" s="2">
        <v>45695</v>
      </c>
      <c r="F108" t="s">
        <v>1017</v>
      </c>
      <c r="G108" t="s">
        <v>1101</v>
      </c>
      <c r="H108" t="s">
        <v>1271</v>
      </c>
      <c r="I108" t="s">
        <v>1287</v>
      </c>
      <c r="J108" t="s">
        <v>1293</v>
      </c>
      <c r="K108" t="s">
        <v>1304</v>
      </c>
      <c r="L108" t="s">
        <v>1309</v>
      </c>
      <c r="M108" t="s">
        <v>1313</v>
      </c>
      <c r="N108">
        <v>1</v>
      </c>
      <c r="O108">
        <v>0.15</v>
      </c>
      <c r="P108">
        <v>1273.29</v>
      </c>
      <c r="Q108">
        <v>319.47000000000003</v>
      </c>
      <c r="R108" t="s">
        <v>1333</v>
      </c>
      <c r="S108" t="b">
        <f t="shared" si="4"/>
        <v>0</v>
      </c>
      <c r="T108" t="b">
        <f t="shared" si="5"/>
        <v>0</v>
      </c>
      <c r="U108" t="b">
        <f t="shared" si="6"/>
        <v>0</v>
      </c>
    </row>
    <row r="109" spans="1:21" x14ac:dyDescent="0.3">
      <c r="A109">
        <v>108</v>
      </c>
      <c r="B109" t="s">
        <v>124</v>
      </c>
      <c r="C109" s="2">
        <v>46021</v>
      </c>
      <c r="D109" s="2" t="str">
        <f t="shared" si="7"/>
        <v>Dec-2025</v>
      </c>
      <c r="E109" s="2">
        <v>46025</v>
      </c>
      <c r="F109" t="s">
        <v>1017</v>
      </c>
      <c r="G109" t="s">
        <v>1102</v>
      </c>
      <c r="H109" t="s">
        <v>1283</v>
      </c>
      <c r="I109" t="s">
        <v>1287</v>
      </c>
      <c r="J109" t="s">
        <v>1300</v>
      </c>
      <c r="K109" t="s">
        <v>1305</v>
      </c>
      <c r="L109" t="s">
        <v>1307</v>
      </c>
      <c r="M109" t="s">
        <v>1311</v>
      </c>
      <c r="N109">
        <v>2</v>
      </c>
      <c r="O109">
        <v>0.05</v>
      </c>
      <c r="P109">
        <v>568.38</v>
      </c>
      <c r="Q109">
        <v>132.63999999999999</v>
      </c>
      <c r="R109" t="s">
        <v>1331</v>
      </c>
      <c r="S109" t="b">
        <f t="shared" si="4"/>
        <v>0</v>
      </c>
      <c r="T109" t="b">
        <f t="shared" si="5"/>
        <v>0</v>
      </c>
      <c r="U109" t="b">
        <f t="shared" si="6"/>
        <v>0</v>
      </c>
    </row>
    <row r="110" spans="1:21" x14ac:dyDescent="0.3">
      <c r="A110">
        <v>109</v>
      </c>
      <c r="B110" t="s">
        <v>125</v>
      </c>
      <c r="C110" s="2">
        <v>45843</v>
      </c>
      <c r="D110" s="2" t="str">
        <f t="shared" si="7"/>
        <v>Jul-2025</v>
      </c>
      <c r="E110" s="2">
        <v>45848</v>
      </c>
      <c r="F110" t="s">
        <v>1018</v>
      </c>
      <c r="G110" t="s">
        <v>1103</v>
      </c>
      <c r="H110" t="s">
        <v>1277</v>
      </c>
      <c r="I110" t="s">
        <v>1287</v>
      </c>
      <c r="J110" t="s">
        <v>1297</v>
      </c>
      <c r="K110" t="s">
        <v>1304</v>
      </c>
      <c r="L110" t="s">
        <v>1308</v>
      </c>
      <c r="M110" t="s">
        <v>1326</v>
      </c>
      <c r="N110">
        <v>2</v>
      </c>
      <c r="O110">
        <v>0.05</v>
      </c>
      <c r="P110">
        <v>12913.34</v>
      </c>
      <c r="Q110">
        <v>2490.52</v>
      </c>
      <c r="R110" t="s">
        <v>1332</v>
      </c>
      <c r="S110" t="b">
        <f t="shared" si="4"/>
        <v>0</v>
      </c>
      <c r="T110" t="b">
        <f t="shared" si="5"/>
        <v>0</v>
      </c>
      <c r="U110" t="b">
        <f t="shared" si="6"/>
        <v>0</v>
      </c>
    </row>
    <row r="111" spans="1:21" x14ac:dyDescent="0.3">
      <c r="A111">
        <v>110</v>
      </c>
      <c r="B111" t="s">
        <v>126</v>
      </c>
      <c r="C111" s="2">
        <v>45950</v>
      </c>
      <c r="D111" s="2" t="str">
        <f t="shared" si="7"/>
        <v>Oct-2025</v>
      </c>
      <c r="E111" s="2">
        <v>45955</v>
      </c>
      <c r="F111" t="s">
        <v>1017</v>
      </c>
      <c r="G111" t="s">
        <v>1104</v>
      </c>
      <c r="H111" t="s">
        <v>1271</v>
      </c>
      <c r="I111" t="s">
        <v>1288</v>
      </c>
      <c r="J111" t="s">
        <v>1291</v>
      </c>
      <c r="K111" t="s">
        <v>1302</v>
      </c>
      <c r="L111" t="s">
        <v>1307</v>
      </c>
      <c r="M111" t="s">
        <v>1311</v>
      </c>
      <c r="N111">
        <v>2</v>
      </c>
      <c r="O111">
        <v>0.1</v>
      </c>
      <c r="P111">
        <v>515.01</v>
      </c>
      <c r="Q111">
        <v>91.97</v>
      </c>
      <c r="R111" t="s">
        <v>1333</v>
      </c>
      <c r="S111" t="b">
        <f t="shared" si="4"/>
        <v>0</v>
      </c>
      <c r="T111" t="b">
        <f t="shared" si="5"/>
        <v>0</v>
      </c>
      <c r="U111" t="b">
        <f t="shared" si="6"/>
        <v>0</v>
      </c>
    </row>
    <row r="112" spans="1:21" x14ac:dyDescent="0.3">
      <c r="A112">
        <v>111</v>
      </c>
      <c r="B112" t="s">
        <v>127</v>
      </c>
      <c r="C112" s="2">
        <v>45820</v>
      </c>
      <c r="D112" s="2" t="str">
        <f t="shared" si="7"/>
        <v>Jun-2025</v>
      </c>
      <c r="E112" s="2">
        <v>45825</v>
      </c>
      <c r="F112" t="s">
        <v>1017</v>
      </c>
      <c r="G112" t="s">
        <v>1055</v>
      </c>
      <c r="H112" t="s">
        <v>1280</v>
      </c>
      <c r="I112" t="s">
        <v>1287</v>
      </c>
      <c r="J112" t="s">
        <v>1290</v>
      </c>
      <c r="K112" t="s">
        <v>1302</v>
      </c>
      <c r="L112" t="s">
        <v>1308</v>
      </c>
      <c r="M112" t="s">
        <v>1318</v>
      </c>
      <c r="N112">
        <v>1</v>
      </c>
      <c r="O112">
        <v>0.05</v>
      </c>
      <c r="P112">
        <v>4967.57</v>
      </c>
      <c r="Q112">
        <v>911.05</v>
      </c>
      <c r="R112" t="s">
        <v>1331</v>
      </c>
      <c r="S112" t="b">
        <f t="shared" si="4"/>
        <v>0</v>
      </c>
      <c r="T112" t="b">
        <f t="shared" si="5"/>
        <v>0</v>
      </c>
      <c r="U112" t="b">
        <f t="shared" si="6"/>
        <v>0</v>
      </c>
    </row>
    <row r="113" spans="1:21" x14ac:dyDescent="0.3">
      <c r="A113">
        <v>112</v>
      </c>
      <c r="B113" t="s">
        <v>128</v>
      </c>
      <c r="C113" s="2">
        <v>45790</v>
      </c>
      <c r="D113" s="2" t="str">
        <f t="shared" si="7"/>
        <v>May-2025</v>
      </c>
      <c r="E113" s="2">
        <v>45794</v>
      </c>
      <c r="F113" t="s">
        <v>1017</v>
      </c>
      <c r="G113" t="s">
        <v>1105</v>
      </c>
      <c r="H113" t="s">
        <v>1276</v>
      </c>
      <c r="I113" t="s">
        <v>1287</v>
      </c>
      <c r="J113" t="s">
        <v>1295</v>
      </c>
      <c r="K113" t="s">
        <v>1305</v>
      </c>
      <c r="L113" t="s">
        <v>1307</v>
      </c>
      <c r="M113" t="s">
        <v>1311</v>
      </c>
      <c r="N113">
        <v>3</v>
      </c>
      <c r="O113">
        <v>0</v>
      </c>
      <c r="P113">
        <v>904.88</v>
      </c>
      <c r="Q113">
        <v>178.56</v>
      </c>
      <c r="R113" t="s">
        <v>1332</v>
      </c>
      <c r="S113" t="b">
        <f t="shared" si="4"/>
        <v>0</v>
      </c>
      <c r="T113" t="b">
        <f t="shared" si="5"/>
        <v>0</v>
      </c>
      <c r="U113" t="b">
        <f t="shared" si="6"/>
        <v>0</v>
      </c>
    </row>
    <row r="114" spans="1:21" x14ac:dyDescent="0.3">
      <c r="A114">
        <v>113</v>
      </c>
      <c r="B114" t="s">
        <v>129</v>
      </c>
      <c r="C114" s="2">
        <v>45969</v>
      </c>
      <c r="D114" s="2" t="str">
        <f t="shared" si="7"/>
        <v>Nov-2025</v>
      </c>
      <c r="E114" s="2">
        <v>45973</v>
      </c>
      <c r="F114" t="s">
        <v>1017</v>
      </c>
      <c r="G114" t="s">
        <v>1106</v>
      </c>
      <c r="H114" t="s">
        <v>1269</v>
      </c>
      <c r="I114" t="s">
        <v>1289</v>
      </c>
      <c r="J114" t="s">
        <v>1298</v>
      </c>
      <c r="K114" t="s">
        <v>1303</v>
      </c>
      <c r="L114" t="s">
        <v>1306</v>
      </c>
      <c r="M114" t="s">
        <v>1324</v>
      </c>
      <c r="N114">
        <v>3</v>
      </c>
      <c r="O114">
        <v>0.15</v>
      </c>
      <c r="P114">
        <v>237.86</v>
      </c>
      <c r="Q114">
        <v>40.32</v>
      </c>
      <c r="R114" t="s">
        <v>1331</v>
      </c>
      <c r="S114" t="b">
        <f t="shared" si="4"/>
        <v>0</v>
      </c>
      <c r="T114" t="b">
        <f t="shared" si="5"/>
        <v>0</v>
      </c>
      <c r="U114" t="b">
        <f t="shared" si="6"/>
        <v>0</v>
      </c>
    </row>
    <row r="115" spans="1:21" x14ac:dyDescent="0.3">
      <c r="A115">
        <v>114</v>
      </c>
      <c r="B115" t="s">
        <v>130</v>
      </c>
      <c r="C115" s="2">
        <v>45902</v>
      </c>
      <c r="D115" s="2" t="str">
        <f t="shared" si="7"/>
        <v>Sep-2025</v>
      </c>
      <c r="E115" s="2">
        <v>45905</v>
      </c>
      <c r="F115" t="s">
        <v>1017</v>
      </c>
      <c r="G115" t="s">
        <v>1107</v>
      </c>
      <c r="H115" t="s">
        <v>1276</v>
      </c>
      <c r="I115" t="s">
        <v>1289</v>
      </c>
      <c r="J115" t="s">
        <v>1299</v>
      </c>
      <c r="K115" t="s">
        <v>1304</v>
      </c>
      <c r="L115" t="s">
        <v>1309</v>
      </c>
      <c r="M115" t="s">
        <v>1325</v>
      </c>
      <c r="N115">
        <v>1</v>
      </c>
      <c r="O115">
        <v>0.1</v>
      </c>
      <c r="P115">
        <v>1147.6099999999999</v>
      </c>
      <c r="Q115">
        <v>210.45</v>
      </c>
      <c r="R115" t="s">
        <v>1330</v>
      </c>
      <c r="S115" t="b">
        <f t="shared" si="4"/>
        <v>0</v>
      </c>
      <c r="T115" t="b">
        <f t="shared" si="5"/>
        <v>0</v>
      </c>
      <c r="U115" t="b">
        <f t="shared" si="6"/>
        <v>0</v>
      </c>
    </row>
    <row r="116" spans="1:21" x14ac:dyDescent="0.3">
      <c r="A116">
        <v>115</v>
      </c>
      <c r="B116" t="s">
        <v>131</v>
      </c>
      <c r="C116" s="2">
        <v>45880</v>
      </c>
      <c r="D116" s="2" t="str">
        <f t="shared" si="7"/>
        <v>Aug-2025</v>
      </c>
      <c r="E116" s="2">
        <v>45883</v>
      </c>
      <c r="F116" t="s">
        <v>1017</v>
      </c>
      <c r="G116" t="s">
        <v>1108</v>
      </c>
      <c r="H116" t="s">
        <v>1280</v>
      </c>
      <c r="I116" t="s">
        <v>1287</v>
      </c>
      <c r="J116" t="s">
        <v>1294</v>
      </c>
      <c r="K116" t="s">
        <v>1305</v>
      </c>
      <c r="L116" t="s">
        <v>1309</v>
      </c>
      <c r="M116" t="s">
        <v>1325</v>
      </c>
      <c r="N116">
        <v>2</v>
      </c>
      <c r="O116">
        <v>0.2</v>
      </c>
      <c r="P116">
        <v>2076.08</v>
      </c>
      <c r="Q116">
        <v>118.82</v>
      </c>
      <c r="R116" t="s">
        <v>1330</v>
      </c>
      <c r="S116" t="b">
        <f t="shared" si="4"/>
        <v>0</v>
      </c>
      <c r="T116" t="b">
        <f t="shared" si="5"/>
        <v>0</v>
      </c>
      <c r="U116" t="b">
        <f t="shared" si="6"/>
        <v>0</v>
      </c>
    </row>
    <row r="117" spans="1:21" x14ac:dyDescent="0.3">
      <c r="A117">
        <v>116</v>
      </c>
      <c r="B117" t="s">
        <v>132</v>
      </c>
      <c r="C117" s="2">
        <v>46009</v>
      </c>
      <c r="D117" s="2" t="str">
        <f t="shared" si="7"/>
        <v>Dec-2025</v>
      </c>
      <c r="E117" s="2">
        <v>46014</v>
      </c>
      <c r="F117" t="s">
        <v>1018</v>
      </c>
      <c r="G117" t="s">
        <v>1109</v>
      </c>
      <c r="H117" t="s">
        <v>1281</v>
      </c>
      <c r="I117" t="s">
        <v>1288</v>
      </c>
      <c r="J117" t="s">
        <v>1298</v>
      </c>
      <c r="K117" t="s">
        <v>1303</v>
      </c>
      <c r="L117" t="s">
        <v>1308</v>
      </c>
      <c r="M117" t="s">
        <v>1326</v>
      </c>
      <c r="N117">
        <v>1</v>
      </c>
      <c r="O117">
        <v>0.15</v>
      </c>
      <c r="P117">
        <v>6224.8</v>
      </c>
      <c r="Q117">
        <v>1528.04</v>
      </c>
      <c r="R117" t="s">
        <v>1333</v>
      </c>
      <c r="S117" t="b">
        <f t="shared" si="4"/>
        <v>0</v>
      </c>
      <c r="T117" t="b">
        <f t="shared" si="5"/>
        <v>0</v>
      </c>
      <c r="U117" t="b">
        <f t="shared" si="6"/>
        <v>0</v>
      </c>
    </row>
    <row r="118" spans="1:21" x14ac:dyDescent="0.3">
      <c r="A118">
        <v>117</v>
      </c>
      <c r="B118" t="s">
        <v>133</v>
      </c>
      <c r="C118" s="2">
        <v>45946</v>
      </c>
      <c r="D118" s="2" t="str">
        <f t="shared" si="7"/>
        <v>Oct-2025</v>
      </c>
      <c r="E118" s="2">
        <v>45947</v>
      </c>
      <c r="F118" t="s">
        <v>1017</v>
      </c>
      <c r="G118" t="s">
        <v>1047</v>
      </c>
      <c r="H118" t="s">
        <v>1279</v>
      </c>
      <c r="I118" t="s">
        <v>1287</v>
      </c>
      <c r="J118" t="s">
        <v>1291</v>
      </c>
      <c r="K118" t="s">
        <v>1302</v>
      </c>
      <c r="L118" t="s">
        <v>1308</v>
      </c>
      <c r="M118" t="s">
        <v>1318</v>
      </c>
      <c r="N118">
        <v>1</v>
      </c>
      <c r="O118">
        <v>0.15</v>
      </c>
      <c r="P118">
        <v>4541.25</v>
      </c>
      <c r="Q118">
        <v>407.23</v>
      </c>
      <c r="R118" t="s">
        <v>1332</v>
      </c>
      <c r="S118" t="b">
        <f t="shared" si="4"/>
        <v>0</v>
      </c>
      <c r="T118" t="b">
        <f t="shared" si="5"/>
        <v>0</v>
      </c>
      <c r="U118" t="b">
        <f t="shared" si="6"/>
        <v>0</v>
      </c>
    </row>
    <row r="119" spans="1:21" x14ac:dyDescent="0.3">
      <c r="A119">
        <v>118</v>
      </c>
      <c r="B119" t="s">
        <v>134</v>
      </c>
      <c r="C119" s="2">
        <v>45730</v>
      </c>
      <c r="D119" s="2" t="str">
        <f t="shared" si="7"/>
        <v>Mar-2025</v>
      </c>
      <c r="E119" s="2">
        <v>45735</v>
      </c>
      <c r="F119" t="s">
        <v>1018</v>
      </c>
      <c r="G119" t="s">
        <v>1104</v>
      </c>
      <c r="H119" t="s">
        <v>1286</v>
      </c>
      <c r="I119" t="s">
        <v>1287</v>
      </c>
      <c r="J119" t="s">
        <v>1299</v>
      </c>
      <c r="K119" t="s">
        <v>1304</v>
      </c>
      <c r="L119" t="s">
        <v>1307</v>
      </c>
      <c r="M119" t="s">
        <v>1316</v>
      </c>
      <c r="N119">
        <v>2</v>
      </c>
      <c r="O119">
        <v>0.2</v>
      </c>
      <c r="P119">
        <v>803.75</v>
      </c>
      <c r="Q119">
        <v>37.6</v>
      </c>
      <c r="R119" t="s">
        <v>1332</v>
      </c>
      <c r="S119" t="b">
        <f t="shared" si="4"/>
        <v>0</v>
      </c>
      <c r="T119" t="b">
        <f t="shared" si="5"/>
        <v>0</v>
      </c>
      <c r="U119" t="b">
        <f t="shared" si="6"/>
        <v>0</v>
      </c>
    </row>
    <row r="120" spans="1:21" x14ac:dyDescent="0.3">
      <c r="A120">
        <v>119</v>
      </c>
      <c r="B120" t="s">
        <v>135</v>
      </c>
      <c r="C120" s="2">
        <v>45786</v>
      </c>
      <c r="D120" s="2" t="str">
        <f t="shared" si="7"/>
        <v>May-2025</v>
      </c>
      <c r="E120" s="2">
        <v>45787</v>
      </c>
      <c r="F120" t="s">
        <v>1018</v>
      </c>
      <c r="G120" t="s">
        <v>1103</v>
      </c>
      <c r="H120" t="s">
        <v>1272</v>
      </c>
      <c r="I120" t="s">
        <v>1287</v>
      </c>
      <c r="J120" t="s">
        <v>1294</v>
      </c>
      <c r="K120" t="s">
        <v>1305</v>
      </c>
      <c r="L120" t="s">
        <v>1307</v>
      </c>
      <c r="M120" t="s">
        <v>1311</v>
      </c>
      <c r="N120">
        <v>1</v>
      </c>
      <c r="O120">
        <v>0.2</v>
      </c>
      <c r="P120">
        <v>235.09</v>
      </c>
      <c r="Q120">
        <v>12.02</v>
      </c>
      <c r="R120" t="s">
        <v>1333</v>
      </c>
      <c r="S120" t="b">
        <f t="shared" si="4"/>
        <v>0</v>
      </c>
      <c r="T120" t="b">
        <f t="shared" si="5"/>
        <v>0</v>
      </c>
      <c r="U120" t="b">
        <f t="shared" si="6"/>
        <v>0</v>
      </c>
    </row>
    <row r="121" spans="1:21" x14ac:dyDescent="0.3">
      <c r="A121">
        <v>120</v>
      </c>
      <c r="B121" t="s">
        <v>136</v>
      </c>
      <c r="C121" s="2">
        <v>46012</v>
      </c>
      <c r="D121" s="2" t="str">
        <f t="shared" si="7"/>
        <v>Dec-2025</v>
      </c>
      <c r="E121" s="2">
        <v>46014</v>
      </c>
      <c r="F121" t="s">
        <v>1017</v>
      </c>
      <c r="G121" t="s">
        <v>1110</v>
      </c>
      <c r="H121" t="s">
        <v>1268</v>
      </c>
      <c r="I121" t="s">
        <v>1289</v>
      </c>
      <c r="J121" t="s">
        <v>1296</v>
      </c>
      <c r="K121" t="s">
        <v>1304</v>
      </c>
      <c r="L121" t="s">
        <v>1309</v>
      </c>
      <c r="M121" t="s">
        <v>1317</v>
      </c>
      <c r="N121">
        <v>1</v>
      </c>
      <c r="O121">
        <v>0</v>
      </c>
      <c r="P121">
        <v>819.72</v>
      </c>
      <c r="Q121">
        <v>244.37</v>
      </c>
      <c r="R121" t="s">
        <v>1330</v>
      </c>
      <c r="S121" t="b">
        <f t="shared" si="4"/>
        <v>0</v>
      </c>
      <c r="T121" t="b">
        <f t="shared" si="5"/>
        <v>0</v>
      </c>
      <c r="U121" t="b">
        <f t="shared" si="6"/>
        <v>0</v>
      </c>
    </row>
    <row r="122" spans="1:21" x14ac:dyDescent="0.3">
      <c r="A122">
        <v>121</v>
      </c>
      <c r="B122" t="s">
        <v>137</v>
      </c>
      <c r="C122" s="2">
        <v>45957</v>
      </c>
      <c r="D122" s="2" t="str">
        <f t="shared" si="7"/>
        <v>Oct-2025</v>
      </c>
      <c r="E122" s="2">
        <v>45961</v>
      </c>
      <c r="F122" t="s">
        <v>1018</v>
      </c>
      <c r="G122" t="s">
        <v>1058</v>
      </c>
      <c r="H122" t="s">
        <v>1285</v>
      </c>
      <c r="I122" t="s">
        <v>1289</v>
      </c>
      <c r="J122" t="s">
        <v>1291</v>
      </c>
      <c r="K122" t="s">
        <v>1302</v>
      </c>
      <c r="L122" t="s">
        <v>1307</v>
      </c>
      <c r="M122" t="s">
        <v>1316</v>
      </c>
      <c r="N122">
        <v>1</v>
      </c>
      <c r="O122">
        <v>0.1</v>
      </c>
      <c r="P122">
        <v>453.95</v>
      </c>
      <c r="Q122">
        <v>68.23</v>
      </c>
      <c r="R122" t="s">
        <v>1331</v>
      </c>
      <c r="S122" t="b">
        <f t="shared" si="4"/>
        <v>0</v>
      </c>
      <c r="T122" t="b">
        <f t="shared" si="5"/>
        <v>0</v>
      </c>
      <c r="U122" t="b">
        <f t="shared" si="6"/>
        <v>0</v>
      </c>
    </row>
    <row r="123" spans="1:21" x14ac:dyDescent="0.3">
      <c r="A123">
        <v>122</v>
      </c>
      <c r="B123" t="s">
        <v>138</v>
      </c>
      <c r="C123" s="2">
        <v>45708</v>
      </c>
      <c r="D123" s="2" t="str">
        <f t="shared" si="7"/>
        <v>Feb-2025</v>
      </c>
      <c r="E123" s="2">
        <v>45712</v>
      </c>
      <c r="F123" t="s">
        <v>1017</v>
      </c>
      <c r="G123" t="s">
        <v>1104</v>
      </c>
      <c r="H123" t="s">
        <v>1283</v>
      </c>
      <c r="I123" t="s">
        <v>1287</v>
      </c>
      <c r="J123" t="s">
        <v>1291</v>
      </c>
      <c r="K123" t="s">
        <v>1302</v>
      </c>
      <c r="L123" t="s">
        <v>1309</v>
      </c>
      <c r="M123" t="s">
        <v>1320</v>
      </c>
      <c r="N123">
        <v>5</v>
      </c>
      <c r="O123">
        <v>0.15</v>
      </c>
      <c r="P123">
        <v>5317.13</v>
      </c>
      <c r="Q123">
        <v>1178.6300000000001</v>
      </c>
      <c r="R123" t="s">
        <v>1331</v>
      </c>
      <c r="S123" t="b">
        <f t="shared" si="4"/>
        <v>0</v>
      </c>
      <c r="T123" t="b">
        <f t="shared" si="5"/>
        <v>0</v>
      </c>
      <c r="U123" t="b">
        <f t="shared" si="6"/>
        <v>0</v>
      </c>
    </row>
    <row r="124" spans="1:21" x14ac:dyDescent="0.3">
      <c r="A124">
        <v>123</v>
      </c>
      <c r="B124" t="s">
        <v>139</v>
      </c>
      <c r="C124" s="2">
        <v>45815</v>
      </c>
      <c r="D124" s="2" t="str">
        <f t="shared" si="7"/>
        <v>Jun-2025</v>
      </c>
      <c r="E124" s="2">
        <v>45817</v>
      </c>
      <c r="F124" t="s">
        <v>1018</v>
      </c>
      <c r="G124" t="s">
        <v>1043</v>
      </c>
      <c r="H124" t="s">
        <v>1281</v>
      </c>
      <c r="I124" t="s">
        <v>1287</v>
      </c>
      <c r="J124" t="s">
        <v>1296</v>
      </c>
      <c r="K124" t="s">
        <v>1304</v>
      </c>
      <c r="L124" t="s">
        <v>1306</v>
      </c>
      <c r="M124" t="s">
        <v>1324</v>
      </c>
      <c r="N124">
        <v>2</v>
      </c>
      <c r="O124">
        <v>0</v>
      </c>
      <c r="P124">
        <v>178.2</v>
      </c>
      <c r="Q124">
        <v>31.44</v>
      </c>
      <c r="R124" t="s">
        <v>1334</v>
      </c>
      <c r="S124" t="b">
        <f t="shared" si="4"/>
        <v>0</v>
      </c>
      <c r="T124" t="b">
        <f t="shared" si="5"/>
        <v>0</v>
      </c>
      <c r="U124" t="b">
        <f t="shared" si="6"/>
        <v>0</v>
      </c>
    </row>
    <row r="125" spans="1:21" x14ac:dyDescent="0.3">
      <c r="A125">
        <v>124</v>
      </c>
      <c r="B125" t="s">
        <v>140</v>
      </c>
      <c r="C125" s="2">
        <v>45741</v>
      </c>
      <c r="D125" s="2" t="str">
        <f t="shared" si="7"/>
        <v>Mar-2025</v>
      </c>
      <c r="E125" s="2">
        <v>45745</v>
      </c>
      <c r="F125" t="s">
        <v>1017</v>
      </c>
      <c r="G125" t="s">
        <v>1100</v>
      </c>
      <c r="H125" t="s">
        <v>1270</v>
      </c>
      <c r="I125" t="s">
        <v>1287</v>
      </c>
      <c r="J125" t="s">
        <v>1295</v>
      </c>
      <c r="K125" t="s">
        <v>1305</v>
      </c>
      <c r="L125" t="s">
        <v>1307</v>
      </c>
      <c r="M125" t="s">
        <v>1316</v>
      </c>
      <c r="N125">
        <v>1</v>
      </c>
      <c r="O125">
        <v>0.2</v>
      </c>
      <c r="P125">
        <v>382.71</v>
      </c>
      <c r="Q125">
        <v>-8.08</v>
      </c>
      <c r="R125" t="s">
        <v>1331</v>
      </c>
      <c r="S125" t="b">
        <f t="shared" si="4"/>
        <v>0</v>
      </c>
      <c r="T125" t="b">
        <f t="shared" si="5"/>
        <v>0</v>
      </c>
      <c r="U125" t="b">
        <f t="shared" si="6"/>
        <v>0</v>
      </c>
    </row>
    <row r="126" spans="1:21" x14ac:dyDescent="0.3">
      <c r="A126">
        <v>125</v>
      </c>
      <c r="B126" t="s">
        <v>141</v>
      </c>
      <c r="C126" s="2">
        <v>45928</v>
      </c>
      <c r="D126" s="2" t="str">
        <f t="shared" si="7"/>
        <v>Sep-2025</v>
      </c>
      <c r="E126" s="2">
        <v>45930</v>
      </c>
      <c r="F126" t="s">
        <v>1019</v>
      </c>
      <c r="G126" t="s">
        <v>1035</v>
      </c>
      <c r="H126" t="s">
        <v>1268</v>
      </c>
      <c r="I126" t="s">
        <v>1288</v>
      </c>
      <c r="J126" t="s">
        <v>1301</v>
      </c>
      <c r="K126" t="s">
        <v>1303</v>
      </c>
      <c r="L126" t="s">
        <v>1308</v>
      </c>
      <c r="M126" t="s">
        <v>1327</v>
      </c>
      <c r="N126">
        <v>2</v>
      </c>
      <c r="O126">
        <v>0.15</v>
      </c>
      <c r="P126">
        <v>2958.84</v>
      </c>
      <c r="Q126">
        <v>468.47</v>
      </c>
      <c r="R126" t="s">
        <v>1331</v>
      </c>
      <c r="S126" t="b">
        <f t="shared" si="4"/>
        <v>0</v>
      </c>
      <c r="T126" t="b">
        <f t="shared" si="5"/>
        <v>0</v>
      </c>
      <c r="U126" t="b">
        <f t="shared" si="6"/>
        <v>0</v>
      </c>
    </row>
    <row r="127" spans="1:21" x14ac:dyDescent="0.3">
      <c r="A127">
        <v>126</v>
      </c>
      <c r="B127" t="s">
        <v>142</v>
      </c>
      <c r="C127" s="2">
        <v>45803</v>
      </c>
      <c r="D127" s="2" t="str">
        <f t="shared" si="7"/>
        <v>May-2025</v>
      </c>
      <c r="E127" s="2">
        <v>45806</v>
      </c>
      <c r="F127" t="s">
        <v>1017</v>
      </c>
      <c r="G127" t="s">
        <v>1093</v>
      </c>
      <c r="H127" t="s">
        <v>1275</v>
      </c>
      <c r="I127" t="s">
        <v>1288</v>
      </c>
      <c r="J127" t="s">
        <v>1297</v>
      </c>
      <c r="K127" t="s">
        <v>1304</v>
      </c>
      <c r="L127" t="s">
        <v>1306</v>
      </c>
      <c r="M127" t="s">
        <v>1321</v>
      </c>
      <c r="N127">
        <v>2</v>
      </c>
      <c r="O127">
        <v>0.15</v>
      </c>
      <c r="P127">
        <v>774.48</v>
      </c>
      <c r="Q127">
        <v>135.16</v>
      </c>
      <c r="R127" t="s">
        <v>1334</v>
      </c>
      <c r="S127" t="b">
        <f t="shared" si="4"/>
        <v>0</v>
      </c>
      <c r="T127" t="b">
        <f t="shared" si="5"/>
        <v>0</v>
      </c>
      <c r="U127" t="b">
        <f t="shared" si="6"/>
        <v>0</v>
      </c>
    </row>
    <row r="128" spans="1:21" x14ac:dyDescent="0.3">
      <c r="A128">
        <v>127</v>
      </c>
      <c r="B128" t="s">
        <v>143</v>
      </c>
      <c r="C128" s="2">
        <v>45817</v>
      </c>
      <c r="D128" s="2" t="str">
        <f t="shared" si="7"/>
        <v>Jun-2025</v>
      </c>
      <c r="E128" s="2">
        <v>45820</v>
      </c>
      <c r="F128" t="s">
        <v>1017</v>
      </c>
      <c r="G128" t="s">
        <v>1111</v>
      </c>
      <c r="H128" t="s">
        <v>1278</v>
      </c>
      <c r="I128" t="s">
        <v>1287</v>
      </c>
      <c r="J128" t="s">
        <v>1301</v>
      </c>
      <c r="K128" t="s">
        <v>1303</v>
      </c>
      <c r="L128" t="s">
        <v>1309</v>
      </c>
      <c r="M128" t="s">
        <v>1317</v>
      </c>
      <c r="N128">
        <v>1</v>
      </c>
      <c r="O128">
        <v>0.1</v>
      </c>
      <c r="P128">
        <v>699.82</v>
      </c>
      <c r="Q128">
        <v>141.97</v>
      </c>
      <c r="R128" t="s">
        <v>1333</v>
      </c>
      <c r="S128" t="b">
        <f t="shared" si="4"/>
        <v>0</v>
      </c>
      <c r="T128" t="b">
        <f t="shared" si="5"/>
        <v>0</v>
      </c>
      <c r="U128" t="b">
        <f t="shared" si="6"/>
        <v>0</v>
      </c>
    </row>
    <row r="129" spans="1:21" x14ac:dyDescent="0.3">
      <c r="A129">
        <v>128</v>
      </c>
      <c r="B129" t="s">
        <v>144</v>
      </c>
      <c r="C129" s="2">
        <v>45937</v>
      </c>
      <c r="D129" s="2" t="str">
        <f t="shared" si="7"/>
        <v>Oct-2025</v>
      </c>
      <c r="E129" s="2">
        <v>45941</v>
      </c>
      <c r="F129" t="s">
        <v>1017</v>
      </c>
      <c r="G129" t="s">
        <v>1077</v>
      </c>
      <c r="H129" t="s">
        <v>1274</v>
      </c>
      <c r="I129" t="s">
        <v>1288</v>
      </c>
      <c r="J129" t="s">
        <v>1301</v>
      </c>
      <c r="K129" t="s">
        <v>1303</v>
      </c>
      <c r="L129" t="s">
        <v>1308</v>
      </c>
      <c r="M129" t="s">
        <v>1326</v>
      </c>
      <c r="N129">
        <v>2</v>
      </c>
      <c r="O129">
        <v>0.15</v>
      </c>
      <c r="P129">
        <v>12277.51</v>
      </c>
      <c r="Q129">
        <v>1909.98</v>
      </c>
      <c r="R129" t="s">
        <v>1331</v>
      </c>
      <c r="S129" t="b">
        <f t="shared" si="4"/>
        <v>0</v>
      </c>
      <c r="T129" t="b">
        <f t="shared" si="5"/>
        <v>0</v>
      </c>
      <c r="U129" t="b">
        <f t="shared" si="6"/>
        <v>0</v>
      </c>
    </row>
    <row r="130" spans="1:21" x14ac:dyDescent="0.3">
      <c r="A130">
        <v>129</v>
      </c>
      <c r="B130" t="s">
        <v>145</v>
      </c>
      <c r="C130" s="2">
        <v>45727</v>
      </c>
      <c r="D130" s="2" t="str">
        <f t="shared" si="7"/>
        <v>Mar-2025</v>
      </c>
      <c r="E130" s="2">
        <v>45728</v>
      </c>
      <c r="F130" t="s">
        <v>1018</v>
      </c>
      <c r="G130" t="s">
        <v>1112</v>
      </c>
      <c r="H130" t="s">
        <v>1273</v>
      </c>
      <c r="I130" t="s">
        <v>1287</v>
      </c>
      <c r="J130" t="s">
        <v>1296</v>
      </c>
      <c r="K130" t="s">
        <v>1304</v>
      </c>
      <c r="L130" t="s">
        <v>1308</v>
      </c>
      <c r="M130" t="s">
        <v>1312</v>
      </c>
      <c r="N130">
        <v>2</v>
      </c>
      <c r="O130">
        <v>0.05</v>
      </c>
      <c r="P130">
        <v>2497.02</v>
      </c>
      <c r="Q130">
        <v>656.38</v>
      </c>
      <c r="R130" t="s">
        <v>1332</v>
      </c>
      <c r="S130" t="b">
        <f t="shared" ref="S130:S193" si="8">E130&lt;C130</f>
        <v>0</v>
      </c>
      <c r="T130" t="b">
        <f t="shared" ref="T130:T193" si="9">N130&lt;=0</f>
        <v>0</v>
      </c>
      <c r="U130" t="b">
        <f t="shared" ref="U130:U193" si="10">OR(O130&lt;0,O130&gt;1)</f>
        <v>0</v>
      </c>
    </row>
    <row r="131" spans="1:21" x14ac:dyDescent="0.3">
      <c r="A131">
        <v>130</v>
      </c>
      <c r="B131" t="s">
        <v>146</v>
      </c>
      <c r="C131" s="2">
        <v>45916</v>
      </c>
      <c r="D131" s="2" t="str">
        <f t="shared" ref="D131:D194" si="11">TEXT(C131,"mmm-yyyy")</f>
        <v>Sep-2025</v>
      </c>
      <c r="E131" s="2">
        <v>45918</v>
      </c>
      <c r="F131" t="s">
        <v>1017</v>
      </c>
      <c r="G131" t="s">
        <v>1113</v>
      </c>
      <c r="H131" t="s">
        <v>1276</v>
      </c>
      <c r="I131" t="s">
        <v>1287</v>
      </c>
      <c r="J131" t="s">
        <v>1296</v>
      </c>
      <c r="K131" t="s">
        <v>1304</v>
      </c>
      <c r="L131" t="s">
        <v>1309</v>
      </c>
      <c r="M131" t="s">
        <v>1325</v>
      </c>
      <c r="N131">
        <v>2</v>
      </c>
      <c r="O131">
        <v>0.05</v>
      </c>
      <c r="P131">
        <v>2590.06</v>
      </c>
      <c r="Q131">
        <v>635.41</v>
      </c>
      <c r="R131" t="s">
        <v>1333</v>
      </c>
      <c r="S131" t="b">
        <f t="shared" si="8"/>
        <v>0</v>
      </c>
      <c r="T131" t="b">
        <f t="shared" si="9"/>
        <v>0</v>
      </c>
      <c r="U131" t="b">
        <f t="shared" si="10"/>
        <v>0</v>
      </c>
    </row>
    <row r="132" spans="1:21" x14ac:dyDescent="0.3">
      <c r="A132">
        <v>131</v>
      </c>
      <c r="B132" t="s">
        <v>147</v>
      </c>
      <c r="C132" s="2">
        <v>45815</v>
      </c>
      <c r="D132" s="2" t="str">
        <f t="shared" si="11"/>
        <v>Jun-2025</v>
      </c>
      <c r="E132" s="2">
        <v>45816</v>
      </c>
      <c r="F132" t="s">
        <v>1017</v>
      </c>
      <c r="G132" t="s">
        <v>1114</v>
      </c>
      <c r="H132" t="s">
        <v>1276</v>
      </c>
      <c r="I132" t="s">
        <v>1287</v>
      </c>
      <c r="J132" t="s">
        <v>1294</v>
      </c>
      <c r="K132" t="s">
        <v>1305</v>
      </c>
      <c r="L132" t="s">
        <v>1307</v>
      </c>
      <c r="M132" t="s">
        <v>1315</v>
      </c>
      <c r="N132">
        <v>1</v>
      </c>
      <c r="O132">
        <v>0.1</v>
      </c>
      <c r="P132">
        <v>1671.2</v>
      </c>
      <c r="Q132">
        <v>555.38</v>
      </c>
      <c r="R132" t="s">
        <v>1331</v>
      </c>
      <c r="S132" t="b">
        <f t="shared" si="8"/>
        <v>0</v>
      </c>
      <c r="T132" t="b">
        <f t="shared" si="9"/>
        <v>0</v>
      </c>
      <c r="U132" t="b">
        <f t="shared" si="10"/>
        <v>0</v>
      </c>
    </row>
    <row r="133" spans="1:21" x14ac:dyDescent="0.3">
      <c r="A133">
        <v>132</v>
      </c>
      <c r="B133" t="s">
        <v>148</v>
      </c>
      <c r="C133" s="2">
        <v>45905</v>
      </c>
      <c r="D133" s="2" t="str">
        <f t="shared" si="11"/>
        <v>Sep-2025</v>
      </c>
      <c r="E133" s="2">
        <v>45909</v>
      </c>
      <c r="F133" t="s">
        <v>1017</v>
      </c>
      <c r="G133" t="s">
        <v>1115</v>
      </c>
      <c r="H133" t="s">
        <v>1269</v>
      </c>
      <c r="I133" t="s">
        <v>1288</v>
      </c>
      <c r="J133" t="s">
        <v>1300</v>
      </c>
      <c r="K133" t="s">
        <v>1305</v>
      </c>
      <c r="L133" t="s">
        <v>1309</v>
      </c>
      <c r="M133" t="s">
        <v>1329</v>
      </c>
      <c r="N133">
        <v>1</v>
      </c>
      <c r="O133">
        <v>0.15</v>
      </c>
      <c r="P133">
        <v>1572.77</v>
      </c>
      <c r="Q133">
        <v>140.33000000000001</v>
      </c>
      <c r="R133" t="s">
        <v>1334</v>
      </c>
      <c r="S133" t="b">
        <f t="shared" si="8"/>
        <v>0</v>
      </c>
      <c r="T133" t="b">
        <f t="shared" si="9"/>
        <v>0</v>
      </c>
      <c r="U133" t="b">
        <f t="shared" si="10"/>
        <v>0</v>
      </c>
    </row>
    <row r="134" spans="1:21" x14ac:dyDescent="0.3">
      <c r="A134">
        <v>133</v>
      </c>
      <c r="B134" t="s">
        <v>149</v>
      </c>
      <c r="C134" s="2">
        <v>45949</v>
      </c>
      <c r="D134" s="2" t="str">
        <f t="shared" si="11"/>
        <v>Oct-2025</v>
      </c>
      <c r="E134" s="2">
        <v>45950</v>
      </c>
      <c r="F134" t="s">
        <v>1017</v>
      </c>
      <c r="G134" t="s">
        <v>1116</v>
      </c>
      <c r="H134" t="s">
        <v>1279</v>
      </c>
      <c r="I134" t="s">
        <v>1287</v>
      </c>
      <c r="J134" t="s">
        <v>1301</v>
      </c>
      <c r="K134" t="s">
        <v>1303</v>
      </c>
      <c r="L134" t="s">
        <v>1308</v>
      </c>
      <c r="M134" t="s">
        <v>1312</v>
      </c>
      <c r="N134">
        <v>1</v>
      </c>
      <c r="O134">
        <v>0</v>
      </c>
      <c r="P134">
        <v>1263.58</v>
      </c>
      <c r="Q134">
        <v>369.43</v>
      </c>
      <c r="R134" t="s">
        <v>1334</v>
      </c>
      <c r="S134" t="b">
        <f t="shared" si="8"/>
        <v>0</v>
      </c>
      <c r="T134" t="b">
        <f t="shared" si="9"/>
        <v>0</v>
      </c>
      <c r="U134" t="b">
        <f t="shared" si="10"/>
        <v>0</v>
      </c>
    </row>
    <row r="135" spans="1:21" x14ac:dyDescent="0.3">
      <c r="A135">
        <v>134</v>
      </c>
      <c r="B135" t="s">
        <v>150</v>
      </c>
      <c r="C135" s="2">
        <v>45800</v>
      </c>
      <c r="D135" s="2" t="str">
        <f t="shared" si="11"/>
        <v>May-2025</v>
      </c>
      <c r="E135" s="2">
        <v>45804</v>
      </c>
      <c r="F135" t="s">
        <v>1019</v>
      </c>
      <c r="G135" t="s">
        <v>1117</v>
      </c>
      <c r="H135" t="s">
        <v>1286</v>
      </c>
      <c r="I135" t="s">
        <v>1289</v>
      </c>
      <c r="J135" t="s">
        <v>1297</v>
      </c>
      <c r="K135" t="s">
        <v>1304</v>
      </c>
      <c r="L135" t="s">
        <v>1309</v>
      </c>
      <c r="M135" t="s">
        <v>1325</v>
      </c>
      <c r="N135">
        <v>4</v>
      </c>
      <c r="O135">
        <v>0</v>
      </c>
      <c r="P135">
        <v>5378.6</v>
      </c>
      <c r="Q135">
        <v>1940.4</v>
      </c>
      <c r="R135" t="s">
        <v>1331</v>
      </c>
      <c r="S135" t="b">
        <f t="shared" si="8"/>
        <v>0</v>
      </c>
      <c r="T135" t="b">
        <f t="shared" si="9"/>
        <v>0</v>
      </c>
      <c r="U135" t="b">
        <f t="shared" si="10"/>
        <v>0</v>
      </c>
    </row>
    <row r="136" spans="1:21" x14ac:dyDescent="0.3">
      <c r="A136">
        <v>135</v>
      </c>
      <c r="B136" t="s">
        <v>151</v>
      </c>
      <c r="C136" s="2">
        <v>45820</v>
      </c>
      <c r="D136" s="2" t="str">
        <f t="shared" si="11"/>
        <v>Jun-2025</v>
      </c>
      <c r="E136" s="2">
        <v>45822</v>
      </c>
      <c r="F136" t="s">
        <v>1019</v>
      </c>
      <c r="G136" t="s">
        <v>1118</v>
      </c>
      <c r="H136" t="s">
        <v>1270</v>
      </c>
      <c r="I136" t="s">
        <v>1289</v>
      </c>
      <c r="J136" t="s">
        <v>1292</v>
      </c>
      <c r="K136" t="s">
        <v>1303</v>
      </c>
      <c r="L136" t="s">
        <v>1307</v>
      </c>
      <c r="M136" t="s">
        <v>1322</v>
      </c>
      <c r="N136">
        <v>1</v>
      </c>
      <c r="O136">
        <v>0</v>
      </c>
      <c r="P136">
        <v>674.8</v>
      </c>
      <c r="Q136">
        <v>210.16</v>
      </c>
      <c r="R136" t="s">
        <v>1331</v>
      </c>
      <c r="S136" t="b">
        <f t="shared" si="8"/>
        <v>0</v>
      </c>
      <c r="T136" t="b">
        <f t="shared" si="9"/>
        <v>0</v>
      </c>
      <c r="U136" t="b">
        <f t="shared" si="10"/>
        <v>0</v>
      </c>
    </row>
    <row r="137" spans="1:21" x14ac:dyDescent="0.3">
      <c r="A137">
        <v>136</v>
      </c>
      <c r="B137" t="s">
        <v>152</v>
      </c>
      <c r="C137" s="2">
        <v>45682</v>
      </c>
      <c r="D137" s="2" t="str">
        <f t="shared" si="11"/>
        <v>Jan-2025</v>
      </c>
      <c r="E137" s="2">
        <v>45687</v>
      </c>
      <c r="F137" t="s">
        <v>1017</v>
      </c>
      <c r="G137" t="s">
        <v>1066</v>
      </c>
      <c r="H137" t="s">
        <v>1271</v>
      </c>
      <c r="I137" t="s">
        <v>1289</v>
      </c>
      <c r="J137" t="s">
        <v>1299</v>
      </c>
      <c r="K137" t="s">
        <v>1304</v>
      </c>
      <c r="L137" t="s">
        <v>1307</v>
      </c>
      <c r="M137" t="s">
        <v>1314</v>
      </c>
      <c r="N137">
        <v>2</v>
      </c>
      <c r="O137">
        <v>0.15</v>
      </c>
      <c r="P137">
        <v>1508.06</v>
      </c>
      <c r="Q137">
        <v>368.79</v>
      </c>
      <c r="R137" t="s">
        <v>1333</v>
      </c>
      <c r="S137" t="b">
        <f t="shared" si="8"/>
        <v>0</v>
      </c>
      <c r="T137" t="b">
        <f t="shared" si="9"/>
        <v>0</v>
      </c>
      <c r="U137" t="b">
        <f t="shared" si="10"/>
        <v>0</v>
      </c>
    </row>
    <row r="138" spans="1:21" x14ac:dyDescent="0.3">
      <c r="A138">
        <v>137</v>
      </c>
      <c r="B138" t="s">
        <v>153</v>
      </c>
      <c r="C138" s="2">
        <v>45817</v>
      </c>
      <c r="D138" s="2" t="str">
        <f t="shared" si="11"/>
        <v>Jun-2025</v>
      </c>
      <c r="E138" s="2">
        <v>45822</v>
      </c>
      <c r="F138" t="s">
        <v>1017</v>
      </c>
      <c r="G138" t="s">
        <v>1119</v>
      </c>
      <c r="H138" t="s">
        <v>1272</v>
      </c>
      <c r="I138" t="s">
        <v>1288</v>
      </c>
      <c r="J138" t="s">
        <v>1297</v>
      </c>
      <c r="K138" t="s">
        <v>1304</v>
      </c>
      <c r="L138" t="s">
        <v>1307</v>
      </c>
      <c r="M138" t="s">
        <v>1314</v>
      </c>
      <c r="N138">
        <v>2</v>
      </c>
      <c r="O138">
        <v>0</v>
      </c>
      <c r="P138">
        <v>1711.28</v>
      </c>
      <c r="Q138">
        <v>379.84</v>
      </c>
      <c r="R138" t="s">
        <v>1331</v>
      </c>
      <c r="S138" t="b">
        <f t="shared" si="8"/>
        <v>0</v>
      </c>
      <c r="T138" t="b">
        <f t="shared" si="9"/>
        <v>0</v>
      </c>
      <c r="U138" t="b">
        <f t="shared" si="10"/>
        <v>0</v>
      </c>
    </row>
    <row r="139" spans="1:21" x14ac:dyDescent="0.3">
      <c r="A139">
        <v>138</v>
      </c>
      <c r="B139" t="s">
        <v>154</v>
      </c>
      <c r="C139" s="2">
        <v>45740</v>
      </c>
      <c r="D139" s="2" t="str">
        <f t="shared" si="11"/>
        <v>Mar-2025</v>
      </c>
      <c r="E139" s="2">
        <v>45741</v>
      </c>
      <c r="F139" t="s">
        <v>1017</v>
      </c>
      <c r="G139" t="s">
        <v>1120</v>
      </c>
      <c r="H139" t="s">
        <v>1274</v>
      </c>
      <c r="I139" t="s">
        <v>1288</v>
      </c>
      <c r="J139" t="s">
        <v>1293</v>
      </c>
      <c r="K139" t="s">
        <v>1304</v>
      </c>
      <c r="L139" t="s">
        <v>1309</v>
      </c>
      <c r="M139" t="s">
        <v>1329</v>
      </c>
      <c r="N139">
        <v>1</v>
      </c>
      <c r="O139">
        <v>0.15</v>
      </c>
      <c r="P139">
        <v>1556.4</v>
      </c>
      <c r="Q139">
        <v>332.92</v>
      </c>
      <c r="R139" t="s">
        <v>1331</v>
      </c>
      <c r="S139" t="b">
        <f t="shared" si="8"/>
        <v>0</v>
      </c>
      <c r="T139" t="b">
        <f t="shared" si="9"/>
        <v>0</v>
      </c>
      <c r="U139" t="b">
        <f t="shared" si="10"/>
        <v>0</v>
      </c>
    </row>
    <row r="140" spans="1:21" x14ac:dyDescent="0.3">
      <c r="A140">
        <v>139</v>
      </c>
      <c r="B140" t="s">
        <v>155</v>
      </c>
      <c r="C140" s="2">
        <v>45965</v>
      </c>
      <c r="D140" s="2" t="str">
        <f t="shared" si="11"/>
        <v>Nov-2025</v>
      </c>
      <c r="E140" s="2">
        <v>45969</v>
      </c>
      <c r="F140" t="s">
        <v>1017</v>
      </c>
      <c r="G140" t="s">
        <v>1098</v>
      </c>
      <c r="H140" t="s">
        <v>1267</v>
      </c>
      <c r="I140" t="s">
        <v>1287</v>
      </c>
      <c r="J140" t="s">
        <v>1298</v>
      </c>
      <c r="K140" t="s">
        <v>1303</v>
      </c>
      <c r="L140" t="s">
        <v>1306</v>
      </c>
      <c r="M140" t="s">
        <v>1323</v>
      </c>
      <c r="N140">
        <v>2</v>
      </c>
      <c r="O140">
        <v>0.05</v>
      </c>
      <c r="P140">
        <v>342.92</v>
      </c>
      <c r="Q140">
        <v>89.04</v>
      </c>
      <c r="R140" t="s">
        <v>1333</v>
      </c>
      <c r="S140" t="b">
        <f t="shared" si="8"/>
        <v>0</v>
      </c>
      <c r="T140" t="b">
        <f t="shared" si="9"/>
        <v>0</v>
      </c>
      <c r="U140" t="b">
        <f t="shared" si="10"/>
        <v>0</v>
      </c>
    </row>
    <row r="141" spans="1:21" x14ac:dyDescent="0.3">
      <c r="A141">
        <v>140</v>
      </c>
      <c r="B141" t="s">
        <v>156</v>
      </c>
      <c r="C141" s="2">
        <v>45719</v>
      </c>
      <c r="D141" s="2" t="str">
        <f t="shared" si="11"/>
        <v>Mar-2025</v>
      </c>
      <c r="E141" s="2">
        <v>45722</v>
      </c>
      <c r="F141" t="s">
        <v>1017</v>
      </c>
      <c r="G141" t="s">
        <v>1121</v>
      </c>
      <c r="H141" t="s">
        <v>1274</v>
      </c>
      <c r="I141" t="s">
        <v>1288</v>
      </c>
      <c r="J141" t="s">
        <v>1301</v>
      </c>
      <c r="K141" t="s">
        <v>1303</v>
      </c>
      <c r="L141" t="s">
        <v>1307</v>
      </c>
      <c r="M141" t="s">
        <v>1315</v>
      </c>
      <c r="N141">
        <v>5</v>
      </c>
      <c r="O141">
        <v>0</v>
      </c>
      <c r="P141">
        <v>8921.76</v>
      </c>
      <c r="Q141">
        <v>1923.04</v>
      </c>
      <c r="R141" t="s">
        <v>1331</v>
      </c>
      <c r="S141" t="b">
        <f t="shared" si="8"/>
        <v>0</v>
      </c>
      <c r="T141" t="b">
        <f t="shared" si="9"/>
        <v>0</v>
      </c>
      <c r="U141" t="b">
        <f t="shared" si="10"/>
        <v>0</v>
      </c>
    </row>
    <row r="142" spans="1:21" x14ac:dyDescent="0.3">
      <c r="A142">
        <v>141</v>
      </c>
      <c r="B142" t="s">
        <v>157</v>
      </c>
      <c r="C142" s="2">
        <v>45817</v>
      </c>
      <c r="D142" s="2" t="str">
        <f t="shared" si="11"/>
        <v>Jun-2025</v>
      </c>
      <c r="E142" s="2">
        <v>45821</v>
      </c>
      <c r="F142" t="s">
        <v>1018</v>
      </c>
      <c r="G142" t="s">
        <v>1122</v>
      </c>
      <c r="H142" t="s">
        <v>1276</v>
      </c>
      <c r="I142" t="s">
        <v>1287</v>
      </c>
      <c r="J142" t="s">
        <v>1298</v>
      </c>
      <c r="K142" t="s">
        <v>1303</v>
      </c>
      <c r="L142" t="s">
        <v>1307</v>
      </c>
      <c r="M142" t="s">
        <v>1315</v>
      </c>
      <c r="N142">
        <v>1</v>
      </c>
      <c r="O142">
        <v>0</v>
      </c>
      <c r="P142">
        <v>1775.87</v>
      </c>
      <c r="Q142">
        <v>564.84</v>
      </c>
      <c r="R142" t="s">
        <v>1331</v>
      </c>
      <c r="S142" t="b">
        <f t="shared" si="8"/>
        <v>0</v>
      </c>
      <c r="T142" t="b">
        <f t="shared" si="9"/>
        <v>0</v>
      </c>
      <c r="U142" t="b">
        <f t="shared" si="10"/>
        <v>0</v>
      </c>
    </row>
    <row r="143" spans="1:21" x14ac:dyDescent="0.3">
      <c r="A143">
        <v>142</v>
      </c>
      <c r="B143" t="s">
        <v>158</v>
      </c>
      <c r="C143" s="2">
        <v>45884</v>
      </c>
      <c r="D143" s="2" t="str">
        <f t="shared" si="11"/>
        <v>Aug-2025</v>
      </c>
      <c r="E143" s="2">
        <v>45885</v>
      </c>
      <c r="F143" t="s">
        <v>1017</v>
      </c>
      <c r="G143" t="s">
        <v>1117</v>
      </c>
      <c r="H143" t="s">
        <v>1280</v>
      </c>
      <c r="I143" t="s">
        <v>1287</v>
      </c>
      <c r="J143" t="s">
        <v>1297</v>
      </c>
      <c r="K143" t="s">
        <v>1304</v>
      </c>
      <c r="L143" t="s">
        <v>1309</v>
      </c>
      <c r="M143" t="s">
        <v>1325</v>
      </c>
      <c r="N143">
        <v>1</v>
      </c>
      <c r="O143">
        <v>0.15</v>
      </c>
      <c r="P143">
        <v>1116.75</v>
      </c>
      <c r="Q143">
        <v>88.05</v>
      </c>
      <c r="R143" t="s">
        <v>1331</v>
      </c>
      <c r="S143" t="b">
        <f t="shared" si="8"/>
        <v>0</v>
      </c>
      <c r="T143" t="b">
        <f t="shared" si="9"/>
        <v>0</v>
      </c>
      <c r="U143" t="b">
        <f t="shared" si="10"/>
        <v>0</v>
      </c>
    </row>
    <row r="144" spans="1:21" x14ac:dyDescent="0.3">
      <c r="A144">
        <v>143</v>
      </c>
      <c r="B144" t="s">
        <v>159</v>
      </c>
      <c r="C144" s="2">
        <v>45754</v>
      </c>
      <c r="D144" s="2" t="str">
        <f t="shared" si="11"/>
        <v>Apr-2025</v>
      </c>
      <c r="E144" s="2">
        <v>45756</v>
      </c>
      <c r="F144" t="s">
        <v>1018</v>
      </c>
      <c r="G144" t="s">
        <v>1051</v>
      </c>
      <c r="H144" t="s">
        <v>1281</v>
      </c>
      <c r="I144" t="s">
        <v>1287</v>
      </c>
      <c r="J144" t="s">
        <v>1299</v>
      </c>
      <c r="K144" t="s">
        <v>1304</v>
      </c>
      <c r="L144" t="s">
        <v>1308</v>
      </c>
      <c r="M144" t="s">
        <v>1318</v>
      </c>
      <c r="N144">
        <v>3</v>
      </c>
      <c r="O144">
        <v>0</v>
      </c>
      <c r="P144">
        <v>17206.900000000001</v>
      </c>
      <c r="Q144">
        <v>6143.82</v>
      </c>
      <c r="R144" t="s">
        <v>1331</v>
      </c>
      <c r="S144" t="b">
        <f t="shared" si="8"/>
        <v>0</v>
      </c>
      <c r="T144" t="b">
        <f t="shared" si="9"/>
        <v>0</v>
      </c>
      <c r="U144" t="b">
        <f t="shared" si="10"/>
        <v>0</v>
      </c>
    </row>
    <row r="145" spans="1:21" x14ac:dyDescent="0.3">
      <c r="A145">
        <v>144</v>
      </c>
      <c r="B145" t="s">
        <v>160</v>
      </c>
      <c r="C145" s="2">
        <v>45726</v>
      </c>
      <c r="D145" s="2" t="str">
        <f t="shared" si="11"/>
        <v>Mar-2025</v>
      </c>
      <c r="E145" s="2">
        <v>45730</v>
      </c>
      <c r="F145" t="s">
        <v>1017</v>
      </c>
      <c r="G145" t="s">
        <v>1034</v>
      </c>
      <c r="H145" t="s">
        <v>1281</v>
      </c>
      <c r="I145" t="s">
        <v>1288</v>
      </c>
      <c r="J145" t="s">
        <v>1299</v>
      </c>
      <c r="K145" t="s">
        <v>1304</v>
      </c>
      <c r="L145" t="s">
        <v>1306</v>
      </c>
      <c r="M145" t="s">
        <v>1323</v>
      </c>
      <c r="N145">
        <v>1</v>
      </c>
      <c r="O145">
        <v>0.1</v>
      </c>
      <c r="P145" t="s">
        <v>1350</v>
      </c>
      <c r="Q145">
        <v>26.11</v>
      </c>
      <c r="R145" t="s">
        <v>1334</v>
      </c>
      <c r="S145" t="b">
        <f t="shared" si="8"/>
        <v>0</v>
      </c>
      <c r="T145" t="b">
        <f t="shared" si="9"/>
        <v>0</v>
      </c>
      <c r="U145" t="b">
        <f t="shared" si="10"/>
        <v>0</v>
      </c>
    </row>
    <row r="146" spans="1:21" x14ac:dyDescent="0.3">
      <c r="A146">
        <v>145</v>
      </c>
      <c r="B146" t="s">
        <v>161</v>
      </c>
      <c r="C146" s="2">
        <v>45885</v>
      </c>
      <c r="D146" s="2" t="str">
        <f t="shared" si="11"/>
        <v>Aug-2025</v>
      </c>
      <c r="E146" s="2">
        <v>45888</v>
      </c>
      <c r="F146" t="s">
        <v>1018</v>
      </c>
      <c r="G146" t="s">
        <v>1062</v>
      </c>
      <c r="H146" t="s">
        <v>1281</v>
      </c>
      <c r="I146" t="s">
        <v>1287</v>
      </c>
      <c r="J146" t="s">
        <v>1298</v>
      </c>
      <c r="K146" t="s">
        <v>1303</v>
      </c>
      <c r="L146" t="s">
        <v>1309</v>
      </c>
      <c r="M146" t="s">
        <v>1317</v>
      </c>
      <c r="N146">
        <v>2</v>
      </c>
      <c r="O146">
        <v>0.05</v>
      </c>
      <c r="P146">
        <v>1589.56</v>
      </c>
      <c r="Q146">
        <v>297.64</v>
      </c>
      <c r="R146" t="s">
        <v>1333</v>
      </c>
      <c r="S146" t="b">
        <f t="shared" si="8"/>
        <v>0</v>
      </c>
      <c r="T146" t="b">
        <f t="shared" si="9"/>
        <v>0</v>
      </c>
      <c r="U146" t="b">
        <f t="shared" si="10"/>
        <v>0</v>
      </c>
    </row>
    <row r="147" spans="1:21" x14ac:dyDescent="0.3">
      <c r="A147">
        <v>146</v>
      </c>
      <c r="B147" t="s">
        <v>162</v>
      </c>
      <c r="C147" s="2">
        <v>45994</v>
      </c>
      <c r="D147" s="2" t="str">
        <f t="shared" si="11"/>
        <v>Dec-2025</v>
      </c>
      <c r="E147" s="2">
        <v>45995</v>
      </c>
      <c r="F147" t="s">
        <v>1017</v>
      </c>
      <c r="G147" t="s">
        <v>1123</v>
      </c>
      <c r="H147" t="s">
        <v>1283</v>
      </c>
      <c r="I147" t="s">
        <v>1288</v>
      </c>
      <c r="J147" t="s">
        <v>1301</v>
      </c>
      <c r="K147" t="s">
        <v>1303</v>
      </c>
      <c r="L147" t="s">
        <v>1307</v>
      </c>
      <c r="M147" t="s">
        <v>1311</v>
      </c>
      <c r="N147">
        <v>1</v>
      </c>
      <c r="O147">
        <v>0.1</v>
      </c>
      <c r="P147">
        <v>281.91000000000003</v>
      </c>
      <c r="Q147">
        <v>56.62</v>
      </c>
      <c r="R147" t="s">
        <v>1332</v>
      </c>
      <c r="S147" t="b">
        <f t="shared" si="8"/>
        <v>0</v>
      </c>
      <c r="T147" t="b">
        <f t="shared" si="9"/>
        <v>0</v>
      </c>
      <c r="U147" t="b">
        <f t="shared" si="10"/>
        <v>0</v>
      </c>
    </row>
    <row r="148" spans="1:21" x14ac:dyDescent="0.3">
      <c r="A148">
        <v>147</v>
      </c>
      <c r="B148" t="s">
        <v>163</v>
      </c>
      <c r="C148" s="2">
        <v>45915</v>
      </c>
      <c r="D148" s="2" t="str">
        <f t="shared" si="11"/>
        <v>Sep-2025</v>
      </c>
      <c r="E148" s="2">
        <v>45920</v>
      </c>
      <c r="F148" t="s">
        <v>1018</v>
      </c>
      <c r="G148" t="s">
        <v>1124</v>
      </c>
      <c r="H148" t="s">
        <v>1278</v>
      </c>
      <c r="I148" t="s">
        <v>1287</v>
      </c>
      <c r="J148" t="s">
        <v>1295</v>
      </c>
      <c r="K148" t="s">
        <v>1305</v>
      </c>
      <c r="L148" t="s">
        <v>1306</v>
      </c>
      <c r="M148" t="s">
        <v>1328</v>
      </c>
      <c r="N148">
        <v>3</v>
      </c>
      <c r="O148">
        <v>0.05</v>
      </c>
      <c r="P148">
        <v>344.82</v>
      </c>
      <c r="Q148">
        <v>67.760000000000005</v>
      </c>
      <c r="R148" t="s">
        <v>1331</v>
      </c>
      <c r="S148" t="b">
        <f t="shared" si="8"/>
        <v>0</v>
      </c>
      <c r="T148" t="b">
        <f t="shared" si="9"/>
        <v>0</v>
      </c>
      <c r="U148" t="b">
        <f t="shared" si="10"/>
        <v>0</v>
      </c>
    </row>
    <row r="149" spans="1:21" x14ac:dyDescent="0.3">
      <c r="A149">
        <v>148</v>
      </c>
      <c r="B149" t="s">
        <v>164</v>
      </c>
      <c r="C149" s="2">
        <v>45771</v>
      </c>
      <c r="D149" s="2" t="str">
        <f t="shared" si="11"/>
        <v>Apr-2025</v>
      </c>
      <c r="E149" s="2">
        <v>45775</v>
      </c>
      <c r="F149" t="s">
        <v>1017</v>
      </c>
      <c r="G149" t="s">
        <v>1125</v>
      </c>
      <c r="H149" t="s">
        <v>1275</v>
      </c>
      <c r="I149" t="s">
        <v>1288</v>
      </c>
      <c r="J149" t="s">
        <v>1294</v>
      </c>
      <c r="K149" t="s">
        <v>1305</v>
      </c>
      <c r="L149" t="s">
        <v>1307</v>
      </c>
      <c r="M149" t="s">
        <v>1316</v>
      </c>
      <c r="N149">
        <v>2</v>
      </c>
      <c r="O149">
        <v>0.1</v>
      </c>
      <c r="P149">
        <v>874.91</v>
      </c>
      <c r="Q149">
        <v>231.9</v>
      </c>
      <c r="R149" t="s">
        <v>1331</v>
      </c>
      <c r="S149" t="b">
        <f t="shared" si="8"/>
        <v>0</v>
      </c>
      <c r="T149" t="b">
        <f t="shared" si="9"/>
        <v>0</v>
      </c>
      <c r="U149" t="b">
        <f t="shared" si="10"/>
        <v>0</v>
      </c>
    </row>
    <row r="150" spans="1:21" x14ac:dyDescent="0.3">
      <c r="A150">
        <v>149</v>
      </c>
      <c r="B150" t="s">
        <v>165</v>
      </c>
      <c r="C150" s="2">
        <v>45806</v>
      </c>
      <c r="D150" s="2" t="str">
        <f t="shared" si="11"/>
        <v>May-2025</v>
      </c>
      <c r="E150" s="2">
        <v>45810</v>
      </c>
      <c r="F150" t="s">
        <v>1018</v>
      </c>
      <c r="G150" t="s">
        <v>1126</v>
      </c>
      <c r="H150" t="s">
        <v>1280</v>
      </c>
      <c r="I150" t="s">
        <v>1287</v>
      </c>
      <c r="J150" t="s">
        <v>1291</v>
      </c>
      <c r="K150" t="s">
        <v>1302</v>
      </c>
      <c r="L150" t="s">
        <v>1307</v>
      </c>
      <c r="M150" t="s">
        <v>1316</v>
      </c>
      <c r="N150">
        <v>4</v>
      </c>
      <c r="O150">
        <v>0.05</v>
      </c>
      <c r="P150">
        <v>1811.6</v>
      </c>
      <c r="Q150">
        <v>446.31</v>
      </c>
      <c r="R150" t="s">
        <v>1331</v>
      </c>
      <c r="S150" t="b">
        <f t="shared" si="8"/>
        <v>0</v>
      </c>
      <c r="T150" t="b">
        <f t="shared" si="9"/>
        <v>0</v>
      </c>
      <c r="U150" t="b">
        <f t="shared" si="10"/>
        <v>0</v>
      </c>
    </row>
    <row r="151" spans="1:21" x14ac:dyDescent="0.3">
      <c r="A151">
        <v>150</v>
      </c>
      <c r="B151" t="s">
        <v>166</v>
      </c>
      <c r="C151" s="2">
        <v>45745</v>
      </c>
      <c r="D151" s="2" t="str">
        <f t="shared" si="11"/>
        <v>Mar-2025</v>
      </c>
      <c r="E151" s="2">
        <v>45749</v>
      </c>
      <c r="F151" t="s">
        <v>1017</v>
      </c>
      <c r="G151" t="s">
        <v>1127</v>
      </c>
      <c r="H151" t="s">
        <v>1267</v>
      </c>
      <c r="I151" t="s">
        <v>1287</v>
      </c>
      <c r="J151" t="s">
        <v>1293</v>
      </c>
      <c r="K151" t="s">
        <v>1304</v>
      </c>
      <c r="L151" t="s">
        <v>1308</v>
      </c>
      <c r="M151" t="s">
        <v>1319</v>
      </c>
      <c r="N151">
        <v>1</v>
      </c>
      <c r="O151">
        <v>0.1</v>
      </c>
      <c r="P151">
        <v>4235.46</v>
      </c>
      <c r="Q151">
        <v>885.33</v>
      </c>
      <c r="R151" t="s">
        <v>1333</v>
      </c>
      <c r="S151" t="b">
        <f t="shared" si="8"/>
        <v>0</v>
      </c>
      <c r="T151" t="b">
        <f t="shared" si="9"/>
        <v>0</v>
      </c>
      <c r="U151" t="b">
        <f t="shared" si="10"/>
        <v>0</v>
      </c>
    </row>
    <row r="152" spans="1:21" x14ac:dyDescent="0.3">
      <c r="A152">
        <v>151</v>
      </c>
      <c r="B152" t="s">
        <v>167</v>
      </c>
      <c r="C152" s="2">
        <v>46019</v>
      </c>
      <c r="D152" s="2" t="str">
        <f t="shared" si="11"/>
        <v>Dec-2025</v>
      </c>
      <c r="E152" s="2">
        <v>46021</v>
      </c>
      <c r="F152" t="s">
        <v>1018</v>
      </c>
      <c r="G152" t="s">
        <v>1128</v>
      </c>
      <c r="H152" t="s">
        <v>1283</v>
      </c>
      <c r="I152" t="s">
        <v>1287</v>
      </c>
      <c r="J152" t="s">
        <v>1294</v>
      </c>
      <c r="K152" t="s">
        <v>1305</v>
      </c>
      <c r="L152" t="s">
        <v>1308</v>
      </c>
      <c r="M152" t="s">
        <v>1312</v>
      </c>
      <c r="N152">
        <v>3</v>
      </c>
      <c r="O152">
        <v>0</v>
      </c>
      <c r="P152">
        <v>3705.79</v>
      </c>
      <c r="Q152">
        <v>1097.3900000000001</v>
      </c>
      <c r="R152" t="s">
        <v>1333</v>
      </c>
      <c r="S152" t="b">
        <f t="shared" si="8"/>
        <v>0</v>
      </c>
      <c r="T152" t="b">
        <f t="shared" si="9"/>
        <v>0</v>
      </c>
      <c r="U152" t="b">
        <f t="shared" si="10"/>
        <v>0</v>
      </c>
    </row>
    <row r="153" spans="1:21" x14ac:dyDescent="0.3">
      <c r="A153">
        <v>152</v>
      </c>
      <c r="B153" t="s">
        <v>168</v>
      </c>
      <c r="C153" s="2">
        <v>45888</v>
      </c>
      <c r="D153" s="2" t="str">
        <f t="shared" si="11"/>
        <v>Aug-2025</v>
      </c>
      <c r="E153" s="2">
        <v>45891</v>
      </c>
      <c r="F153" t="s">
        <v>1018</v>
      </c>
      <c r="G153" t="s">
        <v>1129</v>
      </c>
      <c r="H153" t="s">
        <v>1283</v>
      </c>
      <c r="I153" t="s">
        <v>1287</v>
      </c>
      <c r="J153" t="s">
        <v>1294</v>
      </c>
      <c r="K153" t="s">
        <v>1305</v>
      </c>
      <c r="L153" t="s">
        <v>1307</v>
      </c>
      <c r="M153" t="s">
        <v>1322</v>
      </c>
      <c r="N153">
        <v>2</v>
      </c>
      <c r="O153">
        <v>0.15</v>
      </c>
      <c r="P153">
        <v>1151.23</v>
      </c>
      <c r="Q153">
        <v>185.1</v>
      </c>
      <c r="R153" t="s">
        <v>1332</v>
      </c>
      <c r="S153" t="b">
        <f t="shared" si="8"/>
        <v>0</v>
      </c>
      <c r="T153" t="b">
        <f t="shared" si="9"/>
        <v>0</v>
      </c>
      <c r="U153" t="b">
        <f t="shared" si="10"/>
        <v>0</v>
      </c>
    </row>
    <row r="154" spans="1:21" x14ac:dyDescent="0.3">
      <c r="A154">
        <v>153</v>
      </c>
      <c r="B154" t="s">
        <v>169</v>
      </c>
      <c r="C154" s="2">
        <v>45732</v>
      </c>
      <c r="D154" s="2" t="str">
        <f t="shared" si="11"/>
        <v>Mar-2025</v>
      </c>
      <c r="E154" s="2">
        <v>45735</v>
      </c>
      <c r="F154" t="s">
        <v>1017</v>
      </c>
      <c r="G154" t="s">
        <v>1130</v>
      </c>
      <c r="H154" t="s">
        <v>1283</v>
      </c>
      <c r="I154" t="s">
        <v>1287</v>
      </c>
      <c r="J154" t="s">
        <v>1294</v>
      </c>
      <c r="K154" t="s">
        <v>1305</v>
      </c>
      <c r="L154" t="s">
        <v>1309</v>
      </c>
      <c r="M154" t="s">
        <v>1317</v>
      </c>
      <c r="N154">
        <v>5</v>
      </c>
      <c r="O154">
        <v>0.05</v>
      </c>
      <c r="P154">
        <v>3925.04</v>
      </c>
      <c r="Q154">
        <v>1072.3599999999999</v>
      </c>
      <c r="R154" t="s">
        <v>1332</v>
      </c>
      <c r="S154" t="b">
        <f t="shared" si="8"/>
        <v>0</v>
      </c>
      <c r="T154" t="b">
        <f t="shared" si="9"/>
        <v>0</v>
      </c>
      <c r="U154" t="b">
        <f t="shared" si="10"/>
        <v>0</v>
      </c>
    </row>
    <row r="155" spans="1:21" x14ac:dyDescent="0.3">
      <c r="A155">
        <v>154</v>
      </c>
      <c r="B155" t="s">
        <v>170</v>
      </c>
      <c r="C155" s="2">
        <v>46016</v>
      </c>
      <c r="D155" s="2" t="str">
        <f t="shared" si="11"/>
        <v>Dec-2025</v>
      </c>
      <c r="E155" s="2">
        <v>46021</v>
      </c>
      <c r="F155" t="s">
        <v>1017</v>
      </c>
      <c r="G155" t="s">
        <v>1100</v>
      </c>
      <c r="H155" t="s">
        <v>1276</v>
      </c>
      <c r="I155" t="s">
        <v>1287</v>
      </c>
      <c r="J155" t="s">
        <v>1295</v>
      </c>
      <c r="K155" t="s">
        <v>1305</v>
      </c>
      <c r="L155" t="s">
        <v>1307</v>
      </c>
      <c r="M155" t="s">
        <v>1322</v>
      </c>
      <c r="N155">
        <v>2</v>
      </c>
      <c r="O155">
        <v>0.1</v>
      </c>
      <c r="P155">
        <v>1198.95</v>
      </c>
      <c r="Q155">
        <v>285.52999999999997</v>
      </c>
      <c r="R155" t="s">
        <v>1334</v>
      </c>
      <c r="S155" t="b">
        <f t="shared" si="8"/>
        <v>0</v>
      </c>
      <c r="T155" t="b">
        <f t="shared" si="9"/>
        <v>0</v>
      </c>
      <c r="U155" t="b">
        <f t="shared" si="10"/>
        <v>0</v>
      </c>
    </row>
    <row r="156" spans="1:21" x14ac:dyDescent="0.3">
      <c r="A156">
        <v>155</v>
      </c>
      <c r="B156" t="s">
        <v>171</v>
      </c>
      <c r="C156" s="2">
        <v>45911</v>
      </c>
      <c r="D156" s="2" t="str">
        <f t="shared" si="11"/>
        <v>Sep-2025</v>
      </c>
      <c r="E156" s="2">
        <v>45913</v>
      </c>
      <c r="F156" t="s">
        <v>1017</v>
      </c>
      <c r="G156" t="s">
        <v>1131</v>
      </c>
      <c r="H156" t="s">
        <v>1275</v>
      </c>
      <c r="I156" t="s">
        <v>1288</v>
      </c>
      <c r="J156" t="s">
        <v>1300</v>
      </c>
      <c r="K156" t="s">
        <v>1305</v>
      </c>
      <c r="L156" t="s">
        <v>1306</v>
      </c>
      <c r="M156" t="s">
        <v>1321</v>
      </c>
      <c r="N156">
        <v>1</v>
      </c>
      <c r="O156">
        <v>0</v>
      </c>
      <c r="P156">
        <v>454.47</v>
      </c>
      <c r="Q156">
        <v>121.28</v>
      </c>
      <c r="R156" t="s">
        <v>1331</v>
      </c>
      <c r="S156" t="b">
        <f t="shared" si="8"/>
        <v>0</v>
      </c>
      <c r="T156" t="b">
        <f t="shared" si="9"/>
        <v>0</v>
      </c>
      <c r="U156" t="b">
        <f t="shared" si="10"/>
        <v>0</v>
      </c>
    </row>
    <row r="157" spans="1:21" x14ac:dyDescent="0.3">
      <c r="A157">
        <v>156</v>
      </c>
      <c r="B157" t="s">
        <v>172</v>
      </c>
      <c r="C157" s="2">
        <v>45849</v>
      </c>
      <c r="D157" s="2" t="str">
        <f t="shared" si="11"/>
        <v>Jul-2025</v>
      </c>
      <c r="E157" s="2">
        <v>45852</v>
      </c>
      <c r="F157" t="s">
        <v>1017</v>
      </c>
      <c r="G157" t="s">
        <v>1132</v>
      </c>
      <c r="H157" t="s">
        <v>1277</v>
      </c>
      <c r="I157" t="s">
        <v>1287</v>
      </c>
      <c r="J157" t="s">
        <v>1295</v>
      </c>
      <c r="K157" t="s">
        <v>1305</v>
      </c>
      <c r="L157" t="s">
        <v>1308</v>
      </c>
      <c r="M157" t="s">
        <v>1312</v>
      </c>
      <c r="N157">
        <v>3</v>
      </c>
      <c r="O157">
        <v>0.15</v>
      </c>
      <c r="P157">
        <v>3292.64</v>
      </c>
      <c r="Q157">
        <v>761.58</v>
      </c>
      <c r="R157" t="s">
        <v>1331</v>
      </c>
      <c r="S157" t="b">
        <f t="shared" si="8"/>
        <v>0</v>
      </c>
      <c r="T157" t="b">
        <f t="shared" si="9"/>
        <v>0</v>
      </c>
      <c r="U157" t="b">
        <f t="shared" si="10"/>
        <v>0</v>
      </c>
    </row>
    <row r="158" spans="1:21" x14ac:dyDescent="0.3">
      <c r="A158">
        <v>157</v>
      </c>
      <c r="B158" t="s">
        <v>173</v>
      </c>
      <c r="C158" s="2">
        <v>45818</v>
      </c>
      <c r="D158" s="2" t="str">
        <f t="shared" si="11"/>
        <v>Jun-2025</v>
      </c>
      <c r="E158" s="2">
        <v>45819</v>
      </c>
      <c r="F158" t="s">
        <v>1017</v>
      </c>
      <c r="G158" t="s">
        <v>1103</v>
      </c>
      <c r="H158" t="s">
        <v>1286</v>
      </c>
      <c r="I158" t="s">
        <v>1289</v>
      </c>
      <c r="J158" t="s">
        <v>1290</v>
      </c>
      <c r="K158" t="s">
        <v>1302</v>
      </c>
      <c r="L158" t="s">
        <v>1308</v>
      </c>
      <c r="M158" t="s">
        <v>1319</v>
      </c>
      <c r="N158">
        <v>3</v>
      </c>
      <c r="O158">
        <v>0.05</v>
      </c>
      <c r="P158">
        <v>13287.44</v>
      </c>
      <c r="Q158">
        <v>3364.18</v>
      </c>
      <c r="R158" t="s">
        <v>1332</v>
      </c>
      <c r="S158" t="b">
        <f t="shared" si="8"/>
        <v>0</v>
      </c>
      <c r="T158" t="b">
        <f t="shared" si="9"/>
        <v>0</v>
      </c>
      <c r="U158" t="b">
        <f t="shared" si="10"/>
        <v>0</v>
      </c>
    </row>
    <row r="159" spans="1:21" x14ac:dyDescent="0.3">
      <c r="A159">
        <v>158</v>
      </c>
      <c r="B159" t="s">
        <v>174</v>
      </c>
      <c r="C159" s="2">
        <v>45707</v>
      </c>
      <c r="D159" s="2" t="str">
        <f t="shared" si="11"/>
        <v>Feb-2025</v>
      </c>
      <c r="E159" s="2">
        <v>45710</v>
      </c>
      <c r="F159" t="s">
        <v>1018</v>
      </c>
      <c r="G159" t="s">
        <v>1065</v>
      </c>
      <c r="H159" t="s">
        <v>1286</v>
      </c>
      <c r="I159" t="s">
        <v>1287</v>
      </c>
      <c r="J159" t="s">
        <v>1298</v>
      </c>
      <c r="K159" t="s">
        <v>1303</v>
      </c>
      <c r="L159" t="s">
        <v>1308</v>
      </c>
      <c r="M159" t="s">
        <v>1326</v>
      </c>
      <c r="N159">
        <v>1</v>
      </c>
      <c r="O159">
        <v>0.05</v>
      </c>
      <c r="P159">
        <v>6334.02</v>
      </c>
      <c r="Q159">
        <v>1960.78</v>
      </c>
      <c r="R159" t="s">
        <v>1331</v>
      </c>
      <c r="S159" t="b">
        <f t="shared" si="8"/>
        <v>0</v>
      </c>
      <c r="T159" t="b">
        <f t="shared" si="9"/>
        <v>0</v>
      </c>
      <c r="U159" t="b">
        <f t="shared" si="10"/>
        <v>0</v>
      </c>
    </row>
    <row r="160" spans="1:21" x14ac:dyDescent="0.3">
      <c r="A160">
        <v>159</v>
      </c>
      <c r="B160" t="s">
        <v>175</v>
      </c>
      <c r="C160" s="2">
        <v>46006</v>
      </c>
      <c r="D160" s="2" t="str">
        <f t="shared" si="11"/>
        <v>Dec-2025</v>
      </c>
      <c r="E160" s="2">
        <v>46011</v>
      </c>
      <c r="F160" t="s">
        <v>1019</v>
      </c>
      <c r="G160" t="s">
        <v>1133</v>
      </c>
      <c r="H160" t="s">
        <v>1286</v>
      </c>
      <c r="I160" t="s">
        <v>1288</v>
      </c>
      <c r="J160" t="s">
        <v>1296</v>
      </c>
      <c r="K160" t="s">
        <v>1304</v>
      </c>
      <c r="L160" t="s">
        <v>1307</v>
      </c>
      <c r="M160" t="s">
        <v>1311</v>
      </c>
      <c r="N160">
        <v>2</v>
      </c>
      <c r="O160">
        <v>0.2</v>
      </c>
      <c r="P160">
        <v>477.49</v>
      </c>
      <c r="Q160">
        <v>54.68</v>
      </c>
      <c r="R160" t="s">
        <v>1331</v>
      </c>
      <c r="S160" t="b">
        <f t="shared" si="8"/>
        <v>0</v>
      </c>
      <c r="T160" t="b">
        <f t="shared" si="9"/>
        <v>0</v>
      </c>
      <c r="U160" t="b">
        <f t="shared" si="10"/>
        <v>0</v>
      </c>
    </row>
    <row r="161" spans="1:21" x14ac:dyDescent="0.3">
      <c r="A161">
        <v>160</v>
      </c>
      <c r="B161" t="s">
        <v>176</v>
      </c>
      <c r="C161" s="2">
        <v>45954</v>
      </c>
      <c r="D161" s="2" t="str">
        <f t="shared" si="11"/>
        <v>Oct-2025</v>
      </c>
      <c r="E161" s="2">
        <v>45958</v>
      </c>
      <c r="F161" t="s">
        <v>1019</v>
      </c>
      <c r="G161" t="s">
        <v>1134</v>
      </c>
      <c r="H161" t="s">
        <v>1283</v>
      </c>
      <c r="I161" t="s">
        <v>1287</v>
      </c>
      <c r="J161" t="s">
        <v>1299</v>
      </c>
      <c r="K161" t="s">
        <v>1304</v>
      </c>
      <c r="L161" t="s">
        <v>1307</v>
      </c>
      <c r="M161" t="s">
        <v>1322</v>
      </c>
      <c r="N161">
        <v>3</v>
      </c>
      <c r="O161">
        <v>0</v>
      </c>
      <c r="P161">
        <v>2019.69</v>
      </c>
      <c r="Q161">
        <v>552.28</v>
      </c>
      <c r="R161" t="s">
        <v>1331</v>
      </c>
      <c r="S161" t="b">
        <f t="shared" si="8"/>
        <v>0</v>
      </c>
      <c r="T161" t="b">
        <f t="shared" si="9"/>
        <v>0</v>
      </c>
      <c r="U161" t="b">
        <f t="shared" si="10"/>
        <v>0</v>
      </c>
    </row>
    <row r="162" spans="1:21" x14ac:dyDescent="0.3">
      <c r="A162">
        <v>161</v>
      </c>
      <c r="B162" t="s">
        <v>177</v>
      </c>
      <c r="C162" s="2">
        <v>45777</v>
      </c>
      <c r="D162" s="2" t="str">
        <f t="shared" si="11"/>
        <v>Apr-2025</v>
      </c>
      <c r="E162" s="2">
        <v>45779</v>
      </c>
      <c r="F162" t="s">
        <v>1017</v>
      </c>
      <c r="G162" t="s">
        <v>1096</v>
      </c>
      <c r="H162" t="s">
        <v>1286</v>
      </c>
      <c r="I162" t="s">
        <v>1287</v>
      </c>
      <c r="J162" t="s">
        <v>1292</v>
      </c>
      <c r="K162" t="s">
        <v>1303</v>
      </c>
      <c r="L162" t="s">
        <v>1309</v>
      </c>
      <c r="M162" t="s">
        <v>1313</v>
      </c>
      <c r="N162">
        <v>1</v>
      </c>
      <c r="O162">
        <v>0.2</v>
      </c>
      <c r="P162">
        <v>1171.8499999999999</v>
      </c>
      <c r="Q162">
        <v>14.8</v>
      </c>
      <c r="R162" t="s">
        <v>1333</v>
      </c>
      <c r="S162" t="b">
        <f t="shared" si="8"/>
        <v>0</v>
      </c>
      <c r="T162" t="b">
        <f t="shared" si="9"/>
        <v>0</v>
      </c>
      <c r="U162" t="b">
        <f t="shared" si="10"/>
        <v>0</v>
      </c>
    </row>
    <row r="163" spans="1:21" x14ac:dyDescent="0.3">
      <c r="A163">
        <v>162</v>
      </c>
      <c r="B163" t="s">
        <v>178</v>
      </c>
      <c r="C163" s="2">
        <v>45853</v>
      </c>
      <c r="D163" s="2" t="str">
        <f t="shared" si="11"/>
        <v>Jul-2025</v>
      </c>
      <c r="E163" s="2">
        <v>45855</v>
      </c>
      <c r="F163" t="s">
        <v>1018</v>
      </c>
      <c r="G163" t="s">
        <v>1118</v>
      </c>
      <c r="H163" t="s">
        <v>1281</v>
      </c>
      <c r="I163" t="s">
        <v>1289</v>
      </c>
      <c r="J163" t="s">
        <v>1293</v>
      </c>
      <c r="K163" t="s">
        <v>1304</v>
      </c>
      <c r="L163" t="s">
        <v>1309</v>
      </c>
      <c r="M163" t="s">
        <v>1313</v>
      </c>
      <c r="N163">
        <v>4</v>
      </c>
      <c r="O163">
        <v>0</v>
      </c>
      <c r="P163">
        <v>5942.69</v>
      </c>
      <c r="Q163">
        <v>1808.64</v>
      </c>
      <c r="R163" t="s">
        <v>1333</v>
      </c>
      <c r="S163" t="b">
        <f t="shared" si="8"/>
        <v>0</v>
      </c>
      <c r="T163" t="b">
        <f t="shared" si="9"/>
        <v>0</v>
      </c>
      <c r="U163" t="b">
        <f t="shared" si="10"/>
        <v>0</v>
      </c>
    </row>
    <row r="164" spans="1:21" x14ac:dyDescent="0.3">
      <c r="A164">
        <v>163</v>
      </c>
      <c r="B164" t="s">
        <v>179</v>
      </c>
      <c r="C164" s="2">
        <v>45970</v>
      </c>
      <c r="D164" s="2" t="str">
        <f t="shared" si="11"/>
        <v>Nov-2025</v>
      </c>
      <c r="E164" s="2">
        <v>45975</v>
      </c>
      <c r="F164" t="s">
        <v>1018</v>
      </c>
      <c r="G164" t="s">
        <v>1135</v>
      </c>
      <c r="H164" t="s">
        <v>1273</v>
      </c>
      <c r="I164" t="s">
        <v>1288</v>
      </c>
      <c r="J164" t="s">
        <v>1295</v>
      </c>
      <c r="K164" t="s">
        <v>1305</v>
      </c>
      <c r="L164" t="s">
        <v>1307</v>
      </c>
      <c r="M164" t="s">
        <v>1311</v>
      </c>
      <c r="N164">
        <v>2</v>
      </c>
      <c r="O164">
        <v>0.05</v>
      </c>
      <c r="P164">
        <v>595.44000000000005</v>
      </c>
      <c r="Q164">
        <v>194</v>
      </c>
      <c r="R164" t="s">
        <v>1333</v>
      </c>
      <c r="S164" t="b">
        <f t="shared" si="8"/>
        <v>0</v>
      </c>
      <c r="T164" t="b">
        <f t="shared" si="9"/>
        <v>0</v>
      </c>
      <c r="U164" t="b">
        <f t="shared" si="10"/>
        <v>0</v>
      </c>
    </row>
    <row r="165" spans="1:21" x14ac:dyDescent="0.3">
      <c r="A165">
        <v>164</v>
      </c>
      <c r="B165" t="s">
        <v>180</v>
      </c>
      <c r="C165" s="2">
        <v>45774</v>
      </c>
      <c r="D165" s="2" t="str">
        <f t="shared" si="11"/>
        <v>Apr-2025</v>
      </c>
      <c r="E165" s="2">
        <v>45778</v>
      </c>
      <c r="F165" t="s">
        <v>1018</v>
      </c>
      <c r="G165" t="s">
        <v>1136</v>
      </c>
      <c r="H165" t="s">
        <v>1275</v>
      </c>
      <c r="I165" t="s">
        <v>1289</v>
      </c>
      <c r="J165" t="s">
        <v>1294</v>
      </c>
      <c r="K165" t="s">
        <v>1305</v>
      </c>
      <c r="L165" t="s">
        <v>1307</v>
      </c>
      <c r="M165" t="s">
        <v>1314</v>
      </c>
      <c r="N165">
        <v>1</v>
      </c>
      <c r="O165">
        <v>0</v>
      </c>
      <c r="P165">
        <v>891.63</v>
      </c>
      <c r="Q165">
        <v>318.27999999999997</v>
      </c>
      <c r="R165" t="s">
        <v>1331</v>
      </c>
      <c r="S165" t="b">
        <f t="shared" si="8"/>
        <v>0</v>
      </c>
      <c r="T165" t="b">
        <f t="shared" si="9"/>
        <v>0</v>
      </c>
      <c r="U165" t="b">
        <f t="shared" si="10"/>
        <v>0</v>
      </c>
    </row>
    <row r="166" spans="1:21" x14ac:dyDescent="0.3">
      <c r="A166">
        <v>165</v>
      </c>
      <c r="B166" t="s">
        <v>181</v>
      </c>
      <c r="C166" s="2">
        <v>45755</v>
      </c>
      <c r="D166" s="2" t="str">
        <f t="shared" si="11"/>
        <v>Apr-2025</v>
      </c>
      <c r="E166" s="2">
        <v>45757</v>
      </c>
      <c r="F166" t="s">
        <v>1019</v>
      </c>
      <c r="G166" t="s">
        <v>1137</v>
      </c>
      <c r="H166" t="s">
        <v>1278</v>
      </c>
      <c r="I166" t="s">
        <v>1287</v>
      </c>
      <c r="J166" t="s">
        <v>1294</v>
      </c>
      <c r="K166" t="s">
        <v>1305</v>
      </c>
      <c r="L166" t="s">
        <v>1306</v>
      </c>
      <c r="M166" t="s">
        <v>1321</v>
      </c>
      <c r="N166">
        <v>3</v>
      </c>
      <c r="O166">
        <v>0.1</v>
      </c>
      <c r="P166">
        <v>1213.1400000000001</v>
      </c>
      <c r="Q166">
        <v>331.38</v>
      </c>
      <c r="R166" t="s">
        <v>1334</v>
      </c>
      <c r="S166" t="b">
        <f t="shared" si="8"/>
        <v>0</v>
      </c>
      <c r="T166" t="b">
        <f t="shared" si="9"/>
        <v>0</v>
      </c>
      <c r="U166" t="b">
        <f t="shared" si="10"/>
        <v>0</v>
      </c>
    </row>
    <row r="167" spans="1:21" x14ac:dyDescent="0.3">
      <c r="A167">
        <v>166</v>
      </c>
      <c r="B167" t="s">
        <v>182</v>
      </c>
      <c r="C167" s="2">
        <v>45716</v>
      </c>
      <c r="D167" s="2" t="str">
        <f t="shared" si="11"/>
        <v>Feb-2025</v>
      </c>
      <c r="E167" s="2">
        <v>45718</v>
      </c>
      <c r="F167" t="s">
        <v>1017</v>
      </c>
      <c r="G167" t="s">
        <v>1077</v>
      </c>
      <c r="H167" t="s">
        <v>1274</v>
      </c>
      <c r="I167" t="s">
        <v>1289</v>
      </c>
      <c r="J167" t="s">
        <v>1300</v>
      </c>
      <c r="K167" t="s">
        <v>1305</v>
      </c>
      <c r="L167" t="s">
        <v>1306</v>
      </c>
      <c r="M167" t="s">
        <v>1324</v>
      </c>
      <c r="N167">
        <v>3</v>
      </c>
      <c r="O167">
        <v>0</v>
      </c>
      <c r="P167">
        <v>282.91000000000003</v>
      </c>
      <c r="Q167">
        <v>72.63</v>
      </c>
      <c r="R167" t="s">
        <v>1333</v>
      </c>
      <c r="S167" t="b">
        <f t="shared" si="8"/>
        <v>0</v>
      </c>
      <c r="T167" t="b">
        <f t="shared" si="9"/>
        <v>0</v>
      </c>
      <c r="U167" t="b">
        <f t="shared" si="10"/>
        <v>0</v>
      </c>
    </row>
    <row r="168" spans="1:21" x14ac:dyDescent="0.3">
      <c r="A168">
        <v>167</v>
      </c>
      <c r="B168" t="s">
        <v>183</v>
      </c>
      <c r="C168" s="2">
        <v>45736</v>
      </c>
      <c r="D168" s="2" t="str">
        <f t="shared" si="11"/>
        <v>Mar-2025</v>
      </c>
      <c r="E168" s="2">
        <v>45740</v>
      </c>
      <c r="F168" t="s">
        <v>1017</v>
      </c>
      <c r="G168" t="s">
        <v>1042</v>
      </c>
      <c r="H168" t="s">
        <v>1275</v>
      </c>
      <c r="I168" t="s">
        <v>1287</v>
      </c>
      <c r="J168" t="s">
        <v>1301</v>
      </c>
      <c r="K168" t="s">
        <v>1303</v>
      </c>
      <c r="L168" t="s">
        <v>1307</v>
      </c>
      <c r="M168" t="s">
        <v>1314</v>
      </c>
      <c r="N168">
        <v>1</v>
      </c>
      <c r="O168">
        <v>0</v>
      </c>
      <c r="P168">
        <v>932.32</v>
      </c>
      <c r="Q168">
        <v>332</v>
      </c>
      <c r="R168" t="s">
        <v>1331</v>
      </c>
      <c r="S168" t="b">
        <f t="shared" si="8"/>
        <v>0</v>
      </c>
      <c r="T168" t="b">
        <f t="shared" si="9"/>
        <v>0</v>
      </c>
      <c r="U168" t="b">
        <f t="shared" si="10"/>
        <v>0</v>
      </c>
    </row>
    <row r="169" spans="1:21" x14ac:dyDescent="0.3">
      <c r="A169">
        <v>168</v>
      </c>
      <c r="B169" t="s">
        <v>184</v>
      </c>
      <c r="C169" s="2">
        <v>45824</v>
      </c>
      <c r="D169" s="2" t="str">
        <f t="shared" si="11"/>
        <v>Jun-2025</v>
      </c>
      <c r="E169" s="2">
        <v>45828</v>
      </c>
      <c r="F169" t="s">
        <v>1017</v>
      </c>
      <c r="G169" t="s">
        <v>1138</v>
      </c>
      <c r="H169" t="s">
        <v>1272</v>
      </c>
      <c r="I169" t="s">
        <v>1287</v>
      </c>
      <c r="J169" t="s">
        <v>1299</v>
      </c>
      <c r="K169" t="s">
        <v>1304</v>
      </c>
      <c r="L169" t="s">
        <v>1306</v>
      </c>
      <c r="M169" t="s">
        <v>1324</v>
      </c>
      <c r="N169">
        <v>2</v>
      </c>
      <c r="O169">
        <v>0.15</v>
      </c>
      <c r="P169">
        <v>152.26</v>
      </c>
      <c r="Q169">
        <v>26.35</v>
      </c>
      <c r="R169" t="s">
        <v>1331</v>
      </c>
      <c r="S169" t="b">
        <f t="shared" si="8"/>
        <v>0</v>
      </c>
      <c r="T169" t="b">
        <f t="shared" si="9"/>
        <v>0</v>
      </c>
      <c r="U169" t="b">
        <f t="shared" si="10"/>
        <v>0</v>
      </c>
    </row>
    <row r="170" spans="1:21" x14ac:dyDescent="0.3">
      <c r="A170">
        <v>169</v>
      </c>
      <c r="B170" t="s">
        <v>185</v>
      </c>
      <c r="C170" s="2">
        <v>45729</v>
      </c>
      <c r="D170" s="2" t="str">
        <f t="shared" si="11"/>
        <v>Mar-2025</v>
      </c>
      <c r="E170" s="2">
        <v>45730</v>
      </c>
      <c r="F170" t="s">
        <v>1017</v>
      </c>
      <c r="G170" t="s">
        <v>1117</v>
      </c>
      <c r="H170" t="s">
        <v>1276</v>
      </c>
      <c r="I170" t="s">
        <v>1288</v>
      </c>
      <c r="J170" t="s">
        <v>1291</v>
      </c>
      <c r="K170" t="s">
        <v>1302</v>
      </c>
      <c r="L170" t="s">
        <v>1309</v>
      </c>
      <c r="M170" t="s">
        <v>1313</v>
      </c>
      <c r="N170">
        <v>3</v>
      </c>
      <c r="O170">
        <v>0.05</v>
      </c>
      <c r="P170">
        <v>4227.71</v>
      </c>
      <c r="Q170">
        <v>616.54</v>
      </c>
      <c r="R170" t="s">
        <v>1331</v>
      </c>
      <c r="S170" t="b">
        <f t="shared" si="8"/>
        <v>0</v>
      </c>
      <c r="T170" t="b">
        <f t="shared" si="9"/>
        <v>0</v>
      </c>
      <c r="U170" t="b">
        <f t="shared" si="10"/>
        <v>0</v>
      </c>
    </row>
    <row r="171" spans="1:21" x14ac:dyDescent="0.3">
      <c r="A171">
        <v>170</v>
      </c>
      <c r="B171" t="s">
        <v>186</v>
      </c>
      <c r="C171" s="2">
        <v>45877</v>
      </c>
      <c r="D171" s="2" t="str">
        <f t="shared" si="11"/>
        <v>Aug-2025</v>
      </c>
      <c r="E171" s="2">
        <v>45878</v>
      </c>
      <c r="F171" t="s">
        <v>1018</v>
      </c>
      <c r="G171" t="s">
        <v>1139</v>
      </c>
      <c r="H171" t="s">
        <v>1281</v>
      </c>
      <c r="I171" t="s">
        <v>1287</v>
      </c>
      <c r="J171" t="s">
        <v>1296</v>
      </c>
      <c r="K171" t="s">
        <v>1304</v>
      </c>
      <c r="L171" t="s">
        <v>1308</v>
      </c>
      <c r="M171" t="s">
        <v>1327</v>
      </c>
      <c r="N171">
        <v>4</v>
      </c>
      <c r="O171">
        <v>0</v>
      </c>
      <c r="P171">
        <v>6860.22</v>
      </c>
      <c r="Q171">
        <v>1875.27</v>
      </c>
      <c r="R171" t="s">
        <v>1332</v>
      </c>
      <c r="S171" t="b">
        <f t="shared" si="8"/>
        <v>0</v>
      </c>
      <c r="T171" t="b">
        <f t="shared" si="9"/>
        <v>0</v>
      </c>
      <c r="U171" t="b">
        <f t="shared" si="10"/>
        <v>0</v>
      </c>
    </row>
    <row r="172" spans="1:21" x14ac:dyDescent="0.3">
      <c r="A172">
        <v>171</v>
      </c>
      <c r="B172" t="s">
        <v>187</v>
      </c>
      <c r="C172" s="2">
        <v>45673</v>
      </c>
      <c r="D172" s="2" t="str">
        <f t="shared" si="11"/>
        <v>Jan-2025</v>
      </c>
      <c r="E172" s="2">
        <v>45674</v>
      </c>
      <c r="F172" t="s">
        <v>1018</v>
      </c>
      <c r="G172" t="s">
        <v>1140</v>
      </c>
      <c r="H172" t="s">
        <v>1278</v>
      </c>
      <c r="I172" t="s">
        <v>1287</v>
      </c>
      <c r="J172" t="s">
        <v>1294</v>
      </c>
      <c r="K172" t="s">
        <v>1305</v>
      </c>
      <c r="L172" t="s">
        <v>1307</v>
      </c>
      <c r="M172" t="s">
        <v>1322</v>
      </c>
      <c r="N172">
        <v>3</v>
      </c>
      <c r="O172">
        <v>0.1</v>
      </c>
      <c r="P172">
        <v>1871.78</v>
      </c>
      <c r="Q172">
        <v>158.9</v>
      </c>
      <c r="R172" t="s">
        <v>1330</v>
      </c>
      <c r="S172" t="b">
        <f t="shared" si="8"/>
        <v>0</v>
      </c>
      <c r="T172" t="b">
        <f t="shared" si="9"/>
        <v>0</v>
      </c>
      <c r="U172" t="b">
        <f t="shared" si="10"/>
        <v>0</v>
      </c>
    </row>
    <row r="173" spans="1:21" x14ac:dyDescent="0.3">
      <c r="A173">
        <v>172</v>
      </c>
      <c r="B173" t="s">
        <v>188</v>
      </c>
      <c r="C173" s="2">
        <v>45938</v>
      </c>
      <c r="D173" s="2" t="str">
        <f t="shared" si="11"/>
        <v>Oct-2025</v>
      </c>
      <c r="E173" s="2">
        <v>45942</v>
      </c>
      <c r="F173" t="s">
        <v>1018</v>
      </c>
      <c r="G173" t="s">
        <v>1101</v>
      </c>
      <c r="H173" t="s">
        <v>1279</v>
      </c>
      <c r="I173" t="s">
        <v>1289</v>
      </c>
      <c r="J173" t="s">
        <v>1298</v>
      </c>
      <c r="K173" t="s">
        <v>1303</v>
      </c>
      <c r="L173" t="s">
        <v>1306</v>
      </c>
      <c r="M173" t="s">
        <v>1321</v>
      </c>
      <c r="N173">
        <v>2</v>
      </c>
      <c r="O173">
        <v>0.1</v>
      </c>
      <c r="P173">
        <v>841.61</v>
      </c>
      <c r="Q173">
        <v>269.32</v>
      </c>
      <c r="R173" t="s">
        <v>1333</v>
      </c>
      <c r="S173" t="b">
        <f t="shared" si="8"/>
        <v>0</v>
      </c>
      <c r="T173" t="b">
        <f t="shared" si="9"/>
        <v>0</v>
      </c>
      <c r="U173" t="b">
        <f t="shared" si="10"/>
        <v>0</v>
      </c>
    </row>
    <row r="174" spans="1:21" x14ac:dyDescent="0.3">
      <c r="A174">
        <v>173</v>
      </c>
      <c r="B174" t="s">
        <v>189</v>
      </c>
      <c r="C174" s="2">
        <v>46021</v>
      </c>
      <c r="D174" s="2" t="str">
        <f t="shared" si="11"/>
        <v>Dec-2025</v>
      </c>
      <c r="E174" s="2">
        <v>46022</v>
      </c>
      <c r="F174" t="s">
        <v>1018</v>
      </c>
      <c r="G174" t="s">
        <v>1076</v>
      </c>
      <c r="H174" t="s">
        <v>1268</v>
      </c>
      <c r="I174" t="s">
        <v>1288</v>
      </c>
      <c r="J174" t="s">
        <v>1294</v>
      </c>
      <c r="K174" t="s">
        <v>1305</v>
      </c>
      <c r="L174" t="s">
        <v>1308</v>
      </c>
      <c r="M174" t="s">
        <v>1312</v>
      </c>
      <c r="N174">
        <v>2</v>
      </c>
      <c r="O174">
        <v>0.2</v>
      </c>
      <c r="P174">
        <v>2048.84</v>
      </c>
      <c r="Q174">
        <v>181.29</v>
      </c>
      <c r="R174" t="s">
        <v>1334</v>
      </c>
      <c r="S174" t="b">
        <f t="shared" si="8"/>
        <v>0</v>
      </c>
      <c r="T174" t="b">
        <f t="shared" si="9"/>
        <v>0</v>
      </c>
      <c r="U174" t="b">
        <f t="shared" si="10"/>
        <v>0</v>
      </c>
    </row>
    <row r="175" spans="1:21" x14ac:dyDescent="0.3">
      <c r="A175">
        <v>174</v>
      </c>
      <c r="B175" t="s">
        <v>190</v>
      </c>
      <c r="C175" s="2">
        <v>45995</v>
      </c>
      <c r="D175" s="2" t="str">
        <f t="shared" si="11"/>
        <v>Dec-2025</v>
      </c>
      <c r="E175" s="2">
        <v>45997</v>
      </c>
      <c r="F175" t="s">
        <v>1017</v>
      </c>
      <c r="G175" t="s">
        <v>1141</v>
      </c>
      <c r="H175" t="s">
        <v>1273</v>
      </c>
      <c r="I175" t="s">
        <v>1289</v>
      </c>
      <c r="J175" t="s">
        <v>1296</v>
      </c>
      <c r="K175" t="s">
        <v>1304</v>
      </c>
      <c r="L175" t="s">
        <v>1309</v>
      </c>
      <c r="M175" t="s">
        <v>1320</v>
      </c>
      <c r="N175">
        <v>1</v>
      </c>
      <c r="O175">
        <v>0.05</v>
      </c>
      <c r="P175">
        <v>1152.01</v>
      </c>
      <c r="Q175">
        <v>304.2</v>
      </c>
      <c r="R175" t="s">
        <v>1334</v>
      </c>
      <c r="S175" t="b">
        <f t="shared" si="8"/>
        <v>0</v>
      </c>
      <c r="T175" t="b">
        <f t="shared" si="9"/>
        <v>0</v>
      </c>
      <c r="U175" t="b">
        <f t="shared" si="10"/>
        <v>0</v>
      </c>
    </row>
    <row r="176" spans="1:21" x14ac:dyDescent="0.3">
      <c r="A176">
        <v>175</v>
      </c>
      <c r="B176" t="s">
        <v>191</v>
      </c>
      <c r="C176" s="2">
        <v>45905</v>
      </c>
      <c r="D176" s="2" t="str">
        <f t="shared" si="11"/>
        <v>Sep-2025</v>
      </c>
      <c r="E176" s="2">
        <v>45909</v>
      </c>
      <c r="F176" t="s">
        <v>1018</v>
      </c>
      <c r="G176" t="s">
        <v>1075</v>
      </c>
      <c r="H176" t="s">
        <v>1282</v>
      </c>
      <c r="I176" t="s">
        <v>1287</v>
      </c>
      <c r="J176" t="s">
        <v>1297</v>
      </c>
      <c r="K176" t="s">
        <v>1304</v>
      </c>
      <c r="L176" t="s">
        <v>1309</v>
      </c>
      <c r="M176" t="s">
        <v>1317</v>
      </c>
      <c r="N176">
        <v>3</v>
      </c>
      <c r="O176">
        <v>0</v>
      </c>
      <c r="P176">
        <v>2440.5500000000002</v>
      </c>
      <c r="Q176">
        <v>874.29</v>
      </c>
      <c r="R176" t="s">
        <v>1331</v>
      </c>
      <c r="S176" t="b">
        <f t="shared" si="8"/>
        <v>0</v>
      </c>
      <c r="T176" t="b">
        <f t="shared" si="9"/>
        <v>0</v>
      </c>
      <c r="U176" t="b">
        <f t="shared" si="10"/>
        <v>0</v>
      </c>
    </row>
    <row r="177" spans="1:21" x14ac:dyDescent="0.3">
      <c r="A177">
        <v>176</v>
      </c>
      <c r="B177" t="s">
        <v>192</v>
      </c>
      <c r="C177" s="2">
        <v>45678</v>
      </c>
      <c r="D177" s="2" t="str">
        <f t="shared" si="11"/>
        <v>Jan-2025</v>
      </c>
      <c r="E177" s="2">
        <v>45681</v>
      </c>
      <c r="F177" t="s">
        <v>1018</v>
      </c>
      <c r="G177" t="s">
        <v>1073</v>
      </c>
      <c r="H177" t="s">
        <v>1285</v>
      </c>
      <c r="I177" t="s">
        <v>1287</v>
      </c>
      <c r="J177" t="s">
        <v>1294</v>
      </c>
      <c r="K177" t="s">
        <v>1305</v>
      </c>
      <c r="L177" t="s">
        <v>1306</v>
      </c>
      <c r="M177" t="s">
        <v>1328</v>
      </c>
      <c r="N177">
        <v>1</v>
      </c>
      <c r="O177">
        <v>0.05</v>
      </c>
      <c r="P177">
        <v>117</v>
      </c>
      <c r="Q177">
        <v>32.799999999999997</v>
      </c>
      <c r="R177" t="s">
        <v>1334</v>
      </c>
      <c r="S177" t="b">
        <f t="shared" si="8"/>
        <v>0</v>
      </c>
      <c r="T177" t="b">
        <f t="shared" si="9"/>
        <v>0</v>
      </c>
      <c r="U177" t="b">
        <f t="shared" si="10"/>
        <v>0</v>
      </c>
    </row>
    <row r="178" spans="1:21" x14ac:dyDescent="0.3">
      <c r="A178">
        <v>177</v>
      </c>
      <c r="B178" t="s">
        <v>193</v>
      </c>
      <c r="C178" s="2">
        <v>45748</v>
      </c>
      <c r="D178" s="2" t="str">
        <f t="shared" si="11"/>
        <v>Apr-2025</v>
      </c>
      <c r="E178" s="2">
        <v>45750</v>
      </c>
      <c r="F178" t="s">
        <v>1018</v>
      </c>
      <c r="G178" t="s">
        <v>1110</v>
      </c>
      <c r="H178" t="s">
        <v>1267</v>
      </c>
      <c r="I178" t="s">
        <v>1287</v>
      </c>
      <c r="J178" t="s">
        <v>1296</v>
      </c>
      <c r="K178" t="s">
        <v>1304</v>
      </c>
      <c r="L178" t="s">
        <v>1309</v>
      </c>
      <c r="M178" t="s">
        <v>1325</v>
      </c>
      <c r="N178">
        <v>4</v>
      </c>
      <c r="O178">
        <v>0.15</v>
      </c>
      <c r="P178">
        <v>4393.22</v>
      </c>
      <c r="Q178">
        <v>693.3</v>
      </c>
      <c r="R178" t="s">
        <v>1334</v>
      </c>
      <c r="S178" t="b">
        <f t="shared" si="8"/>
        <v>0</v>
      </c>
      <c r="T178" t="b">
        <f t="shared" si="9"/>
        <v>0</v>
      </c>
      <c r="U178" t="b">
        <f t="shared" si="10"/>
        <v>0</v>
      </c>
    </row>
    <row r="179" spans="1:21" x14ac:dyDescent="0.3">
      <c r="A179">
        <v>178</v>
      </c>
      <c r="B179" t="s">
        <v>194</v>
      </c>
      <c r="C179" s="2">
        <v>45759</v>
      </c>
      <c r="D179" s="2" t="str">
        <f t="shared" si="11"/>
        <v>Apr-2025</v>
      </c>
      <c r="E179" s="2">
        <v>45760</v>
      </c>
      <c r="F179" t="s">
        <v>1018</v>
      </c>
      <c r="G179" t="s">
        <v>1059</v>
      </c>
      <c r="H179" t="s">
        <v>1276</v>
      </c>
      <c r="I179" t="s">
        <v>1289</v>
      </c>
      <c r="J179" t="s">
        <v>1294</v>
      </c>
      <c r="K179" t="s">
        <v>1305</v>
      </c>
      <c r="L179" t="s">
        <v>1306</v>
      </c>
      <c r="M179" t="s">
        <v>1323</v>
      </c>
      <c r="N179">
        <v>2</v>
      </c>
      <c r="O179">
        <v>0</v>
      </c>
      <c r="P179">
        <v>352.52</v>
      </c>
      <c r="Q179">
        <v>63.74</v>
      </c>
      <c r="R179" t="s">
        <v>1332</v>
      </c>
      <c r="S179" t="b">
        <f t="shared" si="8"/>
        <v>0</v>
      </c>
      <c r="T179" t="b">
        <f t="shared" si="9"/>
        <v>0</v>
      </c>
      <c r="U179" t="b">
        <f t="shared" si="10"/>
        <v>0</v>
      </c>
    </row>
    <row r="180" spans="1:21" x14ac:dyDescent="0.3">
      <c r="A180">
        <v>179</v>
      </c>
      <c r="B180" t="s">
        <v>195</v>
      </c>
      <c r="C180" s="2">
        <v>45777</v>
      </c>
      <c r="D180" s="2" t="str">
        <f t="shared" si="11"/>
        <v>Apr-2025</v>
      </c>
      <c r="E180" s="2">
        <v>45782</v>
      </c>
      <c r="F180" t="s">
        <v>1017</v>
      </c>
      <c r="G180" t="s">
        <v>1067</v>
      </c>
      <c r="H180" t="s">
        <v>1277</v>
      </c>
      <c r="I180" t="s">
        <v>1287</v>
      </c>
      <c r="J180" t="s">
        <v>1292</v>
      </c>
      <c r="K180" t="s">
        <v>1303</v>
      </c>
      <c r="L180" t="s">
        <v>1308</v>
      </c>
      <c r="M180" t="s">
        <v>1312</v>
      </c>
      <c r="N180">
        <v>2</v>
      </c>
      <c r="O180">
        <v>0.1</v>
      </c>
      <c r="P180">
        <v>2347.7199999999998</v>
      </c>
      <c r="Q180">
        <v>686.8</v>
      </c>
      <c r="R180" t="s">
        <v>1331</v>
      </c>
      <c r="S180" t="b">
        <f t="shared" si="8"/>
        <v>0</v>
      </c>
      <c r="T180" t="b">
        <f t="shared" si="9"/>
        <v>0</v>
      </c>
      <c r="U180" t="b">
        <f t="shared" si="10"/>
        <v>0</v>
      </c>
    </row>
    <row r="181" spans="1:21" x14ac:dyDescent="0.3">
      <c r="A181">
        <v>180</v>
      </c>
      <c r="B181" t="s">
        <v>196</v>
      </c>
      <c r="C181" s="2">
        <v>45853</v>
      </c>
      <c r="D181" s="2" t="str">
        <f t="shared" si="11"/>
        <v>Jul-2025</v>
      </c>
      <c r="E181" s="2">
        <v>45856</v>
      </c>
      <c r="F181" t="s">
        <v>1018</v>
      </c>
      <c r="G181" t="s">
        <v>1142</v>
      </c>
      <c r="H181" t="s">
        <v>1279</v>
      </c>
      <c r="I181" t="s">
        <v>1289</v>
      </c>
      <c r="J181" t="s">
        <v>1294</v>
      </c>
      <c r="K181" t="s">
        <v>1305</v>
      </c>
      <c r="L181" t="s">
        <v>1308</v>
      </c>
      <c r="M181" t="s">
        <v>1319</v>
      </c>
      <c r="N181">
        <v>1</v>
      </c>
      <c r="O181">
        <v>0.15</v>
      </c>
      <c r="P181">
        <v>4066.65</v>
      </c>
      <c r="Q181">
        <v>431.36</v>
      </c>
      <c r="R181" t="s">
        <v>1332</v>
      </c>
      <c r="S181" t="b">
        <f t="shared" si="8"/>
        <v>0</v>
      </c>
      <c r="T181" t="b">
        <f t="shared" si="9"/>
        <v>0</v>
      </c>
      <c r="U181" t="b">
        <f t="shared" si="10"/>
        <v>0</v>
      </c>
    </row>
    <row r="182" spans="1:21" x14ac:dyDescent="0.3">
      <c r="A182">
        <v>181</v>
      </c>
      <c r="B182" t="s">
        <v>197</v>
      </c>
      <c r="C182" s="2">
        <v>45707</v>
      </c>
      <c r="D182" s="2" t="str">
        <f t="shared" si="11"/>
        <v>Feb-2025</v>
      </c>
      <c r="E182" s="2">
        <v>45712</v>
      </c>
      <c r="F182" t="s">
        <v>1018</v>
      </c>
      <c r="G182" t="s">
        <v>1033</v>
      </c>
      <c r="H182" t="s">
        <v>1285</v>
      </c>
      <c r="I182" t="s">
        <v>1287</v>
      </c>
      <c r="J182" t="s">
        <v>1291</v>
      </c>
      <c r="K182" t="s">
        <v>1302</v>
      </c>
      <c r="L182" t="s">
        <v>1306</v>
      </c>
      <c r="M182" t="s">
        <v>1323</v>
      </c>
      <c r="N182">
        <v>2</v>
      </c>
      <c r="O182">
        <v>0.25</v>
      </c>
      <c r="P182">
        <v>270.58</v>
      </c>
      <c r="Q182">
        <v>42.8</v>
      </c>
      <c r="R182" t="s">
        <v>1331</v>
      </c>
      <c r="S182" t="b">
        <f t="shared" si="8"/>
        <v>0</v>
      </c>
      <c r="T182" t="b">
        <f t="shared" si="9"/>
        <v>0</v>
      </c>
      <c r="U182" t="b">
        <f t="shared" si="10"/>
        <v>0</v>
      </c>
    </row>
    <row r="183" spans="1:21" x14ac:dyDescent="0.3">
      <c r="A183">
        <v>182</v>
      </c>
      <c r="B183" t="s">
        <v>198</v>
      </c>
      <c r="C183" s="2">
        <v>45722</v>
      </c>
      <c r="D183" s="2" t="str">
        <f t="shared" si="11"/>
        <v>Mar-2025</v>
      </c>
      <c r="E183" s="2">
        <v>45727</v>
      </c>
      <c r="F183" t="s">
        <v>1019</v>
      </c>
      <c r="G183" t="s">
        <v>1125</v>
      </c>
      <c r="H183" t="s">
        <v>1271</v>
      </c>
      <c r="I183" t="s">
        <v>1287</v>
      </c>
      <c r="J183" t="s">
        <v>1296</v>
      </c>
      <c r="K183" t="s">
        <v>1304</v>
      </c>
      <c r="L183" t="s">
        <v>1307</v>
      </c>
      <c r="M183" t="s">
        <v>1314</v>
      </c>
      <c r="N183">
        <v>3</v>
      </c>
      <c r="O183">
        <v>0.2</v>
      </c>
      <c r="P183">
        <v>2199.5500000000002</v>
      </c>
      <c r="Q183">
        <v>483.07</v>
      </c>
      <c r="R183" t="s">
        <v>1331</v>
      </c>
      <c r="S183" t="b">
        <f t="shared" si="8"/>
        <v>0</v>
      </c>
      <c r="T183" t="b">
        <f t="shared" si="9"/>
        <v>0</v>
      </c>
      <c r="U183" t="b">
        <f t="shared" si="10"/>
        <v>0</v>
      </c>
    </row>
    <row r="184" spans="1:21" x14ac:dyDescent="0.3">
      <c r="A184">
        <v>183</v>
      </c>
      <c r="B184" t="s">
        <v>199</v>
      </c>
      <c r="C184" s="2">
        <v>45836</v>
      </c>
      <c r="D184" s="2" t="str">
        <f t="shared" si="11"/>
        <v>Jun-2025</v>
      </c>
      <c r="E184" s="2">
        <v>45840</v>
      </c>
      <c r="F184" t="s">
        <v>1017</v>
      </c>
      <c r="G184" t="s">
        <v>1143</v>
      </c>
      <c r="H184" t="s">
        <v>1280</v>
      </c>
      <c r="I184" t="s">
        <v>1289</v>
      </c>
      <c r="J184" t="s">
        <v>1296</v>
      </c>
      <c r="K184" t="s">
        <v>1304</v>
      </c>
      <c r="L184" t="s">
        <v>1309</v>
      </c>
      <c r="M184" t="s">
        <v>1320</v>
      </c>
      <c r="N184">
        <v>2</v>
      </c>
      <c r="O184">
        <v>0.15</v>
      </c>
      <c r="P184">
        <v>2074.2600000000002</v>
      </c>
      <c r="Q184">
        <v>524.34</v>
      </c>
      <c r="R184" t="s">
        <v>1331</v>
      </c>
      <c r="S184" t="b">
        <f t="shared" si="8"/>
        <v>0</v>
      </c>
      <c r="T184" t="b">
        <f t="shared" si="9"/>
        <v>0</v>
      </c>
      <c r="U184" t="b">
        <f t="shared" si="10"/>
        <v>0</v>
      </c>
    </row>
    <row r="185" spans="1:21" x14ac:dyDescent="0.3">
      <c r="A185">
        <v>184</v>
      </c>
      <c r="B185" t="s">
        <v>200</v>
      </c>
      <c r="C185" s="2">
        <v>45919</v>
      </c>
      <c r="D185" s="2" t="str">
        <f t="shared" si="11"/>
        <v>Sep-2025</v>
      </c>
      <c r="E185" s="2">
        <v>45920</v>
      </c>
      <c r="F185" t="s">
        <v>1018</v>
      </c>
      <c r="G185" t="s">
        <v>1144</v>
      </c>
      <c r="H185" t="s">
        <v>1282</v>
      </c>
      <c r="I185" t="s">
        <v>1287</v>
      </c>
      <c r="J185" t="s">
        <v>1292</v>
      </c>
      <c r="K185" t="s">
        <v>1303</v>
      </c>
      <c r="L185" t="s">
        <v>1309</v>
      </c>
      <c r="M185" t="s">
        <v>1329</v>
      </c>
      <c r="N185">
        <v>5</v>
      </c>
      <c r="O185">
        <v>0.05</v>
      </c>
      <c r="P185">
        <v>8571.8700000000008</v>
      </c>
      <c r="Q185">
        <v>2609.4499999999998</v>
      </c>
      <c r="R185" t="s">
        <v>1333</v>
      </c>
      <c r="S185" t="b">
        <f t="shared" si="8"/>
        <v>0</v>
      </c>
      <c r="T185" t="b">
        <f t="shared" si="9"/>
        <v>0</v>
      </c>
      <c r="U185" t="b">
        <f t="shared" si="10"/>
        <v>0</v>
      </c>
    </row>
    <row r="186" spans="1:21" x14ac:dyDescent="0.3">
      <c r="A186">
        <v>185</v>
      </c>
      <c r="B186" t="s">
        <v>201</v>
      </c>
      <c r="C186" s="2">
        <v>45894</v>
      </c>
      <c r="D186" s="2" t="str">
        <f t="shared" si="11"/>
        <v>Aug-2025</v>
      </c>
      <c r="E186" s="2">
        <v>45898</v>
      </c>
      <c r="F186" t="s">
        <v>1017</v>
      </c>
      <c r="G186" t="s">
        <v>1091</v>
      </c>
      <c r="H186" t="s">
        <v>1275</v>
      </c>
      <c r="I186" t="s">
        <v>1287</v>
      </c>
      <c r="J186" t="s">
        <v>1299</v>
      </c>
      <c r="K186" t="s">
        <v>1304</v>
      </c>
      <c r="L186" t="s">
        <v>1306</v>
      </c>
      <c r="M186" t="s">
        <v>1310</v>
      </c>
      <c r="N186">
        <v>2</v>
      </c>
      <c r="O186">
        <v>0.1</v>
      </c>
      <c r="P186">
        <v>1135.72</v>
      </c>
      <c r="Q186">
        <v>195.41</v>
      </c>
      <c r="R186" t="s">
        <v>1331</v>
      </c>
      <c r="S186" t="b">
        <f t="shared" si="8"/>
        <v>0</v>
      </c>
      <c r="T186" t="b">
        <f t="shared" si="9"/>
        <v>0</v>
      </c>
      <c r="U186" t="b">
        <f t="shared" si="10"/>
        <v>0</v>
      </c>
    </row>
    <row r="187" spans="1:21" x14ac:dyDescent="0.3">
      <c r="A187">
        <v>186</v>
      </c>
      <c r="B187" t="s">
        <v>202</v>
      </c>
      <c r="C187" s="2">
        <v>45975</v>
      </c>
      <c r="D187" s="2" t="str">
        <f t="shared" si="11"/>
        <v>Nov-2025</v>
      </c>
      <c r="E187" s="2">
        <v>45977</v>
      </c>
      <c r="F187" t="s">
        <v>1017</v>
      </c>
      <c r="G187" t="s">
        <v>1145</v>
      </c>
      <c r="H187" t="s">
        <v>1275</v>
      </c>
      <c r="I187" t="s">
        <v>1288</v>
      </c>
      <c r="J187" t="s">
        <v>1292</v>
      </c>
      <c r="K187" t="s">
        <v>1303</v>
      </c>
      <c r="L187" t="s">
        <v>1309</v>
      </c>
      <c r="M187" t="s">
        <v>1325</v>
      </c>
      <c r="N187">
        <v>3</v>
      </c>
      <c r="O187">
        <v>0.1</v>
      </c>
      <c r="P187">
        <v>3434.87</v>
      </c>
      <c r="Q187">
        <v>292.52</v>
      </c>
      <c r="R187" t="s">
        <v>1331</v>
      </c>
      <c r="S187" t="b">
        <f t="shared" si="8"/>
        <v>0</v>
      </c>
      <c r="T187" t="b">
        <f t="shared" si="9"/>
        <v>0</v>
      </c>
      <c r="U187" t="b">
        <f t="shared" si="10"/>
        <v>0</v>
      </c>
    </row>
    <row r="188" spans="1:21" x14ac:dyDescent="0.3">
      <c r="A188">
        <v>187</v>
      </c>
      <c r="B188" t="s">
        <v>203</v>
      </c>
      <c r="C188" s="2">
        <v>45804</v>
      </c>
      <c r="D188" s="2" t="str">
        <f t="shared" si="11"/>
        <v>May-2025</v>
      </c>
      <c r="E188" s="2">
        <v>45807</v>
      </c>
      <c r="F188" t="s">
        <v>1017</v>
      </c>
      <c r="G188" t="s">
        <v>1086</v>
      </c>
      <c r="H188" t="s">
        <v>1272</v>
      </c>
      <c r="I188" t="s">
        <v>1287</v>
      </c>
      <c r="J188" t="s">
        <v>1292</v>
      </c>
      <c r="K188" t="s">
        <v>1303</v>
      </c>
      <c r="L188" t="s">
        <v>1306</v>
      </c>
      <c r="M188" t="s">
        <v>1323</v>
      </c>
      <c r="N188">
        <v>2</v>
      </c>
      <c r="O188">
        <v>0.15</v>
      </c>
      <c r="P188">
        <v>294.72000000000003</v>
      </c>
      <c r="Q188">
        <v>51.74</v>
      </c>
      <c r="R188" t="s">
        <v>1330</v>
      </c>
      <c r="S188" t="b">
        <f t="shared" si="8"/>
        <v>0</v>
      </c>
      <c r="T188" t="b">
        <f t="shared" si="9"/>
        <v>0</v>
      </c>
      <c r="U188" t="b">
        <f t="shared" si="10"/>
        <v>0</v>
      </c>
    </row>
    <row r="189" spans="1:21" x14ac:dyDescent="0.3">
      <c r="A189">
        <v>188</v>
      </c>
      <c r="B189" t="s">
        <v>204</v>
      </c>
      <c r="C189" s="2">
        <v>45907</v>
      </c>
      <c r="D189" s="2" t="str">
        <f t="shared" si="11"/>
        <v>Sep-2025</v>
      </c>
      <c r="E189" s="2">
        <v>45912</v>
      </c>
      <c r="F189" t="s">
        <v>1017</v>
      </c>
      <c r="G189" t="s">
        <v>1065</v>
      </c>
      <c r="H189" t="s">
        <v>1271</v>
      </c>
      <c r="I189" t="s">
        <v>1287</v>
      </c>
      <c r="J189" t="s">
        <v>1299</v>
      </c>
      <c r="K189" t="s">
        <v>1304</v>
      </c>
      <c r="L189" t="s">
        <v>1308</v>
      </c>
      <c r="M189" t="s">
        <v>1312</v>
      </c>
      <c r="N189">
        <v>3</v>
      </c>
      <c r="O189">
        <v>0.25</v>
      </c>
      <c r="P189">
        <v>2777.07</v>
      </c>
      <c r="Q189">
        <v>-135.08000000000001</v>
      </c>
      <c r="R189" t="s">
        <v>1332</v>
      </c>
      <c r="S189" t="b">
        <f t="shared" si="8"/>
        <v>0</v>
      </c>
      <c r="T189" t="b">
        <f t="shared" si="9"/>
        <v>0</v>
      </c>
      <c r="U189" t="b">
        <f t="shared" si="10"/>
        <v>0</v>
      </c>
    </row>
    <row r="190" spans="1:21" x14ac:dyDescent="0.3">
      <c r="A190">
        <v>189</v>
      </c>
      <c r="B190" t="s">
        <v>205</v>
      </c>
      <c r="C190" s="2">
        <v>45739</v>
      </c>
      <c r="D190" s="2" t="str">
        <f t="shared" si="11"/>
        <v>Mar-2025</v>
      </c>
      <c r="E190" s="2">
        <v>45744</v>
      </c>
      <c r="F190" t="s">
        <v>1018</v>
      </c>
      <c r="G190" t="s">
        <v>1039</v>
      </c>
      <c r="H190" t="s">
        <v>1285</v>
      </c>
      <c r="I190" t="s">
        <v>1287</v>
      </c>
      <c r="J190" t="s">
        <v>1297</v>
      </c>
      <c r="K190" t="s">
        <v>1304</v>
      </c>
      <c r="L190" t="s">
        <v>1308</v>
      </c>
      <c r="M190" t="s">
        <v>1326</v>
      </c>
      <c r="N190">
        <v>2</v>
      </c>
      <c r="O190">
        <v>0.1</v>
      </c>
      <c r="P190">
        <v>12120.76</v>
      </c>
      <c r="Q190">
        <v>2269.11</v>
      </c>
      <c r="R190" t="s">
        <v>1331</v>
      </c>
      <c r="S190" t="b">
        <f t="shared" si="8"/>
        <v>0</v>
      </c>
      <c r="T190" t="b">
        <f t="shared" si="9"/>
        <v>0</v>
      </c>
      <c r="U190" t="b">
        <f t="shared" si="10"/>
        <v>0</v>
      </c>
    </row>
    <row r="191" spans="1:21" x14ac:dyDescent="0.3">
      <c r="A191">
        <v>190</v>
      </c>
      <c r="B191" t="s">
        <v>206</v>
      </c>
      <c r="C191" s="2">
        <v>45923</v>
      </c>
      <c r="D191" s="2" t="str">
        <f t="shared" si="11"/>
        <v>Sep-2025</v>
      </c>
      <c r="E191" s="2">
        <v>45925</v>
      </c>
      <c r="F191" t="s">
        <v>1017</v>
      </c>
      <c r="G191" t="s">
        <v>1146</v>
      </c>
      <c r="H191" t="s">
        <v>1276</v>
      </c>
      <c r="I191" t="s">
        <v>1288</v>
      </c>
      <c r="J191" t="s">
        <v>1294</v>
      </c>
      <c r="K191" t="s">
        <v>1305</v>
      </c>
      <c r="L191" t="s">
        <v>1307</v>
      </c>
      <c r="M191" t="s">
        <v>1315</v>
      </c>
      <c r="N191">
        <v>2</v>
      </c>
      <c r="O191">
        <v>0.2</v>
      </c>
      <c r="P191">
        <v>2774.45</v>
      </c>
      <c r="Q191">
        <v>460.41</v>
      </c>
      <c r="R191" t="s">
        <v>1332</v>
      </c>
      <c r="S191" t="b">
        <f t="shared" si="8"/>
        <v>0</v>
      </c>
      <c r="T191" t="b">
        <f t="shared" si="9"/>
        <v>0</v>
      </c>
      <c r="U191" t="b">
        <f t="shared" si="10"/>
        <v>0</v>
      </c>
    </row>
    <row r="192" spans="1:21" x14ac:dyDescent="0.3">
      <c r="A192">
        <v>191</v>
      </c>
      <c r="B192" t="s">
        <v>207</v>
      </c>
      <c r="C192" s="2">
        <v>45925</v>
      </c>
      <c r="D192" s="2" t="str">
        <f t="shared" si="11"/>
        <v>Sep-2025</v>
      </c>
      <c r="E192" s="2">
        <v>45928</v>
      </c>
      <c r="F192" t="s">
        <v>1017</v>
      </c>
      <c r="G192" t="s">
        <v>1147</v>
      </c>
      <c r="H192" t="s">
        <v>1275</v>
      </c>
      <c r="I192" t="s">
        <v>1287</v>
      </c>
      <c r="J192" t="s">
        <v>1300</v>
      </c>
      <c r="K192" t="s">
        <v>1305</v>
      </c>
      <c r="L192" t="s">
        <v>1306</v>
      </c>
      <c r="M192" t="s">
        <v>1321</v>
      </c>
      <c r="N192">
        <v>3</v>
      </c>
      <c r="O192">
        <v>0.15</v>
      </c>
      <c r="P192">
        <v>1141.6300000000001</v>
      </c>
      <c r="Q192">
        <v>281.83999999999997</v>
      </c>
      <c r="R192" t="s">
        <v>1333</v>
      </c>
      <c r="S192" t="b">
        <f t="shared" si="8"/>
        <v>0</v>
      </c>
      <c r="T192" t="b">
        <f t="shared" si="9"/>
        <v>0</v>
      </c>
      <c r="U192" t="b">
        <f t="shared" si="10"/>
        <v>0</v>
      </c>
    </row>
    <row r="193" spans="1:21" x14ac:dyDescent="0.3">
      <c r="A193">
        <v>192</v>
      </c>
      <c r="B193" t="s">
        <v>208</v>
      </c>
      <c r="C193" s="2">
        <v>45756</v>
      </c>
      <c r="D193" s="2" t="str">
        <f t="shared" si="11"/>
        <v>Apr-2025</v>
      </c>
      <c r="E193" s="2">
        <v>45761</v>
      </c>
      <c r="F193" t="s">
        <v>1018</v>
      </c>
      <c r="G193" t="s">
        <v>1112</v>
      </c>
      <c r="H193" t="s">
        <v>1285</v>
      </c>
      <c r="I193" t="s">
        <v>1288</v>
      </c>
      <c r="J193" t="s">
        <v>1298</v>
      </c>
      <c r="K193" t="s">
        <v>1303</v>
      </c>
      <c r="L193" t="s">
        <v>1307</v>
      </c>
      <c r="M193" t="s">
        <v>1314</v>
      </c>
      <c r="N193">
        <v>3</v>
      </c>
      <c r="O193">
        <v>0.1</v>
      </c>
      <c r="P193">
        <v>2372.7800000000002</v>
      </c>
      <c r="Q193">
        <v>535.41</v>
      </c>
      <c r="R193" t="s">
        <v>1334</v>
      </c>
      <c r="S193" t="b">
        <f t="shared" si="8"/>
        <v>0</v>
      </c>
      <c r="T193" t="b">
        <f t="shared" si="9"/>
        <v>0</v>
      </c>
      <c r="U193" t="b">
        <f t="shared" si="10"/>
        <v>0</v>
      </c>
    </row>
    <row r="194" spans="1:21" x14ac:dyDescent="0.3">
      <c r="A194">
        <v>193</v>
      </c>
      <c r="B194" t="s">
        <v>209</v>
      </c>
      <c r="C194" s="2">
        <v>45970</v>
      </c>
      <c r="D194" s="2" t="str">
        <f t="shared" si="11"/>
        <v>Nov-2025</v>
      </c>
      <c r="E194" s="2">
        <v>45974</v>
      </c>
      <c r="F194" t="s">
        <v>1017</v>
      </c>
      <c r="G194" t="s">
        <v>1148</v>
      </c>
      <c r="H194" t="s">
        <v>1273</v>
      </c>
      <c r="I194" t="s">
        <v>1288</v>
      </c>
      <c r="J194" t="s">
        <v>1292</v>
      </c>
      <c r="K194" t="s">
        <v>1303</v>
      </c>
      <c r="L194" t="s">
        <v>1307</v>
      </c>
      <c r="M194" t="s">
        <v>1316</v>
      </c>
      <c r="N194">
        <v>1</v>
      </c>
      <c r="O194">
        <v>0.1</v>
      </c>
      <c r="P194">
        <v>444.29</v>
      </c>
      <c r="Q194">
        <v>82.43</v>
      </c>
      <c r="R194" t="s">
        <v>1331</v>
      </c>
      <c r="S194" t="b">
        <f t="shared" ref="S194:S257" si="12">E194&lt;C194</f>
        <v>0</v>
      </c>
      <c r="T194" t="b">
        <f t="shared" ref="T194:T257" si="13">N194&lt;=0</f>
        <v>0</v>
      </c>
      <c r="U194" t="b">
        <f t="shared" ref="U194:U257" si="14">OR(O194&lt;0,O194&gt;1)</f>
        <v>0</v>
      </c>
    </row>
    <row r="195" spans="1:21" x14ac:dyDescent="0.3">
      <c r="A195">
        <v>194</v>
      </c>
      <c r="B195" t="s">
        <v>210</v>
      </c>
      <c r="C195" s="2">
        <v>45783</v>
      </c>
      <c r="D195" s="2" t="str">
        <f t="shared" ref="D195:D258" si="15">TEXT(C195,"mmm-yyyy")</f>
        <v>May-2025</v>
      </c>
      <c r="E195" s="2">
        <v>45786</v>
      </c>
      <c r="F195" t="s">
        <v>1018</v>
      </c>
      <c r="G195" t="s">
        <v>1149</v>
      </c>
      <c r="H195" t="s">
        <v>1268</v>
      </c>
      <c r="I195" t="s">
        <v>1287</v>
      </c>
      <c r="J195" t="s">
        <v>1296</v>
      </c>
      <c r="K195" t="s">
        <v>1304</v>
      </c>
      <c r="L195" t="s">
        <v>1307</v>
      </c>
      <c r="M195" t="s">
        <v>1314</v>
      </c>
      <c r="N195">
        <v>1</v>
      </c>
      <c r="O195">
        <v>0.1</v>
      </c>
      <c r="P195">
        <v>793.83</v>
      </c>
      <c r="Q195">
        <v>114.7</v>
      </c>
      <c r="R195" t="s">
        <v>1330</v>
      </c>
      <c r="S195" t="b">
        <f t="shared" si="12"/>
        <v>0</v>
      </c>
      <c r="T195" t="b">
        <f t="shared" si="13"/>
        <v>0</v>
      </c>
      <c r="U195" t="b">
        <f t="shared" si="14"/>
        <v>0</v>
      </c>
    </row>
    <row r="196" spans="1:21" x14ac:dyDescent="0.3">
      <c r="A196">
        <v>195</v>
      </c>
      <c r="B196" t="s">
        <v>211</v>
      </c>
      <c r="C196" s="2">
        <v>46001</v>
      </c>
      <c r="D196" s="2" t="str">
        <f t="shared" si="15"/>
        <v>Dec-2025</v>
      </c>
      <c r="E196" s="2">
        <v>46004</v>
      </c>
      <c r="F196" t="s">
        <v>1017</v>
      </c>
      <c r="G196" t="s">
        <v>1125</v>
      </c>
      <c r="H196" t="s">
        <v>1281</v>
      </c>
      <c r="I196" t="s">
        <v>1287</v>
      </c>
      <c r="J196" t="s">
        <v>1299</v>
      </c>
      <c r="K196" t="s">
        <v>1304</v>
      </c>
      <c r="L196" t="s">
        <v>1306</v>
      </c>
      <c r="M196" t="s">
        <v>1324</v>
      </c>
      <c r="N196">
        <v>1</v>
      </c>
      <c r="O196">
        <v>0.1</v>
      </c>
      <c r="P196">
        <v>81.260000000000005</v>
      </c>
      <c r="Q196">
        <v>23.02</v>
      </c>
      <c r="R196" t="s">
        <v>1331</v>
      </c>
      <c r="S196" t="b">
        <f t="shared" si="12"/>
        <v>0</v>
      </c>
      <c r="T196" t="b">
        <f t="shared" si="13"/>
        <v>0</v>
      </c>
      <c r="U196" t="b">
        <f t="shared" si="14"/>
        <v>0</v>
      </c>
    </row>
    <row r="197" spans="1:21" x14ac:dyDescent="0.3">
      <c r="A197">
        <v>196</v>
      </c>
      <c r="B197" t="s">
        <v>212</v>
      </c>
      <c r="C197" s="2">
        <v>45782</v>
      </c>
      <c r="D197" s="2" t="str">
        <f t="shared" si="15"/>
        <v>May-2025</v>
      </c>
      <c r="E197" s="2">
        <v>45787</v>
      </c>
      <c r="F197" t="s">
        <v>1018</v>
      </c>
      <c r="G197" t="s">
        <v>1150</v>
      </c>
      <c r="H197" t="s">
        <v>1269</v>
      </c>
      <c r="I197" t="s">
        <v>1289</v>
      </c>
      <c r="J197" t="s">
        <v>1298</v>
      </c>
      <c r="K197" t="s">
        <v>1303</v>
      </c>
      <c r="L197" t="s">
        <v>1309</v>
      </c>
      <c r="M197" t="s">
        <v>1329</v>
      </c>
      <c r="N197">
        <v>1</v>
      </c>
      <c r="O197">
        <v>0.2</v>
      </c>
      <c r="P197">
        <v>1588.46</v>
      </c>
      <c r="Q197">
        <v>291.83999999999997</v>
      </c>
      <c r="R197" t="s">
        <v>1330</v>
      </c>
      <c r="S197" t="b">
        <f t="shared" si="12"/>
        <v>0</v>
      </c>
      <c r="T197" t="b">
        <f t="shared" si="13"/>
        <v>0</v>
      </c>
      <c r="U197" t="b">
        <f t="shared" si="14"/>
        <v>0</v>
      </c>
    </row>
    <row r="198" spans="1:21" x14ac:dyDescent="0.3">
      <c r="A198">
        <v>197</v>
      </c>
      <c r="B198" t="s">
        <v>213</v>
      </c>
      <c r="C198" s="2">
        <v>45725</v>
      </c>
      <c r="D198" s="2" t="str">
        <f t="shared" si="15"/>
        <v>Mar-2025</v>
      </c>
      <c r="E198" s="2">
        <v>45730</v>
      </c>
      <c r="F198" t="s">
        <v>1017</v>
      </c>
      <c r="G198" t="s">
        <v>1040</v>
      </c>
      <c r="H198" t="s">
        <v>1272</v>
      </c>
      <c r="I198" t="s">
        <v>1287</v>
      </c>
      <c r="J198" t="s">
        <v>1299</v>
      </c>
      <c r="K198" t="s">
        <v>1304</v>
      </c>
      <c r="L198" t="s">
        <v>1309</v>
      </c>
      <c r="M198" t="s">
        <v>1313</v>
      </c>
      <c r="N198">
        <v>2</v>
      </c>
      <c r="O198">
        <v>0.05</v>
      </c>
      <c r="P198">
        <v>2749.6</v>
      </c>
      <c r="Q198">
        <v>558.83000000000004</v>
      </c>
      <c r="R198" t="s">
        <v>1334</v>
      </c>
      <c r="S198" t="b">
        <f t="shared" si="12"/>
        <v>0</v>
      </c>
      <c r="T198" t="b">
        <f t="shared" si="13"/>
        <v>0</v>
      </c>
      <c r="U198" t="b">
        <f t="shared" si="14"/>
        <v>0</v>
      </c>
    </row>
    <row r="199" spans="1:21" x14ac:dyDescent="0.3">
      <c r="A199">
        <v>198</v>
      </c>
      <c r="B199" t="s">
        <v>214</v>
      </c>
      <c r="C199" s="2">
        <v>45678</v>
      </c>
      <c r="D199" s="2" t="str">
        <f t="shared" si="15"/>
        <v>Jan-2025</v>
      </c>
      <c r="E199" s="2">
        <v>45682</v>
      </c>
      <c r="F199" t="s">
        <v>1017</v>
      </c>
      <c r="G199" t="s">
        <v>1057</v>
      </c>
      <c r="H199" t="s">
        <v>1267</v>
      </c>
      <c r="I199" t="s">
        <v>1287</v>
      </c>
      <c r="J199" t="s">
        <v>1299</v>
      </c>
      <c r="K199" t="s">
        <v>1304</v>
      </c>
      <c r="L199" t="s">
        <v>1308</v>
      </c>
      <c r="M199" t="s">
        <v>1326</v>
      </c>
      <c r="N199">
        <v>2</v>
      </c>
      <c r="O199">
        <v>0.15</v>
      </c>
      <c r="P199">
        <v>12291.76</v>
      </c>
      <c r="Q199">
        <v>2087.6999999999998</v>
      </c>
      <c r="R199" t="s">
        <v>1334</v>
      </c>
      <c r="S199" t="b">
        <f t="shared" si="12"/>
        <v>0</v>
      </c>
      <c r="T199" t="b">
        <f t="shared" si="13"/>
        <v>0</v>
      </c>
      <c r="U199" t="b">
        <f t="shared" si="14"/>
        <v>0</v>
      </c>
    </row>
    <row r="200" spans="1:21" x14ac:dyDescent="0.3">
      <c r="A200">
        <v>199</v>
      </c>
      <c r="B200" t="s">
        <v>215</v>
      </c>
      <c r="C200" s="2">
        <v>45871</v>
      </c>
      <c r="D200" s="2" t="str">
        <f t="shared" si="15"/>
        <v>Aug-2025</v>
      </c>
      <c r="E200" s="2">
        <v>45872</v>
      </c>
      <c r="F200" t="s">
        <v>1018</v>
      </c>
      <c r="G200" t="s">
        <v>1151</v>
      </c>
      <c r="H200" t="s">
        <v>1273</v>
      </c>
      <c r="I200" t="s">
        <v>1287</v>
      </c>
      <c r="J200" t="s">
        <v>1299</v>
      </c>
      <c r="K200" t="s">
        <v>1304</v>
      </c>
      <c r="L200" t="s">
        <v>1309</v>
      </c>
      <c r="M200" t="s">
        <v>1320</v>
      </c>
      <c r="N200">
        <v>3</v>
      </c>
      <c r="O200">
        <v>0.05</v>
      </c>
      <c r="P200">
        <v>3517.11</v>
      </c>
      <c r="Q200">
        <v>955.01</v>
      </c>
      <c r="R200" t="s">
        <v>1333</v>
      </c>
      <c r="S200" t="b">
        <f t="shared" si="12"/>
        <v>0</v>
      </c>
      <c r="T200" t="b">
        <f t="shared" si="13"/>
        <v>0</v>
      </c>
      <c r="U200" t="b">
        <f t="shared" si="14"/>
        <v>0</v>
      </c>
    </row>
    <row r="201" spans="1:21" x14ac:dyDescent="0.3">
      <c r="A201">
        <v>200</v>
      </c>
      <c r="B201" t="s">
        <v>216</v>
      </c>
      <c r="C201" s="2">
        <v>45704</v>
      </c>
      <c r="D201" s="2" t="str">
        <f t="shared" si="15"/>
        <v>Feb-2025</v>
      </c>
      <c r="E201" s="2">
        <v>45708</v>
      </c>
      <c r="F201" t="s">
        <v>1017</v>
      </c>
      <c r="G201" t="s">
        <v>1152</v>
      </c>
      <c r="H201" t="s">
        <v>1275</v>
      </c>
      <c r="I201" t="s">
        <v>1288</v>
      </c>
      <c r="J201" t="s">
        <v>1298</v>
      </c>
      <c r="K201" t="s">
        <v>1303</v>
      </c>
      <c r="L201" t="s">
        <v>1309</v>
      </c>
      <c r="M201" t="s">
        <v>1329</v>
      </c>
      <c r="N201">
        <v>2</v>
      </c>
      <c r="O201">
        <v>0.05</v>
      </c>
      <c r="P201">
        <v>3441.4</v>
      </c>
      <c r="Q201">
        <v>520.08000000000004</v>
      </c>
      <c r="R201" t="s">
        <v>1333</v>
      </c>
      <c r="S201" t="b">
        <f t="shared" si="12"/>
        <v>0</v>
      </c>
      <c r="T201" t="b">
        <f t="shared" si="13"/>
        <v>0</v>
      </c>
      <c r="U201" t="b">
        <f t="shared" si="14"/>
        <v>0</v>
      </c>
    </row>
    <row r="202" spans="1:21" x14ac:dyDescent="0.3">
      <c r="A202">
        <v>201</v>
      </c>
      <c r="B202" t="s">
        <v>217</v>
      </c>
      <c r="C202" s="2">
        <v>45893</v>
      </c>
      <c r="D202" s="2" t="str">
        <f t="shared" si="15"/>
        <v>Aug-2025</v>
      </c>
      <c r="E202" s="2">
        <v>45897</v>
      </c>
      <c r="F202" t="s">
        <v>1017</v>
      </c>
      <c r="G202" t="s">
        <v>1056</v>
      </c>
      <c r="H202" t="s">
        <v>1281</v>
      </c>
      <c r="I202" t="s">
        <v>1287</v>
      </c>
      <c r="J202" t="s">
        <v>1296</v>
      </c>
      <c r="K202" t="s">
        <v>1304</v>
      </c>
      <c r="L202" t="s">
        <v>1309</v>
      </c>
      <c r="M202" t="s">
        <v>1317</v>
      </c>
      <c r="N202">
        <v>2</v>
      </c>
      <c r="O202">
        <v>0.25</v>
      </c>
      <c r="P202">
        <v>1242.07</v>
      </c>
      <c r="Q202">
        <v>63.15</v>
      </c>
      <c r="R202" t="s">
        <v>1332</v>
      </c>
      <c r="S202" t="b">
        <f t="shared" si="12"/>
        <v>0</v>
      </c>
      <c r="T202" t="b">
        <f t="shared" si="13"/>
        <v>0</v>
      </c>
      <c r="U202" t="b">
        <f t="shared" si="14"/>
        <v>0</v>
      </c>
    </row>
    <row r="203" spans="1:21" x14ac:dyDescent="0.3">
      <c r="A203">
        <v>202</v>
      </c>
      <c r="B203" t="s">
        <v>218</v>
      </c>
      <c r="C203" s="2">
        <v>45876</v>
      </c>
      <c r="D203" s="2" t="str">
        <f t="shared" si="15"/>
        <v>Aug-2025</v>
      </c>
      <c r="E203" s="2">
        <v>45878</v>
      </c>
      <c r="F203" t="s">
        <v>1017</v>
      </c>
      <c r="G203" t="s">
        <v>1153</v>
      </c>
      <c r="H203" t="s">
        <v>1280</v>
      </c>
      <c r="I203" t="s">
        <v>1287</v>
      </c>
      <c r="J203" t="s">
        <v>1294</v>
      </c>
      <c r="K203" t="s">
        <v>1305</v>
      </c>
      <c r="L203" t="s">
        <v>1306</v>
      </c>
      <c r="M203" t="s">
        <v>1321</v>
      </c>
      <c r="N203">
        <v>2</v>
      </c>
      <c r="O203">
        <v>0.15</v>
      </c>
      <c r="P203">
        <v>760.67</v>
      </c>
      <c r="Q203">
        <v>94.29</v>
      </c>
      <c r="R203" t="s">
        <v>1330</v>
      </c>
      <c r="S203" t="b">
        <f t="shared" si="12"/>
        <v>0</v>
      </c>
      <c r="T203" t="b">
        <f t="shared" si="13"/>
        <v>0</v>
      </c>
      <c r="U203" t="b">
        <f t="shared" si="14"/>
        <v>0</v>
      </c>
    </row>
    <row r="204" spans="1:21" x14ac:dyDescent="0.3">
      <c r="A204">
        <v>203</v>
      </c>
      <c r="B204" t="s">
        <v>219</v>
      </c>
      <c r="C204" s="2">
        <v>45985</v>
      </c>
      <c r="D204" s="2" t="str">
        <f t="shared" si="15"/>
        <v>Nov-2025</v>
      </c>
      <c r="E204" s="2">
        <v>45988</v>
      </c>
      <c r="F204" t="s">
        <v>1017</v>
      </c>
      <c r="G204" t="s">
        <v>1093</v>
      </c>
      <c r="H204" t="s">
        <v>1284</v>
      </c>
      <c r="I204" t="s">
        <v>1287</v>
      </c>
      <c r="J204" t="s">
        <v>1299</v>
      </c>
      <c r="K204" t="s">
        <v>1304</v>
      </c>
      <c r="L204" t="s">
        <v>1309</v>
      </c>
      <c r="M204" t="s">
        <v>1320</v>
      </c>
      <c r="N204">
        <v>2</v>
      </c>
      <c r="O204">
        <v>0.05</v>
      </c>
      <c r="P204">
        <v>2235.25</v>
      </c>
      <c r="Q204">
        <v>625.69000000000005</v>
      </c>
      <c r="R204" t="s">
        <v>1332</v>
      </c>
      <c r="S204" t="b">
        <f t="shared" si="12"/>
        <v>0</v>
      </c>
      <c r="T204" t="b">
        <f t="shared" si="13"/>
        <v>0</v>
      </c>
      <c r="U204" t="b">
        <f t="shared" si="14"/>
        <v>0</v>
      </c>
    </row>
    <row r="205" spans="1:21" x14ac:dyDescent="0.3">
      <c r="A205">
        <v>204</v>
      </c>
      <c r="B205" t="s">
        <v>220</v>
      </c>
      <c r="C205" s="2">
        <v>45955</v>
      </c>
      <c r="D205" s="2" t="str">
        <f t="shared" si="15"/>
        <v>Oct-2025</v>
      </c>
      <c r="E205" s="2">
        <v>45960</v>
      </c>
      <c r="F205" t="s">
        <v>1017</v>
      </c>
      <c r="G205" t="s">
        <v>1127</v>
      </c>
      <c r="H205" t="s">
        <v>1271</v>
      </c>
      <c r="I205" t="s">
        <v>1289</v>
      </c>
      <c r="J205" t="s">
        <v>1301</v>
      </c>
      <c r="K205" t="s">
        <v>1303</v>
      </c>
      <c r="L205" t="s">
        <v>1307</v>
      </c>
      <c r="M205" t="s">
        <v>1315</v>
      </c>
      <c r="N205">
        <v>3</v>
      </c>
      <c r="O205">
        <v>0.15</v>
      </c>
      <c r="P205">
        <v>4522.6400000000003</v>
      </c>
      <c r="Q205">
        <v>308.19</v>
      </c>
      <c r="R205" t="s">
        <v>1331</v>
      </c>
      <c r="S205" t="b">
        <f t="shared" si="12"/>
        <v>0</v>
      </c>
      <c r="T205" t="b">
        <f t="shared" si="13"/>
        <v>0</v>
      </c>
      <c r="U205" t="b">
        <f t="shared" si="14"/>
        <v>0</v>
      </c>
    </row>
    <row r="206" spans="1:21" x14ac:dyDescent="0.3">
      <c r="A206">
        <v>205</v>
      </c>
      <c r="B206" t="s">
        <v>221</v>
      </c>
      <c r="C206" s="2">
        <v>45694</v>
      </c>
      <c r="D206" s="2" t="str">
        <f t="shared" si="15"/>
        <v>Feb-2025</v>
      </c>
      <c r="E206" s="2">
        <v>45699</v>
      </c>
      <c r="F206" t="s">
        <v>1018</v>
      </c>
      <c r="G206" t="s">
        <v>1154</v>
      </c>
      <c r="H206" t="s">
        <v>1277</v>
      </c>
      <c r="I206" t="s">
        <v>1289</v>
      </c>
      <c r="J206" t="s">
        <v>1299</v>
      </c>
      <c r="K206" t="s">
        <v>1304</v>
      </c>
      <c r="L206" t="s">
        <v>1307</v>
      </c>
      <c r="M206" t="s">
        <v>1322</v>
      </c>
      <c r="N206">
        <v>1</v>
      </c>
      <c r="O206">
        <v>0.1</v>
      </c>
      <c r="P206">
        <v>645.04</v>
      </c>
      <c r="Q206">
        <v>104.16</v>
      </c>
      <c r="R206" t="s">
        <v>1332</v>
      </c>
      <c r="S206" t="b">
        <f t="shared" si="12"/>
        <v>0</v>
      </c>
      <c r="T206" t="b">
        <f t="shared" si="13"/>
        <v>0</v>
      </c>
      <c r="U206" t="b">
        <f t="shared" si="14"/>
        <v>0</v>
      </c>
    </row>
    <row r="207" spans="1:21" x14ac:dyDescent="0.3">
      <c r="A207">
        <v>206</v>
      </c>
      <c r="B207" t="s">
        <v>222</v>
      </c>
      <c r="C207" s="2">
        <v>46015</v>
      </c>
      <c r="D207" s="2" t="str">
        <f t="shared" si="15"/>
        <v>Dec-2025</v>
      </c>
      <c r="E207" s="2">
        <v>46018</v>
      </c>
      <c r="F207" t="s">
        <v>1018</v>
      </c>
      <c r="G207" t="s">
        <v>1100</v>
      </c>
      <c r="H207" t="s">
        <v>1278</v>
      </c>
      <c r="I207" t="s">
        <v>1287</v>
      </c>
      <c r="J207" t="s">
        <v>1293</v>
      </c>
      <c r="K207" t="s">
        <v>1304</v>
      </c>
      <c r="L207" t="s">
        <v>1309</v>
      </c>
      <c r="M207" t="s">
        <v>1317</v>
      </c>
      <c r="N207">
        <v>1</v>
      </c>
      <c r="O207">
        <v>0.1</v>
      </c>
      <c r="P207">
        <v>708.23</v>
      </c>
      <c r="Q207">
        <v>195.11</v>
      </c>
      <c r="R207" t="s">
        <v>1331</v>
      </c>
      <c r="S207" t="b">
        <f t="shared" si="12"/>
        <v>0</v>
      </c>
      <c r="T207" t="b">
        <f t="shared" si="13"/>
        <v>0</v>
      </c>
      <c r="U207" t="b">
        <f t="shared" si="14"/>
        <v>0</v>
      </c>
    </row>
    <row r="208" spans="1:21" x14ac:dyDescent="0.3">
      <c r="A208">
        <v>207</v>
      </c>
      <c r="B208" t="s">
        <v>223</v>
      </c>
      <c r="C208" s="2">
        <v>45801</v>
      </c>
      <c r="D208" s="2" t="str">
        <f t="shared" si="15"/>
        <v>May-2025</v>
      </c>
      <c r="E208" s="2">
        <v>45805</v>
      </c>
      <c r="F208" t="s">
        <v>1018</v>
      </c>
      <c r="G208" t="s">
        <v>1155</v>
      </c>
      <c r="H208" t="s">
        <v>1278</v>
      </c>
      <c r="I208" t="s">
        <v>1287</v>
      </c>
      <c r="J208" t="s">
        <v>1300</v>
      </c>
      <c r="K208" t="s">
        <v>1305</v>
      </c>
      <c r="L208" t="s">
        <v>1307</v>
      </c>
      <c r="M208" t="s">
        <v>1311</v>
      </c>
      <c r="N208">
        <v>1</v>
      </c>
      <c r="O208">
        <v>0.2</v>
      </c>
      <c r="P208">
        <v>230.71</v>
      </c>
      <c r="Q208">
        <v>2.87</v>
      </c>
      <c r="R208" t="s">
        <v>1334</v>
      </c>
      <c r="S208" t="b">
        <f t="shared" si="12"/>
        <v>0</v>
      </c>
      <c r="T208" t="b">
        <f t="shared" si="13"/>
        <v>0</v>
      </c>
      <c r="U208" t="b">
        <f t="shared" si="14"/>
        <v>0</v>
      </c>
    </row>
    <row r="209" spans="1:21" x14ac:dyDescent="0.3">
      <c r="A209">
        <v>208</v>
      </c>
      <c r="B209" t="s">
        <v>224</v>
      </c>
      <c r="C209" s="2">
        <v>45978</v>
      </c>
      <c r="D209" s="2" t="str">
        <f t="shared" si="15"/>
        <v>Nov-2025</v>
      </c>
      <c r="E209" s="2">
        <v>45979</v>
      </c>
      <c r="F209" t="s">
        <v>1018</v>
      </c>
      <c r="G209" t="s">
        <v>1156</v>
      </c>
      <c r="H209" t="s">
        <v>1272</v>
      </c>
      <c r="I209" t="s">
        <v>1288</v>
      </c>
      <c r="J209" t="s">
        <v>1301</v>
      </c>
      <c r="K209" t="s">
        <v>1303</v>
      </c>
      <c r="L209" t="s">
        <v>1307</v>
      </c>
      <c r="M209" t="s">
        <v>1322</v>
      </c>
      <c r="N209">
        <v>1</v>
      </c>
      <c r="O209">
        <v>0.1</v>
      </c>
      <c r="P209">
        <v>637.94000000000005</v>
      </c>
      <c r="Q209">
        <v>67.7</v>
      </c>
      <c r="R209" t="s">
        <v>1331</v>
      </c>
      <c r="S209" t="b">
        <f t="shared" si="12"/>
        <v>0</v>
      </c>
      <c r="T209" t="b">
        <f t="shared" si="13"/>
        <v>0</v>
      </c>
      <c r="U209" t="b">
        <f t="shared" si="14"/>
        <v>0</v>
      </c>
    </row>
    <row r="210" spans="1:21" x14ac:dyDescent="0.3">
      <c r="A210">
        <v>209</v>
      </c>
      <c r="B210" t="s">
        <v>225</v>
      </c>
      <c r="C210" s="2">
        <v>45805</v>
      </c>
      <c r="D210" s="2" t="str">
        <f t="shared" si="15"/>
        <v>May-2025</v>
      </c>
      <c r="E210" s="2">
        <v>45807</v>
      </c>
      <c r="F210" t="s">
        <v>1018</v>
      </c>
      <c r="G210" t="s">
        <v>1035</v>
      </c>
      <c r="H210" t="s">
        <v>1271</v>
      </c>
      <c r="I210" t="s">
        <v>1288</v>
      </c>
      <c r="J210" t="s">
        <v>1295</v>
      </c>
      <c r="K210" t="s">
        <v>1305</v>
      </c>
      <c r="L210" t="s">
        <v>1307</v>
      </c>
      <c r="M210" t="s">
        <v>1311</v>
      </c>
      <c r="N210">
        <v>3</v>
      </c>
      <c r="O210">
        <v>0.1</v>
      </c>
      <c r="P210">
        <v>786.47</v>
      </c>
      <c r="Q210">
        <v>102.25</v>
      </c>
      <c r="R210" t="s">
        <v>1333</v>
      </c>
      <c r="S210" t="b">
        <f t="shared" si="12"/>
        <v>0</v>
      </c>
      <c r="T210" t="b">
        <f t="shared" si="13"/>
        <v>0</v>
      </c>
      <c r="U210" t="b">
        <f t="shared" si="14"/>
        <v>0</v>
      </c>
    </row>
    <row r="211" spans="1:21" x14ac:dyDescent="0.3">
      <c r="A211">
        <v>210</v>
      </c>
      <c r="B211" t="s">
        <v>226</v>
      </c>
      <c r="C211" s="2">
        <v>45995</v>
      </c>
      <c r="D211" s="2" t="str">
        <f t="shared" si="15"/>
        <v>Dec-2025</v>
      </c>
      <c r="E211" s="2">
        <v>45997</v>
      </c>
      <c r="F211" t="s">
        <v>1017</v>
      </c>
      <c r="G211" t="s">
        <v>1157</v>
      </c>
      <c r="H211" t="s">
        <v>1275</v>
      </c>
      <c r="I211" t="s">
        <v>1287</v>
      </c>
      <c r="J211" t="s">
        <v>1291</v>
      </c>
      <c r="K211" t="s">
        <v>1302</v>
      </c>
      <c r="L211" t="s">
        <v>1309</v>
      </c>
      <c r="M211" t="s">
        <v>1325</v>
      </c>
      <c r="N211">
        <v>2</v>
      </c>
      <c r="O211">
        <v>0.05</v>
      </c>
      <c r="P211">
        <v>2522.8200000000002</v>
      </c>
      <c r="Q211">
        <v>770.96</v>
      </c>
      <c r="R211" t="s">
        <v>1331</v>
      </c>
      <c r="S211" t="b">
        <f t="shared" si="12"/>
        <v>0</v>
      </c>
      <c r="T211" t="b">
        <f t="shared" si="13"/>
        <v>0</v>
      </c>
      <c r="U211" t="b">
        <f t="shared" si="14"/>
        <v>0</v>
      </c>
    </row>
    <row r="212" spans="1:21" x14ac:dyDescent="0.3">
      <c r="A212">
        <v>211</v>
      </c>
      <c r="B212" t="s">
        <v>227</v>
      </c>
      <c r="C212" s="2">
        <v>45982</v>
      </c>
      <c r="D212" s="2" t="str">
        <f t="shared" si="15"/>
        <v>Nov-2025</v>
      </c>
      <c r="E212" s="2">
        <v>45986</v>
      </c>
      <c r="F212" t="s">
        <v>1017</v>
      </c>
      <c r="G212" t="s">
        <v>1158</v>
      </c>
      <c r="H212" t="s">
        <v>1281</v>
      </c>
      <c r="I212" t="s">
        <v>1287</v>
      </c>
      <c r="J212" t="s">
        <v>1292</v>
      </c>
      <c r="K212" t="s">
        <v>1303</v>
      </c>
      <c r="L212" t="s">
        <v>1309</v>
      </c>
      <c r="M212" t="s">
        <v>1317</v>
      </c>
      <c r="N212">
        <v>2</v>
      </c>
      <c r="O212">
        <v>0.1</v>
      </c>
      <c r="P212">
        <v>1472.85</v>
      </c>
      <c r="Q212">
        <v>381.01</v>
      </c>
      <c r="R212" t="s">
        <v>1334</v>
      </c>
      <c r="S212" t="b">
        <f t="shared" si="12"/>
        <v>0</v>
      </c>
      <c r="T212" t="b">
        <f t="shared" si="13"/>
        <v>0</v>
      </c>
      <c r="U212" t="b">
        <f t="shared" si="14"/>
        <v>0</v>
      </c>
    </row>
    <row r="213" spans="1:21" x14ac:dyDescent="0.3">
      <c r="A213">
        <v>212</v>
      </c>
      <c r="B213" t="s">
        <v>228</v>
      </c>
      <c r="C213" s="2">
        <v>45834</v>
      </c>
      <c r="D213" s="2" t="str">
        <f t="shared" si="15"/>
        <v>Jun-2025</v>
      </c>
      <c r="E213" s="2">
        <v>45838</v>
      </c>
      <c r="F213" t="s">
        <v>1017</v>
      </c>
      <c r="G213" t="s">
        <v>1072</v>
      </c>
      <c r="H213" t="s">
        <v>1277</v>
      </c>
      <c r="I213" t="s">
        <v>1289</v>
      </c>
      <c r="J213" t="s">
        <v>1293</v>
      </c>
      <c r="K213" t="s">
        <v>1304</v>
      </c>
      <c r="L213" t="s">
        <v>1306</v>
      </c>
      <c r="M213" t="s">
        <v>1324</v>
      </c>
      <c r="N213">
        <v>4</v>
      </c>
      <c r="O213">
        <v>0.1</v>
      </c>
      <c r="P213">
        <v>329.67</v>
      </c>
      <c r="Q213">
        <v>98.12</v>
      </c>
      <c r="R213" t="s">
        <v>1334</v>
      </c>
      <c r="S213" t="b">
        <f t="shared" si="12"/>
        <v>0</v>
      </c>
      <c r="T213" t="b">
        <f t="shared" si="13"/>
        <v>0</v>
      </c>
      <c r="U213" t="b">
        <f t="shared" si="14"/>
        <v>0</v>
      </c>
    </row>
    <row r="214" spans="1:21" x14ac:dyDescent="0.3">
      <c r="A214">
        <v>213</v>
      </c>
      <c r="B214" t="s">
        <v>229</v>
      </c>
      <c r="C214" s="2">
        <v>45681</v>
      </c>
      <c r="D214" s="2" t="str">
        <f t="shared" si="15"/>
        <v>Jan-2025</v>
      </c>
      <c r="E214" s="2">
        <v>45685</v>
      </c>
      <c r="F214" t="s">
        <v>1019</v>
      </c>
      <c r="G214" t="s">
        <v>1059</v>
      </c>
      <c r="H214" t="s">
        <v>1276</v>
      </c>
      <c r="I214" t="s">
        <v>1288</v>
      </c>
      <c r="J214" t="s">
        <v>1298</v>
      </c>
      <c r="K214" t="s">
        <v>1303</v>
      </c>
      <c r="L214" t="s">
        <v>1308</v>
      </c>
      <c r="M214" t="s">
        <v>1327</v>
      </c>
      <c r="N214">
        <v>4</v>
      </c>
      <c r="O214">
        <v>0</v>
      </c>
      <c r="P214">
        <v>6929.46</v>
      </c>
      <c r="Q214">
        <v>1494.89</v>
      </c>
      <c r="R214" t="s">
        <v>1332</v>
      </c>
      <c r="S214" t="b">
        <f t="shared" si="12"/>
        <v>0</v>
      </c>
      <c r="T214" t="b">
        <f t="shared" si="13"/>
        <v>0</v>
      </c>
      <c r="U214" t="b">
        <f t="shared" si="14"/>
        <v>0</v>
      </c>
    </row>
    <row r="215" spans="1:21" x14ac:dyDescent="0.3">
      <c r="A215">
        <v>214</v>
      </c>
      <c r="B215" t="s">
        <v>230</v>
      </c>
      <c r="C215" s="2">
        <v>45698</v>
      </c>
      <c r="D215" s="2" t="str">
        <f t="shared" si="15"/>
        <v>Feb-2025</v>
      </c>
      <c r="E215" s="2">
        <v>45701</v>
      </c>
      <c r="F215" t="s">
        <v>1017</v>
      </c>
      <c r="G215" t="s">
        <v>1074</v>
      </c>
      <c r="H215" t="s">
        <v>1279</v>
      </c>
      <c r="I215" t="s">
        <v>1287</v>
      </c>
      <c r="J215" t="s">
        <v>1301</v>
      </c>
      <c r="K215" t="s">
        <v>1303</v>
      </c>
      <c r="L215" t="s">
        <v>1309</v>
      </c>
      <c r="M215" t="s">
        <v>1320</v>
      </c>
      <c r="N215">
        <v>5</v>
      </c>
      <c r="O215">
        <v>0.1</v>
      </c>
      <c r="P215">
        <v>5372.68</v>
      </c>
      <c r="Q215">
        <v>1405.33</v>
      </c>
      <c r="R215" t="s">
        <v>1332</v>
      </c>
      <c r="S215" t="b">
        <f t="shared" si="12"/>
        <v>0</v>
      </c>
      <c r="T215" t="b">
        <f t="shared" si="13"/>
        <v>0</v>
      </c>
      <c r="U215" t="b">
        <f t="shared" si="14"/>
        <v>0</v>
      </c>
    </row>
    <row r="216" spans="1:21" x14ac:dyDescent="0.3">
      <c r="A216">
        <v>215</v>
      </c>
      <c r="B216" t="s">
        <v>231</v>
      </c>
      <c r="C216" s="2">
        <v>45986</v>
      </c>
      <c r="D216" s="2" t="str">
        <f t="shared" si="15"/>
        <v>Nov-2025</v>
      </c>
      <c r="E216" s="2">
        <v>45989</v>
      </c>
      <c r="F216" t="s">
        <v>1018</v>
      </c>
      <c r="G216" t="s">
        <v>1159</v>
      </c>
      <c r="H216" t="s">
        <v>1280</v>
      </c>
      <c r="I216" t="s">
        <v>1287</v>
      </c>
      <c r="J216" t="s">
        <v>1297</v>
      </c>
      <c r="K216" t="s">
        <v>1304</v>
      </c>
      <c r="L216" t="s">
        <v>1306</v>
      </c>
      <c r="M216" t="s">
        <v>1310</v>
      </c>
      <c r="N216">
        <v>4</v>
      </c>
      <c r="O216">
        <v>0</v>
      </c>
      <c r="P216">
        <v>2659.93</v>
      </c>
      <c r="Q216">
        <v>711.12</v>
      </c>
      <c r="R216" t="s">
        <v>1331</v>
      </c>
      <c r="S216" t="b">
        <f t="shared" si="12"/>
        <v>0</v>
      </c>
      <c r="T216" t="b">
        <f t="shared" si="13"/>
        <v>0</v>
      </c>
      <c r="U216" t="b">
        <f t="shared" si="14"/>
        <v>0</v>
      </c>
    </row>
    <row r="217" spans="1:21" x14ac:dyDescent="0.3">
      <c r="A217">
        <v>216</v>
      </c>
      <c r="B217" t="s">
        <v>232</v>
      </c>
      <c r="C217" s="2">
        <v>45806</v>
      </c>
      <c r="D217" s="2" t="str">
        <f t="shared" si="15"/>
        <v>May-2025</v>
      </c>
      <c r="E217" s="2">
        <v>45810</v>
      </c>
      <c r="F217" t="s">
        <v>1018</v>
      </c>
      <c r="G217" t="s">
        <v>1081</v>
      </c>
      <c r="H217" t="s">
        <v>1267</v>
      </c>
      <c r="I217" t="s">
        <v>1288</v>
      </c>
      <c r="J217" t="s">
        <v>1293</v>
      </c>
      <c r="K217" t="s">
        <v>1304</v>
      </c>
      <c r="L217" t="s">
        <v>1307</v>
      </c>
      <c r="M217" t="s">
        <v>1314</v>
      </c>
      <c r="N217">
        <v>3</v>
      </c>
      <c r="O217">
        <v>0.25</v>
      </c>
      <c r="P217">
        <v>2065.88</v>
      </c>
      <c r="Q217">
        <v>286.27999999999997</v>
      </c>
      <c r="R217" t="s">
        <v>1334</v>
      </c>
      <c r="S217" t="b">
        <f t="shared" si="12"/>
        <v>0</v>
      </c>
      <c r="T217" t="b">
        <f t="shared" si="13"/>
        <v>0</v>
      </c>
      <c r="U217" t="b">
        <f t="shared" si="14"/>
        <v>0</v>
      </c>
    </row>
    <row r="218" spans="1:21" x14ac:dyDescent="0.3">
      <c r="A218">
        <v>217</v>
      </c>
      <c r="B218" t="s">
        <v>233</v>
      </c>
      <c r="C218" s="2">
        <v>45670</v>
      </c>
      <c r="D218" s="2" t="str">
        <f t="shared" si="15"/>
        <v>Jan-2025</v>
      </c>
      <c r="E218" s="2">
        <v>45675</v>
      </c>
      <c r="F218" t="s">
        <v>1018</v>
      </c>
      <c r="G218" t="s">
        <v>1052</v>
      </c>
      <c r="H218" t="s">
        <v>1270</v>
      </c>
      <c r="I218" t="s">
        <v>1287</v>
      </c>
      <c r="J218" t="s">
        <v>1291</v>
      </c>
      <c r="K218" t="s">
        <v>1302</v>
      </c>
      <c r="L218" t="s">
        <v>1307</v>
      </c>
      <c r="M218" t="s">
        <v>1315</v>
      </c>
      <c r="N218">
        <v>1</v>
      </c>
      <c r="O218">
        <v>0.15</v>
      </c>
      <c r="P218">
        <v>1592.01</v>
      </c>
      <c r="Q218">
        <v>175.02</v>
      </c>
      <c r="R218" t="s">
        <v>1332</v>
      </c>
      <c r="S218" t="b">
        <f t="shared" si="12"/>
        <v>0</v>
      </c>
      <c r="T218" t="b">
        <f t="shared" si="13"/>
        <v>0</v>
      </c>
      <c r="U218" t="b">
        <f t="shared" si="14"/>
        <v>0</v>
      </c>
    </row>
    <row r="219" spans="1:21" x14ac:dyDescent="0.3">
      <c r="A219">
        <v>218</v>
      </c>
      <c r="B219" t="s">
        <v>234</v>
      </c>
      <c r="C219" s="2">
        <v>45885</v>
      </c>
      <c r="D219" s="2" t="str">
        <f t="shared" si="15"/>
        <v>Aug-2025</v>
      </c>
      <c r="E219" s="2">
        <v>45887</v>
      </c>
      <c r="F219" t="s">
        <v>1017</v>
      </c>
      <c r="G219" t="s">
        <v>1148</v>
      </c>
      <c r="H219" t="s">
        <v>1268</v>
      </c>
      <c r="I219" t="s">
        <v>1288</v>
      </c>
      <c r="J219" t="s">
        <v>1301</v>
      </c>
      <c r="K219" t="s">
        <v>1303</v>
      </c>
      <c r="L219" t="s">
        <v>1306</v>
      </c>
      <c r="M219" t="s">
        <v>1324</v>
      </c>
      <c r="N219">
        <v>1</v>
      </c>
      <c r="O219">
        <v>0.15</v>
      </c>
      <c r="P219">
        <v>76.650000000000006</v>
      </c>
      <c r="Q219">
        <v>8.65</v>
      </c>
      <c r="R219" t="s">
        <v>1333</v>
      </c>
      <c r="S219" t="b">
        <f t="shared" si="12"/>
        <v>0</v>
      </c>
      <c r="T219" t="b">
        <f t="shared" si="13"/>
        <v>0</v>
      </c>
      <c r="U219" t="b">
        <f t="shared" si="14"/>
        <v>0</v>
      </c>
    </row>
    <row r="220" spans="1:21" x14ac:dyDescent="0.3">
      <c r="A220">
        <v>219</v>
      </c>
      <c r="B220" t="s">
        <v>235</v>
      </c>
      <c r="C220" s="2">
        <v>45879</v>
      </c>
      <c r="D220" s="2" t="str">
        <f t="shared" si="15"/>
        <v>Aug-2025</v>
      </c>
      <c r="E220" s="2">
        <v>45880</v>
      </c>
      <c r="F220" t="s">
        <v>1017</v>
      </c>
      <c r="G220" t="s">
        <v>1160</v>
      </c>
      <c r="H220" t="s">
        <v>1277</v>
      </c>
      <c r="I220" t="s">
        <v>1288</v>
      </c>
      <c r="J220" t="s">
        <v>1301</v>
      </c>
      <c r="K220" t="s">
        <v>1303</v>
      </c>
      <c r="L220" t="s">
        <v>1307</v>
      </c>
      <c r="M220" t="s">
        <v>1322</v>
      </c>
      <c r="N220">
        <v>1</v>
      </c>
      <c r="O220">
        <v>0.15</v>
      </c>
      <c r="P220">
        <v>571.58000000000004</v>
      </c>
      <c r="Q220">
        <v>101.07</v>
      </c>
      <c r="R220" t="s">
        <v>1331</v>
      </c>
      <c r="S220" t="b">
        <f t="shared" si="12"/>
        <v>0</v>
      </c>
      <c r="T220" t="b">
        <f t="shared" si="13"/>
        <v>0</v>
      </c>
      <c r="U220" t="b">
        <f t="shared" si="14"/>
        <v>0</v>
      </c>
    </row>
    <row r="221" spans="1:21" x14ac:dyDescent="0.3">
      <c r="A221">
        <v>220</v>
      </c>
      <c r="B221" t="s">
        <v>236</v>
      </c>
      <c r="C221" s="2">
        <v>45885</v>
      </c>
      <c r="D221" s="2" t="str">
        <f t="shared" si="15"/>
        <v>Aug-2025</v>
      </c>
      <c r="E221" s="2">
        <v>45888</v>
      </c>
      <c r="F221" t="s">
        <v>1018</v>
      </c>
      <c r="G221" t="s">
        <v>1134</v>
      </c>
      <c r="H221" t="s">
        <v>1282</v>
      </c>
      <c r="I221" t="s">
        <v>1287</v>
      </c>
      <c r="J221" t="s">
        <v>1290</v>
      </c>
      <c r="K221" t="s">
        <v>1302</v>
      </c>
      <c r="L221" t="s">
        <v>1308</v>
      </c>
      <c r="M221" t="s">
        <v>1312</v>
      </c>
      <c r="N221">
        <v>3</v>
      </c>
      <c r="O221">
        <v>0.1</v>
      </c>
      <c r="P221">
        <v>3340.21</v>
      </c>
      <c r="Q221">
        <v>223.73</v>
      </c>
      <c r="R221" t="s">
        <v>1331</v>
      </c>
      <c r="S221" t="b">
        <f t="shared" si="12"/>
        <v>0</v>
      </c>
      <c r="T221" t="b">
        <f t="shared" si="13"/>
        <v>0</v>
      </c>
      <c r="U221" t="b">
        <f t="shared" si="14"/>
        <v>0</v>
      </c>
    </row>
    <row r="222" spans="1:21" x14ac:dyDescent="0.3">
      <c r="A222">
        <v>221</v>
      </c>
      <c r="B222" t="s">
        <v>237</v>
      </c>
      <c r="C222" s="2">
        <v>45862</v>
      </c>
      <c r="D222" s="2" t="str">
        <f t="shared" si="15"/>
        <v>Jul-2025</v>
      </c>
      <c r="E222" s="2">
        <v>45866</v>
      </c>
      <c r="F222" t="s">
        <v>1019</v>
      </c>
      <c r="G222" t="s">
        <v>1027</v>
      </c>
      <c r="H222" t="s">
        <v>1273</v>
      </c>
      <c r="I222" t="s">
        <v>1287</v>
      </c>
      <c r="J222" t="s">
        <v>1294</v>
      </c>
      <c r="K222" t="s">
        <v>1305</v>
      </c>
      <c r="L222" t="s">
        <v>1307</v>
      </c>
      <c r="M222" t="s">
        <v>1315</v>
      </c>
      <c r="N222">
        <v>4</v>
      </c>
      <c r="O222">
        <v>0.1</v>
      </c>
      <c r="P222">
        <v>6459.44</v>
      </c>
      <c r="Q222">
        <v>1914.67</v>
      </c>
      <c r="R222" t="s">
        <v>1332</v>
      </c>
      <c r="S222" t="b">
        <f t="shared" si="12"/>
        <v>0</v>
      </c>
      <c r="T222" t="b">
        <f t="shared" si="13"/>
        <v>0</v>
      </c>
      <c r="U222" t="b">
        <f t="shared" si="14"/>
        <v>0</v>
      </c>
    </row>
    <row r="223" spans="1:21" x14ac:dyDescent="0.3">
      <c r="A223">
        <v>222</v>
      </c>
      <c r="B223" t="s">
        <v>238</v>
      </c>
      <c r="C223" s="2">
        <v>45856</v>
      </c>
      <c r="D223" s="2" t="str">
        <f t="shared" si="15"/>
        <v>Jul-2025</v>
      </c>
      <c r="E223" s="2">
        <v>45858</v>
      </c>
      <c r="F223" t="s">
        <v>1017</v>
      </c>
      <c r="G223" t="s">
        <v>1161</v>
      </c>
      <c r="H223" t="s">
        <v>1281</v>
      </c>
      <c r="I223" t="s">
        <v>1289</v>
      </c>
      <c r="J223" t="s">
        <v>1301</v>
      </c>
      <c r="K223" t="s">
        <v>1303</v>
      </c>
      <c r="L223" t="s">
        <v>1308</v>
      </c>
      <c r="M223" t="s">
        <v>1312</v>
      </c>
      <c r="N223" t="s">
        <v>1350</v>
      </c>
      <c r="O223">
        <v>0</v>
      </c>
      <c r="P223">
        <v>2700.9</v>
      </c>
      <c r="Q223">
        <v>649.94000000000005</v>
      </c>
      <c r="R223" t="s">
        <v>1333</v>
      </c>
      <c r="S223" t="b">
        <f t="shared" si="12"/>
        <v>0</v>
      </c>
      <c r="T223" t="b">
        <f t="shared" si="13"/>
        <v>0</v>
      </c>
      <c r="U223" t="b">
        <f t="shared" si="14"/>
        <v>0</v>
      </c>
    </row>
    <row r="224" spans="1:21" x14ac:dyDescent="0.3">
      <c r="A224">
        <v>223</v>
      </c>
      <c r="B224" t="s">
        <v>239</v>
      </c>
      <c r="C224" s="2">
        <v>45709</v>
      </c>
      <c r="D224" s="2" t="str">
        <f t="shared" si="15"/>
        <v>Feb-2025</v>
      </c>
      <c r="E224" s="2">
        <v>45713</v>
      </c>
      <c r="F224" t="s">
        <v>1018</v>
      </c>
      <c r="G224" t="s">
        <v>1162</v>
      </c>
      <c r="H224" t="s">
        <v>1275</v>
      </c>
      <c r="I224" t="s">
        <v>1289</v>
      </c>
      <c r="J224" t="s">
        <v>1290</v>
      </c>
      <c r="K224" t="s">
        <v>1302</v>
      </c>
      <c r="L224" t="s">
        <v>1307</v>
      </c>
      <c r="M224" t="s">
        <v>1314</v>
      </c>
      <c r="N224">
        <v>1</v>
      </c>
      <c r="O224">
        <v>0.05</v>
      </c>
      <c r="P224">
        <v>857.36</v>
      </c>
      <c r="Q224">
        <v>289.08</v>
      </c>
      <c r="R224" t="s">
        <v>1333</v>
      </c>
      <c r="S224" t="b">
        <f t="shared" si="12"/>
        <v>0</v>
      </c>
      <c r="T224" t="b">
        <f t="shared" si="13"/>
        <v>0</v>
      </c>
      <c r="U224" t="b">
        <f t="shared" si="14"/>
        <v>0</v>
      </c>
    </row>
    <row r="225" spans="1:21" x14ac:dyDescent="0.3">
      <c r="A225">
        <v>224</v>
      </c>
      <c r="B225" t="s">
        <v>240</v>
      </c>
      <c r="C225" s="2">
        <v>45881</v>
      </c>
      <c r="D225" s="2" t="str">
        <f t="shared" si="15"/>
        <v>Aug-2025</v>
      </c>
      <c r="E225" s="2">
        <v>45886</v>
      </c>
      <c r="F225" t="s">
        <v>1018</v>
      </c>
      <c r="G225" t="s">
        <v>1163</v>
      </c>
      <c r="H225" t="s">
        <v>1269</v>
      </c>
      <c r="I225" t="s">
        <v>1287</v>
      </c>
      <c r="J225" t="s">
        <v>1293</v>
      </c>
      <c r="K225" t="s">
        <v>1304</v>
      </c>
      <c r="L225" t="s">
        <v>1309</v>
      </c>
      <c r="M225" t="s">
        <v>1317</v>
      </c>
      <c r="N225">
        <v>1</v>
      </c>
      <c r="O225">
        <v>0.15</v>
      </c>
      <c r="P225">
        <v>709.65</v>
      </c>
      <c r="Q225">
        <v>60.49</v>
      </c>
      <c r="R225" t="s">
        <v>1331</v>
      </c>
      <c r="S225" t="b">
        <f t="shared" si="12"/>
        <v>0</v>
      </c>
      <c r="T225" t="b">
        <f t="shared" si="13"/>
        <v>0</v>
      </c>
      <c r="U225" t="b">
        <f t="shared" si="14"/>
        <v>0</v>
      </c>
    </row>
    <row r="226" spans="1:21" x14ac:dyDescent="0.3">
      <c r="A226">
        <v>225</v>
      </c>
      <c r="B226" t="s">
        <v>241</v>
      </c>
      <c r="C226" s="2">
        <v>45892</v>
      </c>
      <c r="D226" s="2" t="str">
        <f t="shared" si="15"/>
        <v>Aug-2025</v>
      </c>
      <c r="E226" s="2">
        <v>45896</v>
      </c>
      <c r="F226" t="s">
        <v>1018</v>
      </c>
      <c r="G226" t="s">
        <v>1079</v>
      </c>
      <c r="H226" t="s">
        <v>1285</v>
      </c>
      <c r="I226" t="s">
        <v>1289</v>
      </c>
      <c r="J226" t="s">
        <v>1301</v>
      </c>
      <c r="K226" t="s">
        <v>1303</v>
      </c>
      <c r="L226" t="s">
        <v>1306</v>
      </c>
      <c r="M226" t="s">
        <v>1321</v>
      </c>
      <c r="N226">
        <v>2</v>
      </c>
      <c r="O226">
        <v>0</v>
      </c>
      <c r="P226">
        <v>930.93</v>
      </c>
      <c r="Q226">
        <v>196.32</v>
      </c>
      <c r="R226" t="s">
        <v>1331</v>
      </c>
      <c r="S226" t="b">
        <f t="shared" si="12"/>
        <v>0</v>
      </c>
      <c r="T226" t="b">
        <f t="shared" si="13"/>
        <v>0</v>
      </c>
      <c r="U226" t="b">
        <f t="shared" si="14"/>
        <v>0</v>
      </c>
    </row>
    <row r="227" spans="1:21" x14ac:dyDescent="0.3">
      <c r="A227">
        <v>226</v>
      </c>
      <c r="B227" t="s">
        <v>242</v>
      </c>
      <c r="C227" s="2">
        <v>46014</v>
      </c>
      <c r="D227" s="2" t="str">
        <f t="shared" si="15"/>
        <v>Dec-2025</v>
      </c>
      <c r="E227" s="2">
        <v>46015</v>
      </c>
      <c r="F227" t="s">
        <v>1017</v>
      </c>
      <c r="G227" t="s">
        <v>1118</v>
      </c>
      <c r="H227" t="s">
        <v>1286</v>
      </c>
      <c r="I227" t="s">
        <v>1287</v>
      </c>
      <c r="J227" t="s">
        <v>1295</v>
      </c>
      <c r="K227" t="s">
        <v>1305</v>
      </c>
      <c r="L227" t="s">
        <v>1307</v>
      </c>
      <c r="M227" t="s">
        <v>1322</v>
      </c>
      <c r="N227">
        <v>2</v>
      </c>
      <c r="O227">
        <v>0</v>
      </c>
      <c r="P227">
        <v>1456.63</v>
      </c>
      <c r="Q227">
        <v>540.63</v>
      </c>
      <c r="R227" t="s">
        <v>1332</v>
      </c>
      <c r="S227" t="b">
        <f t="shared" si="12"/>
        <v>0</v>
      </c>
      <c r="T227" t="b">
        <f t="shared" si="13"/>
        <v>0</v>
      </c>
      <c r="U227" t="b">
        <f t="shared" si="14"/>
        <v>0</v>
      </c>
    </row>
    <row r="228" spans="1:21" x14ac:dyDescent="0.3">
      <c r="A228">
        <v>227</v>
      </c>
      <c r="B228" t="s">
        <v>243</v>
      </c>
      <c r="C228" s="2">
        <v>45904</v>
      </c>
      <c r="D228" s="2" t="str">
        <f t="shared" si="15"/>
        <v>Sep-2025</v>
      </c>
      <c r="E228" s="2">
        <v>45909</v>
      </c>
      <c r="F228" t="s">
        <v>1017</v>
      </c>
      <c r="G228" t="s">
        <v>1043</v>
      </c>
      <c r="H228" t="s">
        <v>1277</v>
      </c>
      <c r="I228" t="s">
        <v>1287</v>
      </c>
      <c r="J228" t="s">
        <v>1299</v>
      </c>
      <c r="K228" t="s">
        <v>1304</v>
      </c>
      <c r="L228" t="s">
        <v>1307</v>
      </c>
      <c r="M228" t="s">
        <v>1311</v>
      </c>
      <c r="N228">
        <v>5</v>
      </c>
      <c r="O228">
        <v>1.25</v>
      </c>
      <c r="P228">
        <v>1393.16</v>
      </c>
      <c r="Q228">
        <v>235.11</v>
      </c>
      <c r="R228" t="s">
        <v>1332</v>
      </c>
      <c r="S228" t="b">
        <f t="shared" si="12"/>
        <v>0</v>
      </c>
      <c r="T228" t="b">
        <f t="shared" si="13"/>
        <v>0</v>
      </c>
      <c r="U228" t="b">
        <f t="shared" si="14"/>
        <v>1</v>
      </c>
    </row>
    <row r="229" spans="1:21" x14ac:dyDescent="0.3">
      <c r="A229">
        <v>228</v>
      </c>
      <c r="B229" t="s">
        <v>244</v>
      </c>
      <c r="C229" s="2">
        <v>45731</v>
      </c>
      <c r="D229" s="2" t="str">
        <f t="shared" si="15"/>
        <v>Mar-2025</v>
      </c>
      <c r="E229" s="2">
        <v>45735</v>
      </c>
      <c r="F229" t="s">
        <v>1017</v>
      </c>
      <c r="G229" t="s">
        <v>1164</v>
      </c>
      <c r="H229" t="s">
        <v>1270</v>
      </c>
      <c r="I229" t="s">
        <v>1287</v>
      </c>
      <c r="J229" t="s">
        <v>1301</v>
      </c>
      <c r="K229" t="s">
        <v>1303</v>
      </c>
      <c r="L229" t="s">
        <v>1307</v>
      </c>
      <c r="M229" t="s">
        <v>1311</v>
      </c>
      <c r="N229">
        <v>4</v>
      </c>
      <c r="O229">
        <v>0.1</v>
      </c>
      <c r="P229">
        <v>1061.01</v>
      </c>
      <c r="Q229">
        <v>97.94</v>
      </c>
      <c r="R229" t="s">
        <v>1334</v>
      </c>
      <c r="S229" t="b">
        <f t="shared" si="12"/>
        <v>0</v>
      </c>
      <c r="T229" t="b">
        <f t="shared" si="13"/>
        <v>0</v>
      </c>
      <c r="U229" t="b">
        <f t="shared" si="14"/>
        <v>0</v>
      </c>
    </row>
    <row r="230" spans="1:21" x14ac:dyDescent="0.3">
      <c r="A230">
        <v>229</v>
      </c>
      <c r="B230" t="s">
        <v>245</v>
      </c>
      <c r="C230" s="2">
        <v>46021</v>
      </c>
      <c r="D230" s="2" t="str">
        <f t="shared" si="15"/>
        <v>Dec-2025</v>
      </c>
      <c r="E230" s="2">
        <v>46026</v>
      </c>
      <c r="F230" t="s">
        <v>1017</v>
      </c>
      <c r="G230" t="s">
        <v>1045</v>
      </c>
      <c r="H230" t="s">
        <v>1278</v>
      </c>
      <c r="I230" t="s">
        <v>1289</v>
      </c>
      <c r="J230" t="s">
        <v>1301</v>
      </c>
      <c r="K230" t="s">
        <v>1303</v>
      </c>
      <c r="L230" t="s">
        <v>1308</v>
      </c>
      <c r="M230" t="s">
        <v>1319</v>
      </c>
      <c r="N230">
        <v>2</v>
      </c>
      <c r="O230">
        <v>0</v>
      </c>
      <c r="P230">
        <v>8738.51</v>
      </c>
      <c r="Q230">
        <v>1377.57</v>
      </c>
      <c r="R230" t="s">
        <v>1331</v>
      </c>
      <c r="S230" t="b">
        <f t="shared" si="12"/>
        <v>0</v>
      </c>
      <c r="T230" t="b">
        <f t="shared" si="13"/>
        <v>0</v>
      </c>
      <c r="U230" t="b">
        <f t="shared" si="14"/>
        <v>0</v>
      </c>
    </row>
    <row r="231" spans="1:21" x14ac:dyDescent="0.3">
      <c r="A231">
        <v>230</v>
      </c>
      <c r="B231" t="s">
        <v>246</v>
      </c>
      <c r="C231" s="2">
        <v>45820</v>
      </c>
      <c r="D231" s="2" t="str">
        <f t="shared" si="15"/>
        <v>Jun-2025</v>
      </c>
      <c r="E231" s="2">
        <v>45823</v>
      </c>
      <c r="F231" t="s">
        <v>1017</v>
      </c>
      <c r="G231" t="s">
        <v>1165</v>
      </c>
      <c r="H231" t="s">
        <v>1280</v>
      </c>
      <c r="I231" t="s">
        <v>1287</v>
      </c>
      <c r="J231" t="s">
        <v>1296</v>
      </c>
      <c r="K231" t="s">
        <v>1304</v>
      </c>
      <c r="L231" t="s">
        <v>1307</v>
      </c>
      <c r="M231" t="s">
        <v>1316</v>
      </c>
      <c r="N231">
        <v>2</v>
      </c>
      <c r="O231">
        <v>0.15</v>
      </c>
      <c r="P231">
        <v>886.55</v>
      </c>
      <c r="Q231">
        <v>152.6</v>
      </c>
      <c r="R231" t="s">
        <v>1333</v>
      </c>
      <c r="S231" t="b">
        <f t="shared" si="12"/>
        <v>0</v>
      </c>
      <c r="T231" t="b">
        <f t="shared" si="13"/>
        <v>0</v>
      </c>
      <c r="U231" t="b">
        <f t="shared" si="14"/>
        <v>0</v>
      </c>
    </row>
    <row r="232" spans="1:21" x14ac:dyDescent="0.3">
      <c r="A232">
        <v>231</v>
      </c>
      <c r="B232" t="s">
        <v>247</v>
      </c>
      <c r="C232" s="2">
        <v>46022</v>
      </c>
      <c r="D232" s="2" t="str">
        <f t="shared" si="15"/>
        <v>Dec-2025</v>
      </c>
      <c r="E232" s="2">
        <v>46026</v>
      </c>
      <c r="F232" t="s">
        <v>1017</v>
      </c>
      <c r="G232" t="s">
        <v>1102</v>
      </c>
      <c r="H232" t="s">
        <v>1273</v>
      </c>
      <c r="I232" t="s">
        <v>1287</v>
      </c>
      <c r="J232" t="s">
        <v>1299</v>
      </c>
      <c r="K232" t="s">
        <v>1304</v>
      </c>
      <c r="L232" t="s">
        <v>1306</v>
      </c>
      <c r="M232" t="s">
        <v>1324</v>
      </c>
      <c r="N232">
        <v>1</v>
      </c>
      <c r="O232">
        <v>0</v>
      </c>
      <c r="P232">
        <v>86.42</v>
      </c>
      <c r="Q232">
        <v>21.51</v>
      </c>
      <c r="R232" t="s">
        <v>1331</v>
      </c>
      <c r="S232" t="b">
        <f t="shared" si="12"/>
        <v>0</v>
      </c>
      <c r="T232" t="b">
        <f t="shared" si="13"/>
        <v>0</v>
      </c>
      <c r="U232" t="b">
        <f t="shared" si="14"/>
        <v>0</v>
      </c>
    </row>
    <row r="233" spans="1:21" x14ac:dyDescent="0.3">
      <c r="A233">
        <v>232</v>
      </c>
      <c r="B233" t="s">
        <v>248</v>
      </c>
      <c r="C233" s="2">
        <v>45796</v>
      </c>
      <c r="D233" s="2" t="str">
        <f t="shared" si="15"/>
        <v>May-2025</v>
      </c>
      <c r="E233" s="2">
        <v>45799</v>
      </c>
      <c r="F233" t="s">
        <v>1018</v>
      </c>
      <c r="G233" t="s">
        <v>1085</v>
      </c>
      <c r="H233" t="s">
        <v>1274</v>
      </c>
      <c r="I233" t="s">
        <v>1289</v>
      </c>
      <c r="J233" t="s">
        <v>1294</v>
      </c>
      <c r="K233" t="s">
        <v>1305</v>
      </c>
      <c r="L233" t="s">
        <v>1307</v>
      </c>
      <c r="M233" t="s">
        <v>1315</v>
      </c>
      <c r="N233">
        <v>5</v>
      </c>
      <c r="O233">
        <v>0.1</v>
      </c>
      <c r="P233">
        <v>8036.81</v>
      </c>
      <c r="Q233">
        <v>1872.83</v>
      </c>
      <c r="R233" t="s">
        <v>1330</v>
      </c>
      <c r="S233" t="b">
        <f t="shared" si="12"/>
        <v>0</v>
      </c>
      <c r="T233" t="b">
        <f t="shared" si="13"/>
        <v>0</v>
      </c>
      <c r="U233" t="b">
        <f t="shared" si="14"/>
        <v>0</v>
      </c>
    </row>
    <row r="234" spans="1:21" x14ac:dyDescent="0.3">
      <c r="A234">
        <v>233</v>
      </c>
      <c r="B234" t="s">
        <v>249</v>
      </c>
      <c r="C234" s="2">
        <v>45899</v>
      </c>
      <c r="D234" s="2" t="str">
        <f t="shared" si="15"/>
        <v>Aug-2025</v>
      </c>
      <c r="E234" s="2">
        <v>45903</v>
      </c>
      <c r="F234" t="s">
        <v>1017</v>
      </c>
      <c r="G234" t="s">
        <v>1137</v>
      </c>
      <c r="H234" t="s">
        <v>1274</v>
      </c>
      <c r="I234" t="s">
        <v>1287</v>
      </c>
      <c r="J234" t="s">
        <v>1297</v>
      </c>
      <c r="K234" t="s">
        <v>1304</v>
      </c>
      <c r="L234" t="s">
        <v>1307</v>
      </c>
      <c r="M234" t="s">
        <v>1315</v>
      </c>
      <c r="N234">
        <v>3</v>
      </c>
      <c r="O234">
        <v>0.2</v>
      </c>
      <c r="P234">
        <v>4190</v>
      </c>
      <c r="Q234">
        <v>568.28</v>
      </c>
      <c r="R234" t="s">
        <v>1332</v>
      </c>
      <c r="S234" t="b">
        <f t="shared" si="12"/>
        <v>0</v>
      </c>
      <c r="T234" t="b">
        <f t="shared" si="13"/>
        <v>0</v>
      </c>
      <c r="U234" t="b">
        <f t="shared" si="14"/>
        <v>0</v>
      </c>
    </row>
    <row r="235" spans="1:21" x14ac:dyDescent="0.3">
      <c r="A235">
        <v>234</v>
      </c>
      <c r="B235" t="s">
        <v>250</v>
      </c>
      <c r="C235" s="2">
        <v>45937</v>
      </c>
      <c r="D235" s="2" t="str">
        <f t="shared" si="15"/>
        <v>Oct-2025</v>
      </c>
      <c r="E235" s="2">
        <v>45940</v>
      </c>
      <c r="F235" t="s">
        <v>1018</v>
      </c>
      <c r="G235" t="s">
        <v>1080</v>
      </c>
      <c r="H235" t="s">
        <v>1270</v>
      </c>
      <c r="I235" t="s">
        <v>1289</v>
      </c>
      <c r="J235" t="s">
        <v>1296</v>
      </c>
      <c r="K235" t="s">
        <v>1304</v>
      </c>
      <c r="L235" t="s">
        <v>1306</v>
      </c>
      <c r="M235" t="s">
        <v>1328</v>
      </c>
      <c r="N235">
        <v>2</v>
      </c>
      <c r="O235">
        <v>0.1</v>
      </c>
      <c r="P235">
        <v>223.25</v>
      </c>
      <c r="Q235">
        <v>58.5</v>
      </c>
      <c r="R235" t="s">
        <v>1333</v>
      </c>
      <c r="S235" t="b">
        <f t="shared" si="12"/>
        <v>0</v>
      </c>
      <c r="T235" t="b">
        <f t="shared" si="13"/>
        <v>0</v>
      </c>
      <c r="U235" t="b">
        <f t="shared" si="14"/>
        <v>0</v>
      </c>
    </row>
    <row r="236" spans="1:21" x14ac:dyDescent="0.3">
      <c r="A236">
        <v>235</v>
      </c>
      <c r="B236" t="s">
        <v>251</v>
      </c>
      <c r="C236" s="2">
        <v>46008</v>
      </c>
      <c r="D236" s="2" t="str">
        <f t="shared" si="15"/>
        <v>Dec-2025</v>
      </c>
      <c r="E236" s="2">
        <v>46013</v>
      </c>
      <c r="F236" t="s">
        <v>1017</v>
      </c>
      <c r="G236" t="s">
        <v>1078</v>
      </c>
      <c r="H236" t="s">
        <v>1286</v>
      </c>
      <c r="I236" t="s">
        <v>1287</v>
      </c>
      <c r="J236" t="s">
        <v>1300</v>
      </c>
      <c r="K236" t="s">
        <v>1305</v>
      </c>
      <c r="L236" t="s">
        <v>1306</v>
      </c>
      <c r="M236" t="s">
        <v>1310</v>
      </c>
      <c r="N236">
        <v>1</v>
      </c>
      <c r="O236">
        <v>0.2</v>
      </c>
      <c r="P236">
        <v>533.80999999999995</v>
      </c>
      <c r="Q236">
        <v>130.81</v>
      </c>
      <c r="R236" t="s">
        <v>1330</v>
      </c>
      <c r="S236" t="b">
        <f t="shared" si="12"/>
        <v>0</v>
      </c>
      <c r="T236" t="b">
        <f t="shared" si="13"/>
        <v>0</v>
      </c>
      <c r="U236" t="b">
        <f t="shared" si="14"/>
        <v>0</v>
      </c>
    </row>
    <row r="237" spans="1:21" x14ac:dyDescent="0.3">
      <c r="A237">
        <v>236</v>
      </c>
      <c r="B237" t="s">
        <v>252</v>
      </c>
      <c r="C237" s="2">
        <v>45960</v>
      </c>
      <c r="D237" s="2" t="str">
        <f t="shared" si="15"/>
        <v>Oct-2025</v>
      </c>
      <c r="E237" s="2">
        <v>45964</v>
      </c>
      <c r="F237" t="s">
        <v>1018</v>
      </c>
      <c r="G237" t="s">
        <v>1166</v>
      </c>
      <c r="H237" t="s">
        <v>1279</v>
      </c>
      <c r="I237" t="s">
        <v>1289</v>
      </c>
      <c r="J237" t="s">
        <v>1297</v>
      </c>
      <c r="K237" t="s">
        <v>1304</v>
      </c>
      <c r="L237" t="s">
        <v>1309</v>
      </c>
      <c r="M237" t="s">
        <v>1320</v>
      </c>
      <c r="N237">
        <v>1</v>
      </c>
      <c r="O237">
        <v>0</v>
      </c>
      <c r="P237">
        <v>1254.97</v>
      </c>
      <c r="Q237">
        <v>457.8</v>
      </c>
      <c r="R237" t="s">
        <v>1333</v>
      </c>
      <c r="S237" t="b">
        <f t="shared" si="12"/>
        <v>0</v>
      </c>
      <c r="T237" t="b">
        <f t="shared" si="13"/>
        <v>0</v>
      </c>
      <c r="U237" t="b">
        <f t="shared" si="14"/>
        <v>0</v>
      </c>
    </row>
    <row r="238" spans="1:21" x14ac:dyDescent="0.3">
      <c r="A238">
        <v>237</v>
      </c>
      <c r="B238" t="s">
        <v>253</v>
      </c>
      <c r="C238" s="2">
        <v>45842</v>
      </c>
      <c r="D238" s="2" t="str">
        <f t="shared" si="15"/>
        <v>Jul-2025</v>
      </c>
      <c r="E238" s="2">
        <v>45845</v>
      </c>
      <c r="F238" t="s">
        <v>1017</v>
      </c>
      <c r="G238" t="s">
        <v>1167</v>
      </c>
      <c r="H238" t="s">
        <v>1282</v>
      </c>
      <c r="I238" t="s">
        <v>1288</v>
      </c>
      <c r="J238" t="s">
        <v>1294</v>
      </c>
      <c r="K238" t="s">
        <v>1305</v>
      </c>
      <c r="L238" t="s">
        <v>1306</v>
      </c>
      <c r="M238" t="s">
        <v>1310</v>
      </c>
      <c r="N238">
        <v>1</v>
      </c>
      <c r="O238">
        <v>0.05</v>
      </c>
      <c r="P238">
        <v>648.35</v>
      </c>
      <c r="Q238">
        <v>192.6</v>
      </c>
      <c r="R238" t="s">
        <v>1331</v>
      </c>
      <c r="S238" t="b">
        <f t="shared" si="12"/>
        <v>0</v>
      </c>
      <c r="T238" t="b">
        <f t="shared" si="13"/>
        <v>0</v>
      </c>
      <c r="U238" t="b">
        <f t="shared" si="14"/>
        <v>0</v>
      </c>
    </row>
    <row r="239" spans="1:21" x14ac:dyDescent="0.3">
      <c r="A239">
        <v>238</v>
      </c>
      <c r="B239" t="s">
        <v>254</v>
      </c>
      <c r="C239" s="2">
        <v>45796</v>
      </c>
      <c r="D239" s="2" t="str">
        <f t="shared" si="15"/>
        <v>May-2025</v>
      </c>
      <c r="E239" s="2">
        <v>45798</v>
      </c>
      <c r="F239" t="s">
        <v>1019</v>
      </c>
      <c r="G239" t="s">
        <v>1168</v>
      </c>
      <c r="H239" t="s">
        <v>1273</v>
      </c>
      <c r="I239" t="s">
        <v>1287</v>
      </c>
      <c r="J239" t="s">
        <v>1290</v>
      </c>
      <c r="K239" t="s">
        <v>1302</v>
      </c>
      <c r="L239" t="s">
        <v>1306</v>
      </c>
      <c r="M239" t="s">
        <v>1328</v>
      </c>
      <c r="N239">
        <v>1</v>
      </c>
      <c r="O239">
        <v>0.1</v>
      </c>
      <c r="P239">
        <v>107.8</v>
      </c>
      <c r="Q239">
        <v>24.72</v>
      </c>
      <c r="R239" t="s">
        <v>1333</v>
      </c>
      <c r="S239" t="b">
        <f t="shared" si="12"/>
        <v>0</v>
      </c>
      <c r="T239" t="b">
        <f t="shared" si="13"/>
        <v>0</v>
      </c>
      <c r="U239" t="b">
        <f t="shared" si="14"/>
        <v>0</v>
      </c>
    </row>
    <row r="240" spans="1:21" x14ac:dyDescent="0.3">
      <c r="A240">
        <v>239</v>
      </c>
      <c r="B240" t="s">
        <v>255</v>
      </c>
      <c r="C240" s="2">
        <v>45761</v>
      </c>
      <c r="D240" s="2" t="str">
        <f t="shared" si="15"/>
        <v>Apr-2025</v>
      </c>
      <c r="E240" s="2">
        <v>45764</v>
      </c>
      <c r="F240" t="s">
        <v>1017</v>
      </c>
      <c r="G240" t="s">
        <v>1169</v>
      </c>
      <c r="H240" t="s">
        <v>1275</v>
      </c>
      <c r="I240" t="s">
        <v>1287</v>
      </c>
      <c r="J240" t="s">
        <v>1299</v>
      </c>
      <c r="K240" t="s">
        <v>1304</v>
      </c>
      <c r="L240" t="s">
        <v>1306</v>
      </c>
      <c r="M240" t="s">
        <v>1324</v>
      </c>
      <c r="N240">
        <v>4</v>
      </c>
      <c r="O240">
        <v>0.2</v>
      </c>
      <c r="P240">
        <v>296.74</v>
      </c>
      <c r="Q240">
        <v>64.75</v>
      </c>
      <c r="R240" t="s">
        <v>1331</v>
      </c>
      <c r="S240" t="b">
        <f t="shared" si="12"/>
        <v>0</v>
      </c>
      <c r="T240" t="b">
        <f t="shared" si="13"/>
        <v>0</v>
      </c>
      <c r="U240" t="b">
        <f t="shared" si="14"/>
        <v>0</v>
      </c>
    </row>
    <row r="241" spans="1:21" x14ac:dyDescent="0.3">
      <c r="A241">
        <v>240</v>
      </c>
      <c r="B241" t="s">
        <v>256</v>
      </c>
      <c r="C241" s="2">
        <v>45706</v>
      </c>
      <c r="D241" s="2" t="str">
        <f t="shared" si="15"/>
        <v>Feb-2025</v>
      </c>
      <c r="E241" s="2">
        <v>45710</v>
      </c>
      <c r="F241" t="s">
        <v>1017</v>
      </c>
      <c r="G241" t="s">
        <v>1170</v>
      </c>
      <c r="H241" t="s">
        <v>1267</v>
      </c>
      <c r="I241" t="s">
        <v>1287</v>
      </c>
      <c r="J241" t="s">
        <v>1297</v>
      </c>
      <c r="K241" t="s">
        <v>1304</v>
      </c>
      <c r="L241" t="s">
        <v>1309</v>
      </c>
      <c r="M241" t="s">
        <v>1313</v>
      </c>
      <c r="N241">
        <v>1</v>
      </c>
      <c r="O241">
        <v>0</v>
      </c>
      <c r="P241">
        <v>1524.64</v>
      </c>
      <c r="Q241">
        <v>464.75</v>
      </c>
      <c r="R241" t="s">
        <v>1333</v>
      </c>
      <c r="S241" t="b">
        <f t="shared" si="12"/>
        <v>0</v>
      </c>
      <c r="T241" t="b">
        <f t="shared" si="13"/>
        <v>0</v>
      </c>
      <c r="U241" t="b">
        <f t="shared" si="14"/>
        <v>0</v>
      </c>
    </row>
    <row r="242" spans="1:21" x14ac:dyDescent="0.3">
      <c r="A242">
        <v>241</v>
      </c>
      <c r="B242" t="s">
        <v>257</v>
      </c>
      <c r="C242" s="2">
        <v>45735</v>
      </c>
      <c r="D242" s="2" t="str">
        <f t="shared" si="15"/>
        <v>Mar-2025</v>
      </c>
      <c r="E242" s="2">
        <v>45737</v>
      </c>
      <c r="F242" t="s">
        <v>1017</v>
      </c>
      <c r="G242" t="s">
        <v>1171</v>
      </c>
      <c r="H242" t="s">
        <v>1272</v>
      </c>
      <c r="I242" t="s">
        <v>1288</v>
      </c>
      <c r="J242" t="s">
        <v>1293</v>
      </c>
      <c r="K242" t="s">
        <v>1304</v>
      </c>
      <c r="L242" t="s">
        <v>1306</v>
      </c>
      <c r="M242" t="s">
        <v>1324</v>
      </c>
      <c r="N242">
        <v>1</v>
      </c>
      <c r="O242">
        <v>0.15</v>
      </c>
      <c r="P242">
        <v>77.39</v>
      </c>
      <c r="Q242">
        <v>6.41</v>
      </c>
      <c r="R242" t="s">
        <v>1333</v>
      </c>
      <c r="S242" t="b">
        <f t="shared" si="12"/>
        <v>0</v>
      </c>
      <c r="T242" t="b">
        <f t="shared" si="13"/>
        <v>0</v>
      </c>
      <c r="U242" t="b">
        <f t="shared" si="14"/>
        <v>0</v>
      </c>
    </row>
    <row r="243" spans="1:21" x14ac:dyDescent="0.3">
      <c r="A243">
        <v>242</v>
      </c>
      <c r="B243" t="s">
        <v>258</v>
      </c>
      <c r="C243" s="2">
        <v>45670</v>
      </c>
      <c r="D243" s="2" t="str">
        <f t="shared" si="15"/>
        <v>Jan-2025</v>
      </c>
      <c r="E243" s="2">
        <v>45673</v>
      </c>
      <c r="F243" t="s">
        <v>1018</v>
      </c>
      <c r="G243" t="s">
        <v>1126</v>
      </c>
      <c r="H243" t="s">
        <v>1276</v>
      </c>
      <c r="I243" t="s">
        <v>1288</v>
      </c>
      <c r="J243" t="s">
        <v>1299</v>
      </c>
      <c r="K243" t="s">
        <v>1304</v>
      </c>
      <c r="L243" t="s">
        <v>1306</v>
      </c>
      <c r="M243" t="s">
        <v>1310</v>
      </c>
      <c r="N243">
        <v>1</v>
      </c>
      <c r="O243">
        <v>0.1</v>
      </c>
      <c r="P243">
        <v>611.47</v>
      </c>
      <c r="Q243">
        <v>179</v>
      </c>
      <c r="R243" t="s">
        <v>1332</v>
      </c>
      <c r="S243" t="b">
        <f t="shared" si="12"/>
        <v>0</v>
      </c>
      <c r="T243" t="b">
        <f t="shared" si="13"/>
        <v>0</v>
      </c>
      <c r="U243" t="b">
        <f t="shared" si="14"/>
        <v>0</v>
      </c>
    </row>
    <row r="244" spans="1:21" x14ac:dyDescent="0.3">
      <c r="A244">
        <v>243</v>
      </c>
      <c r="B244" t="s">
        <v>259</v>
      </c>
      <c r="C244" s="2">
        <v>45771</v>
      </c>
      <c r="D244" s="2" t="str">
        <f t="shared" si="15"/>
        <v>Apr-2025</v>
      </c>
      <c r="E244" s="2">
        <v>45774</v>
      </c>
      <c r="F244" t="s">
        <v>1017</v>
      </c>
      <c r="G244" t="s">
        <v>1039</v>
      </c>
      <c r="H244" t="s">
        <v>1275</v>
      </c>
      <c r="I244" t="s">
        <v>1287</v>
      </c>
      <c r="J244" t="s">
        <v>1294</v>
      </c>
      <c r="K244" t="s">
        <v>1305</v>
      </c>
      <c r="L244" t="s">
        <v>1306</v>
      </c>
      <c r="M244" t="s">
        <v>1321</v>
      </c>
      <c r="N244">
        <v>3</v>
      </c>
      <c r="O244">
        <v>0.05</v>
      </c>
      <c r="P244">
        <v>1298.92</v>
      </c>
      <c r="Q244">
        <v>395.09</v>
      </c>
      <c r="R244" t="s">
        <v>1331</v>
      </c>
      <c r="S244" t="b">
        <f t="shared" si="12"/>
        <v>0</v>
      </c>
      <c r="T244" t="b">
        <f t="shared" si="13"/>
        <v>0</v>
      </c>
      <c r="U244" t="b">
        <f t="shared" si="14"/>
        <v>0</v>
      </c>
    </row>
    <row r="245" spans="1:21" x14ac:dyDescent="0.3">
      <c r="A245">
        <v>244</v>
      </c>
      <c r="B245" t="s">
        <v>260</v>
      </c>
      <c r="C245" s="2">
        <v>45991</v>
      </c>
      <c r="D245" s="2" t="str">
        <f t="shared" si="15"/>
        <v>Nov-2025</v>
      </c>
      <c r="E245" s="2">
        <v>45996</v>
      </c>
      <c r="F245" t="s">
        <v>1017</v>
      </c>
      <c r="G245" t="s">
        <v>1137</v>
      </c>
      <c r="H245" t="s">
        <v>1279</v>
      </c>
      <c r="I245" t="s">
        <v>1288</v>
      </c>
      <c r="J245" t="s">
        <v>1299</v>
      </c>
      <c r="K245" t="s">
        <v>1304</v>
      </c>
      <c r="L245" t="s">
        <v>1309</v>
      </c>
      <c r="M245" t="s">
        <v>1313</v>
      </c>
      <c r="N245">
        <v>4</v>
      </c>
      <c r="O245">
        <v>0.1</v>
      </c>
      <c r="P245">
        <v>5163.47</v>
      </c>
      <c r="Q245">
        <v>506.07</v>
      </c>
      <c r="R245" t="s">
        <v>1331</v>
      </c>
      <c r="S245" t="b">
        <f t="shared" si="12"/>
        <v>0</v>
      </c>
      <c r="T245" t="b">
        <f t="shared" si="13"/>
        <v>0</v>
      </c>
      <c r="U245" t="b">
        <f t="shared" si="14"/>
        <v>0</v>
      </c>
    </row>
    <row r="246" spans="1:21" x14ac:dyDescent="0.3">
      <c r="A246">
        <v>245</v>
      </c>
      <c r="B246" t="s">
        <v>261</v>
      </c>
      <c r="C246" s="2">
        <v>45736</v>
      </c>
      <c r="D246" s="2" t="str">
        <f t="shared" si="15"/>
        <v>Mar-2025</v>
      </c>
      <c r="E246" s="2">
        <v>45739</v>
      </c>
      <c r="F246" t="s">
        <v>1019</v>
      </c>
      <c r="G246" t="s">
        <v>1080</v>
      </c>
      <c r="H246" t="s">
        <v>1269</v>
      </c>
      <c r="I246" t="s">
        <v>1289</v>
      </c>
      <c r="J246" t="s">
        <v>1299</v>
      </c>
      <c r="K246" t="s">
        <v>1304</v>
      </c>
      <c r="L246" t="s">
        <v>1309</v>
      </c>
      <c r="M246" t="s">
        <v>1313</v>
      </c>
      <c r="N246">
        <v>2</v>
      </c>
      <c r="O246">
        <v>0.15</v>
      </c>
      <c r="P246">
        <v>2621</v>
      </c>
      <c r="Q246">
        <v>401.82</v>
      </c>
      <c r="R246" t="s">
        <v>1330</v>
      </c>
      <c r="S246" t="b">
        <f t="shared" si="12"/>
        <v>0</v>
      </c>
      <c r="T246" t="b">
        <f t="shared" si="13"/>
        <v>0</v>
      </c>
      <c r="U246" t="b">
        <f t="shared" si="14"/>
        <v>0</v>
      </c>
    </row>
    <row r="247" spans="1:21" x14ac:dyDescent="0.3">
      <c r="A247">
        <v>246</v>
      </c>
      <c r="B247" t="s">
        <v>262</v>
      </c>
      <c r="C247" s="2">
        <v>45982</v>
      </c>
      <c r="D247" s="2" t="str">
        <f t="shared" si="15"/>
        <v>Nov-2025</v>
      </c>
      <c r="E247" s="2">
        <v>45986</v>
      </c>
      <c r="F247" t="s">
        <v>1018</v>
      </c>
      <c r="G247" t="s">
        <v>1172</v>
      </c>
      <c r="H247" t="s">
        <v>1275</v>
      </c>
      <c r="I247" t="s">
        <v>1287</v>
      </c>
      <c r="J247" t="s">
        <v>1295</v>
      </c>
      <c r="K247" t="s">
        <v>1305</v>
      </c>
      <c r="L247" t="s">
        <v>1309</v>
      </c>
      <c r="M247" t="s">
        <v>1320</v>
      </c>
      <c r="N247">
        <v>1</v>
      </c>
      <c r="O247">
        <v>0.25</v>
      </c>
      <c r="P247">
        <v>890.58</v>
      </c>
      <c r="Q247">
        <v>-29.74</v>
      </c>
      <c r="R247" t="s">
        <v>1331</v>
      </c>
      <c r="S247" t="b">
        <f t="shared" si="12"/>
        <v>0</v>
      </c>
      <c r="T247" t="b">
        <f t="shared" si="13"/>
        <v>0</v>
      </c>
      <c r="U247" t="b">
        <f t="shared" si="14"/>
        <v>0</v>
      </c>
    </row>
    <row r="248" spans="1:21" x14ac:dyDescent="0.3">
      <c r="A248">
        <v>247</v>
      </c>
      <c r="B248" t="s">
        <v>263</v>
      </c>
      <c r="C248" s="2">
        <v>45781</v>
      </c>
      <c r="D248" s="2" t="str">
        <f t="shared" si="15"/>
        <v>May-2025</v>
      </c>
      <c r="E248" s="2">
        <v>45783</v>
      </c>
      <c r="F248" t="s">
        <v>1017</v>
      </c>
      <c r="G248" t="s">
        <v>1173</v>
      </c>
      <c r="H248" t="s">
        <v>1271</v>
      </c>
      <c r="I248" t="s">
        <v>1289</v>
      </c>
      <c r="J248" t="s">
        <v>1293</v>
      </c>
      <c r="K248" t="s">
        <v>1304</v>
      </c>
      <c r="L248" t="s">
        <v>1309</v>
      </c>
      <c r="M248" t="s">
        <v>1325</v>
      </c>
      <c r="N248">
        <v>2</v>
      </c>
      <c r="O248">
        <v>0.05</v>
      </c>
      <c r="P248">
        <v>2514.94</v>
      </c>
      <c r="Q248">
        <v>829.39</v>
      </c>
      <c r="R248" t="s">
        <v>1331</v>
      </c>
      <c r="S248" t="b">
        <f t="shared" si="12"/>
        <v>0</v>
      </c>
      <c r="T248" t="b">
        <f t="shared" si="13"/>
        <v>0</v>
      </c>
      <c r="U248" t="b">
        <f t="shared" si="14"/>
        <v>0</v>
      </c>
    </row>
    <row r="249" spans="1:21" x14ac:dyDescent="0.3">
      <c r="A249">
        <v>248</v>
      </c>
      <c r="B249" t="s">
        <v>264</v>
      </c>
      <c r="C249" s="2">
        <v>45966</v>
      </c>
      <c r="D249" s="2" t="str">
        <f t="shared" si="15"/>
        <v>Nov-2025</v>
      </c>
      <c r="E249" s="2">
        <v>45968</v>
      </c>
      <c r="F249" t="s">
        <v>1017</v>
      </c>
      <c r="G249" t="s">
        <v>1099</v>
      </c>
      <c r="H249" t="s">
        <v>1277</v>
      </c>
      <c r="I249" t="s">
        <v>1288</v>
      </c>
      <c r="J249" t="s">
        <v>1296</v>
      </c>
      <c r="K249" t="s">
        <v>1304</v>
      </c>
      <c r="L249" t="s">
        <v>1309</v>
      </c>
      <c r="M249" t="s">
        <v>1313</v>
      </c>
      <c r="N249">
        <v>2</v>
      </c>
      <c r="O249">
        <v>0.1</v>
      </c>
      <c r="P249">
        <v>2753.19</v>
      </c>
      <c r="Q249">
        <v>670.62</v>
      </c>
      <c r="R249" t="s">
        <v>1333</v>
      </c>
      <c r="S249" t="b">
        <f t="shared" si="12"/>
        <v>0</v>
      </c>
      <c r="T249" t="b">
        <f t="shared" si="13"/>
        <v>0</v>
      </c>
      <c r="U249" t="b">
        <f t="shared" si="14"/>
        <v>0</v>
      </c>
    </row>
    <row r="250" spans="1:21" x14ac:dyDescent="0.3">
      <c r="A250">
        <v>249</v>
      </c>
      <c r="B250" t="s">
        <v>265</v>
      </c>
      <c r="C250" s="2">
        <v>45740</v>
      </c>
      <c r="D250" s="2" t="str">
        <f t="shared" si="15"/>
        <v>Mar-2025</v>
      </c>
      <c r="E250" s="2">
        <v>45742</v>
      </c>
      <c r="F250" t="s">
        <v>1017</v>
      </c>
      <c r="G250" t="s">
        <v>1048</v>
      </c>
      <c r="H250" t="s">
        <v>1268</v>
      </c>
      <c r="I250" t="s">
        <v>1287</v>
      </c>
      <c r="J250" t="s">
        <v>1291</v>
      </c>
      <c r="K250" t="s">
        <v>1302</v>
      </c>
      <c r="L250" t="s">
        <v>1306</v>
      </c>
      <c r="M250" t="s">
        <v>1321</v>
      </c>
      <c r="N250">
        <v>1</v>
      </c>
      <c r="O250">
        <v>0</v>
      </c>
      <c r="P250">
        <v>447.71</v>
      </c>
      <c r="Q250">
        <v>113.61</v>
      </c>
      <c r="R250" t="s">
        <v>1332</v>
      </c>
      <c r="S250" t="b">
        <f t="shared" si="12"/>
        <v>0</v>
      </c>
      <c r="T250" t="b">
        <f t="shared" si="13"/>
        <v>0</v>
      </c>
      <c r="U250" t="b">
        <f t="shared" si="14"/>
        <v>0</v>
      </c>
    </row>
    <row r="251" spans="1:21" x14ac:dyDescent="0.3">
      <c r="A251">
        <v>250</v>
      </c>
      <c r="B251" t="s">
        <v>266</v>
      </c>
      <c r="C251" s="2">
        <v>45664</v>
      </c>
      <c r="D251" s="2" t="str">
        <f t="shared" si="15"/>
        <v>Jan-2025</v>
      </c>
      <c r="E251" s="2">
        <v>45665</v>
      </c>
      <c r="F251" t="s">
        <v>1017</v>
      </c>
      <c r="G251" t="s">
        <v>1099</v>
      </c>
      <c r="H251" t="s">
        <v>1280</v>
      </c>
      <c r="I251" t="s">
        <v>1288</v>
      </c>
      <c r="J251" t="s">
        <v>1291</v>
      </c>
      <c r="K251" t="s">
        <v>1302</v>
      </c>
      <c r="L251" t="s">
        <v>1308</v>
      </c>
      <c r="M251" t="s">
        <v>1318</v>
      </c>
      <c r="N251">
        <v>2</v>
      </c>
      <c r="O251">
        <v>0.05</v>
      </c>
      <c r="P251">
        <v>10491.97</v>
      </c>
      <c r="Q251">
        <v>1606.35</v>
      </c>
      <c r="R251" t="s">
        <v>1332</v>
      </c>
      <c r="S251" t="b">
        <f t="shared" si="12"/>
        <v>0</v>
      </c>
      <c r="T251" t="b">
        <f t="shared" si="13"/>
        <v>0</v>
      </c>
      <c r="U251" t="b">
        <f t="shared" si="14"/>
        <v>0</v>
      </c>
    </row>
    <row r="252" spans="1:21" x14ac:dyDescent="0.3">
      <c r="A252">
        <v>251</v>
      </c>
      <c r="B252" t="s">
        <v>267</v>
      </c>
      <c r="C252" s="2">
        <v>45901</v>
      </c>
      <c r="D252" s="2" t="str">
        <f t="shared" si="15"/>
        <v>Sep-2025</v>
      </c>
      <c r="E252" s="2">
        <v>45904</v>
      </c>
      <c r="F252" t="s">
        <v>1018</v>
      </c>
      <c r="G252" t="s">
        <v>1174</v>
      </c>
      <c r="H252" t="s">
        <v>1279</v>
      </c>
      <c r="I252" t="s">
        <v>1287</v>
      </c>
      <c r="J252" t="s">
        <v>1295</v>
      </c>
      <c r="K252" t="s">
        <v>1305</v>
      </c>
      <c r="L252" t="s">
        <v>1309</v>
      </c>
      <c r="M252" t="s">
        <v>1317</v>
      </c>
      <c r="N252">
        <v>1</v>
      </c>
      <c r="O252">
        <v>0.1</v>
      </c>
      <c r="P252">
        <v>689.21</v>
      </c>
      <c r="Q252">
        <v>64.84</v>
      </c>
      <c r="R252" t="s">
        <v>1330</v>
      </c>
      <c r="S252" t="b">
        <f t="shared" si="12"/>
        <v>0</v>
      </c>
      <c r="T252" t="b">
        <f t="shared" si="13"/>
        <v>0</v>
      </c>
      <c r="U252" t="b">
        <f t="shared" si="14"/>
        <v>0</v>
      </c>
    </row>
    <row r="253" spans="1:21" x14ac:dyDescent="0.3">
      <c r="A253">
        <v>252</v>
      </c>
      <c r="B253" t="s">
        <v>268</v>
      </c>
      <c r="C253" s="2">
        <v>45825</v>
      </c>
      <c r="D253" s="2" t="str">
        <f t="shared" si="15"/>
        <v>Jun-2025</v>
      </c>
      <c r="E253" s="2">
        <v>45826</v>
      </c>
      <c r="F253" t="s">
        <v>1019</v>
      </c>
      <c r="G253" t="s">
        <v>1175</v>
      </c>
      <c r="H253" t="s">
        <v>1277</v>
      </c>
      <c r="I253" t="s">
        <v>1287</v>
      </c>
      <c r="J253" t="s">
        <v>1294</v>
      </c>
      <c r="K253" t="s">
        <v>1305</v>
      </c>
      <c r="L253" t="s">
        <v>1309</v>
      </c>
      <c r="M253" t="s">
        <v>1329</v>
      </c>
      <c r="N253">
        <v>3</v>
      </c>
      <c r="O253">
        <v>0.15</v>
      </c>
      <c r="P253">
        <v>4996.62</v>
      </c>
      <c r="Q253">
        <v>1407.49</v>
      </c>
      <c r="R253" t="s">
        <v>1331</v>
      </c>
      <c r="S253" t="b">
        <f t="shared" si="12"/>
        <v>0</v>
      </c>
      <c r="T253" t="b">
        <f t="shared" si="13"/>
        <v>0</v>
      </c>
      <c r="U253" t="b">
        <f t="shared" si="14"/>
        <v>0</v>
      </c>
    </row>
    <row r="254" spans="1:21" x14ac:dyDescent="0.3">
      <c r="A254">
        <v>253</v>
      </c>
      <c r="B254" t="s">
        <v>269</v>
      </c>
      <c r="C254" s="2">
        <v>45988</v>
      </c>
      <c r="D254" s="2" t="str">
        <f t="shared" si="15"/>
        <v>Nov-2025</v>
      </c>
      <c r="E254" s="2">
        <v>45990</v>
      </c>
      <c r="F254" t="s">
        <v>1018</v>
      </c>
      <c r="G254" t="s">
        <v>1154</v>
      </c>
      <c r="H254" t="s">
        <v>1272</v>
      </c>
      <c r="I254" t="s">
        <v>1287</v>
      </c>
      <c r="J254" t="s">
        <v>1293</v>
      </c>
      <c r="K254" t="s">
        <v>1304</v>
      </c>
      <c r="L254" t="s">
        <v>1309</v>
      </c>
      <c r="M254" t="s">
        <v>1329</v>
      </c>
      <c r="N254">
        <v>3</v>
      </c>
      <c r="O254">
        <v>0.1</v>
      </c>
      <c r="P254">
        <v>5061.7700000000004</v>
      </c>
      <c r="Q254">
        <v>1150.17</v>
      </c>
      <c r="R254" t="s">
        <v>1331</v>
      </c>
      <c r="S254" t="b">
        <f t="shared" si="12"/>
        <v>0</v>
      </c>
      <c r="T254" t="b">
        <f t="shared" si="13"/>
        <v>0</v>
      </c>
      <c r="U254" t="b">
        <f t="shared" si="14"/>
        <v>0</v>
      </c>
    </row>
    <row r="255" spans="1:21" x14ac:dyDescent="0.3">
      <c r="A255">
        <v>254</v>
      </c>
      <c r="B255" t="s">
        <v>270</v>
      </c>
      <c r="C255" s="2">
        <v>45748</v>
      </c>
      <c r="D255" s="2" t="str">
        <f t="shared" si="15"/>
        <v>Apr-2025</v>
      </c>
      <c r="E255" s="2">
        <v>45751</v>
      </c>
      <c r="F255" t="s">
        <v>1017</v>
      </c>
      <c r="G255" t="s">
        <v>1176</v>
      </c>
      <c r="H255" t="s">
        <v>1274</v>
      </c>
      <c r="I255" t="s">
        <v>1287</v>
      </c>
      <c r="J255" t="s">
        <v>1295</v>
      </c>
      <c r="K255" t="s">
        <v>1305</v>
      </c>
      <c r="L255" t="s">
        <v>1307</v>
      </c>
      <c r="M255" t="s">
        <v>1322</v>
      </c>
      <c r="N255">
        <v>2</v>
      </c>
      <c r="O255">
        <v>0.05</v>
      </c>
      <c r="P255">
        <v>1364.06</v>
      </c>
      <c r="Q255">
        <v>377.77</v>
      </c>
      <c r="R255" t="s">
        <v>1331</v>
      </c>
      <c r="S255" t="b">
        <f t="shared" si="12"/>
        <v>0</v>
      </c>
      <c r="T255" t="b">
        <f t="shared" si="13"/>
        <v>0</v>
      </c>
      <c r="U255" t="b">
        <f t="shared" si="14"/>
        <v>0</v>
      </c>
    </row>
    <row r="256" spans="1:21" x14ac:dyDescent="0.3">
      <c r="A256">
        <v>255</v>
      </c>
      <c r="B256" t="s">
        <v>271</v>
      </c>
      <c r="C256" s="2">
        <v>45715</v>
      </c>
      <c r="D256" s="2" t="str">
        <f t="shared" si="15"/>
        <v>Feb-2025</v>
      </c>
      <c r="E256" s="2">
        <v>45718</v>
      </c>
      <c r="F256" t="s">
        <v>1017</v>
      </c>
      <c r="G256" t="s">
        <v>1177</v>
      </c>
      <c r="H256" t="s">
        <v>1281</v>
      </c>
      <c r="I256" t="s">
        <v>1289</v>
      </c>
      <c r="J256" t="s">
        <v>1293</v>
      </c>
      <c r="K256" t="s">
        <v>1304</v>
      </c>
      <c r="L256" t="s">
        <v>1307</v>
      </c>
      <c r="M256" t="s">
        <v>1316</v>
      </c>
      <c r="N256">
        <v>3</v>
      </c>
      <c r="O256">
        <v>0.1</v>
      </c>
      <c r="P256">
        <v>1365.89</v>
      </c>
      <c r="Q256">
        <v>188.16</v>
      </c>
      <c r="R256" t="s">
        <v>1331</v>
      </c>
      <c r="S256" t="b">
        <f t="shared" si="12"/>
        <v>0</v>
      </c>
      <c r="T256" t="b">
        <f t="shared" si="13"/>
        <v>0</v>
      </c>
      <c r="U256" t="b">
        <f t="shared" si="14"/>
        <v>0</v>
      </c>
    </row>
    <row r="257" spans="1:21" x14ac:dyDescent="0.3">
      <c r="A257">
        <v>256</v>
      </c>
      <c r="B257" t="s">
        <v>272</v>
      </c>
      <c r="C257" s="2">
        <v>45913</v>
      </c>
      <c r="D257" s="2" t="str">
        <f t="shared" si="15"/>
        <v>Sep-2025</v>
      </c>
      <c r="E257" s="2">
        <v>45918</v>
      </c>
      <c r="F257" t="s">
        <v>1017</v>
      </c>
      <c r="G257" t="s">
        <v>1178</v>
      </c>
      <c r="H257" t="s">
        <v>1267</v>
      </c>
      <c r="I257" t="s">
        <v>1287</v>
      </c>
      <c r="J257" t="s">
        <v>1295</v>
      </c>
      <c r="K257" t="s">
        <v>1305</v>
      </c>
      <c r="L257" t="s">
        <v>1307</v>
      </c>
      <c r="M257" t="s">
        <v>1322</v>
      </c>
      <c r="N257">
        <v>1</v>
      </c>
      <c r="O257">
        <v>0.05</v>
      </c>
      <c r="P257">
        <v>662.03</v>
      </c>
      <c r="Q257">
        <v>224.69</v>
      </c>
      <c r="R257" t="s">
        <v>1332</v>
      </c>
      <c r="S257" t="b">
        <f t="shared" si="12"/>
        <v>0</v>
      </c>
      <c r="T257" t="b">
        <f t="shared" si="13"/>
        <v>0</v>
      </c>
      <c r="U257" t="b">
        <f t="shared" si="14"/>
        <v>0</v>
      </c>
    </row>
    <row r="258" spans="1:21" x14ac:dyDescent="0.3">
      <c r="A258">
        <v>257</v>
      </c>
      <c r="B258" t="s">
        <v>273</v>
      </c>
      <c r="C258" s="2">
        <v>45899</v>
      </c>
      <c r="D258" s="2" t="str">
        <f t="shared" si="15"/>
        <v>Aug-2025</v>
      </c>
      <c r="E258" s="2">
        <v>45902</v>
      </c>
      <c r="F258" t="s">
        <v>1017</v>
      </c>
      <c r="G258" t="s">
        <v>1047</v>
      </c>
      <c r="H258" t="s">
        <v>1277</v>
      </c>
      <c r="I258" t="s">
        <v>1287</v>
      </c>
      <c r="J258" t="s">
        <v>1298</v>
      </c>
      <c r="K258" t="s">
        <v>1303</v>
      </c>
      <c r="L258" t="s">
        <v>1309</v>
      </c>
      <c r="M258" t="s">
        <v>1320</v>
      </c>
      <c r="N258">
        <v>3</v>
      </c>
      <c r="O258">
        <v>0.2</v>
      </c>
      <c r="P258">
        <v>2967.99</v>
      </c>
      <c r="Q258">
        <v>244.96</v>
      </c>
      <c r="R258" t="s">
        <v>1331</v>
      </c>
      <c r="S258" t="b">
        <f t="shared" ref="S258:S321" si="16">E258&lt;C258</f>
        <v>0</v>
      </c>
      <c r="T258" t="b">
        <f t="shared" ref="T258:T321" si="17">N258&lt;=0</f>
        <v>0</v>
      </c>
      <c r="U258" t="b">
        <f t="shared" ref="U258:U321" si="18">OR(O258&lt;0,O258&gt;1)</f>
        <v>0</v>
      </c>
    </row>
    <row r="259" spans="1:21" x14ac:dyDescent="0.3">
      <c r="A259">
        <v>258</v>
      </c>
      <c r="B259" t="s">
        <v>274</v>
      </c>
      <c r="C259" s="2">
        <v>46001</v>
      </c>
      <c r="D259" s="2" t="str">
        <f t="shared" ref="D259:D322" si="19">TEXT(C259,"mmm-yyyy")</f>
        <v>Dec-2025</v>
      </c>
      <c r="E259" s="2">
        <v>46002</v>
      </c>
      <c r="F259" t="s">
        <v>1018</v>
      </c>
      <c r="G259" t="s">
        <v>1179</v>
      </c>
      <c r="H259" t="s">
        <v>1283</v>
      </c>
      <c r="I259" t="s">
        <v>1288</v>
      </c>
      <c r="J259" t="s">
        <v>1298</v>
      </c>
      <c r="K259" t="s">
        <v>1303</v>
      </c>
      <c r="L259" t="s">
        <v>1306</v>
      </c>
      <c r="M259" t="s">
        <v>1323</v>
      </c>
      <c r="N259">
        <v>3</v>
      </c>
      <c r="O259">
        <v>0</v>
      </c>
      <c r="P259">
        <v>557.72</v>
      </c>
      <c r="Q259">
        <v>199.59</v>
      </c>
      <c r="R259" t="s">
        <v>1331</v>
      </c>
      <c r="S259" t="b">
        <f t="shared" si="16"/>
        <v>0</v>
      </c>
      <c r="T259" t="b">
        <f t="shared" si="17"/>
        <v>0</v>
      </c>
      <c r="U259" t="b">
        <f t="shared" si="18"/>
        <v>0</v>
      </c>
    </row>
    <row r="260" spans="1:21" x14ac:dyDescent="0.3">
      <c r="A260">
        <v>259</v>
      </c>
      <c r="B260" t="s">
        <v>275</v>
      </c>
      <c r="C260" s="2">
        <v>45766</v>
      </c>
      <c r="D260" s="2" t="str">
        <f t="shared" si="19"/>
        <v>Apr-2025</v>
      </c>
      <c r="E260" s="2">
        <v>45769</v>
      </c>
      <c r="F260" t="s">
        <v>1018</v>
      </c>
      <c r="G260" t="s">
        <v>1159</v>
      </c>
      <c r="H260" t="s">
        <v>1275</v>
      </c>
      <c r="I260" t="s">
        <v>1287</v>
      </c>
      <c r="J260" t="s">
        <v>1299</v>
      </c>
      <c r="K260" t="s">
        <v>1304</v>
      </c>
      <c r="L260" t="s">
        <v>1309</v>
      </c>
      <c r="M260" t="s">
        <v>1317</v>
      </c>
      <c r="N260">
        <v>1</v>
      </c>
      <c r="O260">
        <v>0.05</v>
      </c>
      <c r="P260">
        <v>747.58</v>
      </c>
      <c r="Q260">
        <v>168.85</v>
      </c>
      <c r="R260" t="s">
        <v>1333</v>
      </c>
      <c r="S260" t="b">
        <f t="shared" si="16"/>
        <v>0</v>
      </c>
      <c r="T260" t="b">
        <f t="shared" si="17"/>
        <v>0</v>
      </c>
      <c r="U260" t="b">
        <f t="shared" si="18"/>
        <v>0</v>
      </c>
    </row>
    <row r="261" spans="1:21" x14ac:dyDescent="0.3">
      <c r="A261">
        <v>260</v>
      </c>
      <c r="B261" t="s">
        <v>276</v>
      </c>
      <c r="C261" s="2">
        <v>45769</v>
      </c>
      <c r="D261" s="2" t="str">
        <f t="shared" si="19"/>
        <v>Apr-2025</v>
      </c>
      <c r="E261" s="2">
        <v>45774</v>
      </c>
      <c r="F261" t="s">
        <v>1018</v>
      </c>
      <c r="G261" t="s">
        <v>1023</v>
      </c>
      <c r="H261" t="s">
        <v>1285</v>
      </c>
      <c r="I261" t="s">
        <v>1287</v>
      </c>
      <c r="J261" t="s">
        <v>1298</v>
      </c>
      <c r="K261" t="s">
        <v>1303</v>
      </c>
      <c r="L261" t="s">
        <v>1306</v>
      </c>
      <c r="M261" t="s">
        <v>1323</v>
      </c>
      <c r="N261">
        <v>2</v>
      </c>
      <c r="O261">
        <v>0.15</v>
      </c>
      <c r="P261">
        <v>295.76</v>
      </c>
      <c r="Q261">
        <v>72.42</v>
      </c>
      <c r="R261" t="s">
        <v>1331</v>
      </c>
      <c r="S261" t="b">
        <f t="shared" si="16"/>
        <v>0</v>
      </c>
      <c r="T261" t="b">
        <f t="shared" si="17"/>
        <v>0</v>
      </c>
      <c r="U261" t="b">
        <f t="shared" si="18"/>
        <v>0</v>
      </c>
    </row>
    <row r="262" spans="1:21" x14ac:dyDescent="0.3">
      <c r="A262">
        <v>261</v>
      </c>
      <c r="B262" t="s">
        <v>277</v>
      </c>
      <c r="C262" s="2">
        <v>45779</v>
      </c>
      <c r="D262" s="2" t="str">
        <f t="shared" si="19"/>
        <v>May-2025</v>
      </c>
      <c r="E262" s="2">
        <v>45781</v>
      </c>
      <c r="F262" t="s">
        <v>1017</v>
      </c>
      <c r="G262" t="s">
        <v>1107</v>
      </c>
      <c r="H262" t="s">
        <v>1281</v>
      </c>
      <c r="I262" t="s">
        <v>1287</v>
      </c>
      <c r="J262" t="s">
        <v>1290</v>
      </c>
      <c r="K262" t="s">
        <v>1302</v>
      </c>
      <c r="L262" t="s">
        <v>1309</v>
      </c>
      <c r="M262" t="s">
        <v>1317</v>
      </c>
      <c r="N262">
        <v>3</v>
      </c>
      <c r="O262">
        <v>0.2</v>
      </c>
      <c r="P262">
        <v>1943.42</v>
      </c>
      <c r="Q262">
        <v>178.2</v>
      </c>
      <c r="R262" t="s">
        <v>1331</v>
      </c>
      <c r="S262" t="b">
        <f t="shared" si="16"/>
        <v>0</v>
      </c>
      <c r="T262" t="b">
        <f t="shared" si="17"/>
        <v>0</v>
      </c>
      <c r="U262" t="b">
        <f t="shared" si="18"/>
        <v>0</v>
      </c>
    </row>
    <row r="263" spans="1:21" x14ac:dyDescent="0.3">
      <c r="A263">
        <v>262</v>
      </c>
      <c r="B263" t="s">
        <v>278</v>
      </c>
      <c r="C263" s="2">
        <v>45729</v>
      </c>
      <c r="D263" s="2" t="str">
        <f t="shared" si="19"/>
        <v>Mar-2025</v>
      </c>
      <c r="E263" s="2">
        <v>45732</v>
      </c>
      <c r="F263" t="s">
        <v>1017</v>
      </c>
      <c r="G263" t="s">
        <v>1054</v>
      </c>
      <c r="H263" t="s">
        <v>1267</v>
      </c>
      <c r="I263" t="s">
        <v>1288</v>
      </c>
      <c r="J263" t="s">
        <v>1301</v>
      </c>
      <c r="K263" t="s">
        <v>1303</v>
      </c>
      <c r="L263" t="s">
        <v>1306</v>
      </c>
      <c r="M263" t="s">
        <v>1321</v>
      </c>
      <c r="N263">
        <v>1</v>
      </c>
      <c r="O263">
        <v>0.25</v>
      </c>
      <c r="P263">
        <v>339.42</v>
      </c>
      <c r="Q263">
        <v>23</v>
      </c>
      <c r="R263" t="s">
        <v>1332</v>
      </c>
      <c r="S263" t="b">
        <f t="shared" si="16"/>
        <v>0</v>
      </c>
      <c r="T263" t="b">
        <f t="shared" si="17"/>
        <v>0</v>
      </c>
      <c r="U263" t="b">
        <f t="shared" si="18"/>
        <v>0</v>
      </c>
    </row>
    <row r="264" spans="1:21" x14ac:dyDescent="0.3">
      <c r="A264">
        <v>263</v>
      </c>
      <c r="B264" t="s">
        <v>279</v>
      </c>
      <c r="C264" s="2">
        <v>45750</v>
      </c>
      <c r="D264" s="2" t="str">
        <f t="shared" si="19"/>
        <v>Apr-2025</v>
      </c>
      <c r="E264" s="2">
        <v>45755</v>
      </c>
      <c r="F264" t="s">
        <v>1019</v>
      </c>
      <c r="G264" t="s">
        <v>1084</v>
      </c>
      <c r="H264" t="s">
        <v>1275</v>
      </c>
      <c r="I264" t="s">
        <v>1287</v>
      </c>
      <c r="J264" t="s">
        <v>1293</v>
      </c>
      <c r="K264" t="s">
        <v>1304</v>
      </c>
      <c r="L264" t="s">
        <v>1309</v>
      </c>
      <c r="M264" t="s">
        <v>1325</v>
      </c>
      <c r="N264">
        <v>2</v>
      </c>
      <c r="O264">
        <v>0.2</v>
      </c>
      <c r="P264">
        <v>2119.27</v>
      </c>
      <c r="Q264">
        <v>250.94</v>
      </c>
      <c r="R264" t="s">
        <v>1331</v>
      </c>
      <c r="S264" t="b">
        <f t="shared" si="16"/>
        <v>0</v>
      </c>
      <c r="T264" t="b">
        <f t="shared" si="17"/>
        <v>0</v>
      </c>
      <c r="U264" t="b">
        <f t="shared" si="18"/>
        <v>0</v>
      </c>
    </row>
    <row r="265" spans="1:21" x14ac:dyDescent="0.3">
      <c r="A265">
        <v>264</v>
      </c>
      <c r="B265" t="s">
        <v>280</v>
      </c>
      <c r="C265" s="2">
        <v>45719</v>
      </c>
      <c r="D265" s="2" t="str">
        <f t="shared" si="19"/>
        <v>Mar-2025</v>
      </c>
      <c r="E265" s="2">
        <v>45720</v>
      </c>
      <c r="F265" t="s">
        <v>1017</v>
      </c>
      <c r="G265" t="s">
        <v>1180</v>
      </c>
      <c r="H265" t="s">
        <v>1281</v>
      </c>
      <c r="I265" t="s">
        <v>1288</v>
      </c>
      <c r="J265" t="s">
        <v>1299</v>
      </c>
      <c r="K265" t="s">
        <v>1304</v>
      </c>
      <c r="L265" t="s">
        <v>1307</v>
      </c>
      <c r="M265" t="s">
        <v>1311</v>
      </c>
      <c r="N265">
        <v>5</v>
      </c>
      <c r="O265">
        <v>0.15</v>
      </c>
      <c r="P265">
        <v>1316.16</v>
      </c>
      <c r="Q265">
        <v>187.96</v>
      </c>
      <c r="R265" t="s">
        <v>1331</v>
      </c>
      <c r="S265" t="b">
        <f t="shared" si="16"/>
        <v>0</v>
      </c>
      <c r="T265" t="b">
        <f t="shared" si="17"/>
        <v>0</v>
      </c>
      <c r="U265" t="b">
        <f t="shared" si="18"/>
        <v>0</v>
      </c>
    </row>
    <row r="266" spans="1:21" x14ac:dyDescent="0.3">
      <c r="A266">
        <v>265</v>
      </c>
      <c r="B266" t="s">
        <v>281</v>
      </c>
      <c r="C266" s="2">
        <v>45743</v>
      </c>
      <c r="D266" s="2" t="str">
        <f t="shared" si="19"/>
        <v>Mar-2025</v>
      </c>
      <c r="E266" s="2">
        <v>45744</v>
      </c>
      <c r="F266" t="s">
        <v>1018</v>
      </c>
      <c r="G266" t="s">
        <v>1181</v>
      </c>
      <c r="H266" t="s">
        <v>1272</v>
      </c>
      <c r="I266" t="s">
        <v>1289</v>
      </c>
      <c r="J266" t="s">
        <v>1294</v>
      </c>
      <c r="K266" t="s">
        <v>1305</v>
      </c>
      <c r="L266" t="s">
        <v>1309</v>
      </c>
      <c r="M266" t="s">
        <v>1313</v>
      </c>
      <c r="N266">
        <v>2</v>
      </c>
      <c r="O266">
        <v>0.2</v>
      </c>
      <c r="P266">
        <v>2394.83</v>
      </c>
      <c r="Q266">
        <v>336.03</v>
      </c>
      <c r="R266" t="s">
        <v>1333</v>
      </c>
      <c r="S266" t="b">
        <f t="shared" si="16"/>
        <v>0</v>
      </c>
      <c r="T266" t="b">
        <f t="shared" si="17"/>
        <v>0</v>
      </c>
      <c r="U266" t="b">
        <f t="shared" si="18"/>
        <v>0</v>
      </c>
    </row>
    <row r="267" spans="1:21" x14ac:dyDescent="0.3">
      <c r="A267">
        <v>266</v>
      </c>
      <c r="B267" t="s">
        <v>282</v>
      </c>
      <c r="C267" s="2">
        <v>45803</v>
      </c>
      <c r="D267" s="2" t="str">
        <f t="shared" si="19"/>
        <v>May-2025</v>
      </c>
      <c r="E267" s="2">
        <v>45806</v>
      </c>
      <c r="F267" t="s">
        <v>1017</v>
      </c>
      <c r="G267" t="s">
        <v>1182</v>
      </c>
      <c r="H267" t="s">
        <v>1285</v>
      </c>
      <c r="I267" t="s">
        <v>1287</v>
      </c>
      <c r="J267" t="s">
        <v>1298</v>
      </c>
      <c r="K267" t="s">
        <v>1303</v>
      </c>
      <c r="L267" t="s">
        <v>1306</v>
      </c>
      <c r="M267" t="s">
        <v>1321</v>
      </c>
      <c r="N267">
        <v>2</v>
      </c>
      <c r="O267">
        <v>0.1</v>
      </c>
      <c r="P267">
        <v>792.25</v>
      </c>
      <c r="Q267">
        <v>196.82</v>
      </c>
      <c r="R267" t="s">
        <v>1332</v>
      </c>
      <c r="S267" t="b">
        <f t="shared" si="16"/>
        <v>0</v>
      </c>
      <c r="T267" t="b">
        <f t="shared" si="17"/>
        <v>0</v>
      </c>
      <c r="U267" t="b">
        <f t="shared" si="18"/>
        <v>0</v>
      </c>
    </row>
    <row r="268" spans="1:21" x14ac:dyDescent="0.3">
      <c r="A268">
        <v>267</v>
      </c>
      <c r="B268" t="s">
        <v>283</v>
      </c>
      <c r="C268" s="2">
        <v>45990</v>
      </c>
      <c r="D268" s="2" t="str">
        <f t="shared" si="19"/>
        <v>Nov-2025</v>
      </c>
      <c r="E268" s="2">
        <v>45995</v>
      </c>
      <c r="F268" t="s">
        <v>1019</v>
      </c>
      <c r="G268" t="s">
        <v>1107</v>
      </c>
      <c r="H268" t="s">
        <v>1267</v>
      </c>
      <c r="I268" t="s">
        <v>1287</v>
      </c>
      <c r="J268" t="s">
        <v>1294</v>
      </c>
      <c r="K268" t="s">
        <v>1305</v>
      </c>
      <c r="L268" t="s">
        <v>1307</v>
      </c>
      <c r="M268" t="s">
        <v>1314</v>
      </c>
      <c r="N268">
        <v>5</v>
      </c>
      <c r="O268">
        <v>0.1</v>
      </c>
      <c r="P268">
        <v>4243.41</v>
      </c>
      <c r="Q268">
        <v>1248.3499999999999</v>
      </c>
      <c r="R268" t="s">
        <v>1331</v>
      </c>
      <c r="S268" t="b">
        <f t="shared" si="16"/>
        <v>0</v>
      </c>
      <c r="T268" t="b">
        <f t="shared" si="17"/>
        <v>0</v>
      </c>
      <c r="U268" t="b">
        <f t="shared" si="18"/>
        <v>0</v>
      </c>
    </row>
    <row r="269" spans="1:21" x14ac:dyDescent="0.3">
      <c r="A269">
        <v>268</v>
      </c>
      <c r="B269" t="s">
        <v>284</v>
      </c>
      <c r="C269" s="2">
        <v>45988</v>
      </c>
      <c r="D269" s="2" t="str">
        <f t="shared" si="19"/>
        <v>Nov-2025</v>
      </c>
      <c r="E269" s="2">
        <v>45990</v>
      </c>
      <c r="F269" t="s">
        <v>1017</v>
      </c>
      <c r="G269" t="s">
        <v>1183</v>
      </c>
      <c r="H269" t="s">
        <v>1275</v>
      </c>
      <c r="I269" t="s">
        <v>1287</v>
      </c>
      <c r="J269" t="s">
        <v>1292</v>
      </c>
      <c r="K269" t="s">
        <v>1303</v>
      </c>
      <c r="L269" t="s">
        <v>1306</v>
      </c>
      <c r="M269" t="s">
        <v>1321</v>
      </c>
      <c r="N269">
        <v>2</v>
      </c>
      <c r="O269">
        <v>0.1</v>
      </c>
      <c r="P269">
        <v>797.85</v>
      </c>
      <c r="Q269">
        <v>72.58</v>
      </c>
      <c r="R269" t="s">
        <v>1332</v>
      </c>
      <c r="S269" t="b">
        <f t="shared" si="16"/>
        <v>0</v>
      </c>
      <c r="T269" t="b">
        <f t="shared" si="17"/>
        <v>0</v>
      </c>
      <c r="U269" t="b">
        <f t="shared" si="18"/>
        <v>0</v>
      </c>
    </row>
    <row r="270" spans="1:21" x14ac:dyDescent="0.3">
      <c r="A270">
        <v>269</v>
      </c>
      <c r="B270" t="s">
        <v>285</v>
      </c>
      <c r="C270" s="2">
        <v>46014</v>
      </c>
      <c r="D270" s="2" t="str">
        <f t="shared" si="19"/>
        <v>Dec-2025</v>
      </c>
      <c r="E270" s="2">
        <v>46019</v>
      </c>
      <c r="F270" t="s">
        <v>1018</v>
      </c>
      <c r="G270" t="s">
        <v>1050</v>
      </c>
      <c r="H270" t="s">
        <v>1273</v>
      </c>
      <c r="I270" t="s">
        <v>1287</v>
      </c>
      <c r="J270" t="s">
        <v>1297</v>
      </c>
      <c r="K270" t="s">
        <v>1304</v>
      </c>
      <c r="L270" t="s">
        <v>1309</v>
      </c>
      <c r="M270" t="s">
        <v>1317</v>
      </c>
      <c r="N270">
        <v>3</v>
      </c>
      <c r="O270">
        <v>0.1</v>
      </c>
      <c r="P270">
        <v>2124.98</v>
      </c>
      <c r="Q270">
        <v>314.06</v>
      </c>
      <c r="R270" t="s">
        <v>1332</v>
      </c>
      <c r="S270" t="b">
        <f t="shared" si="16"/>
        <v>0</v>
      </c>
      <c r="T270" t="b">
        <f t="shared" si="17"/>
        <v>0</v>
      </c>
      <c r="U270" t="b">
        <f t="shared" si="18"/>
        <v>0</v>
      </c>
    </row>
    <row r="271" spans="1:21" x14ac:dyDescent="0.3">
      <c r="A271">
        <v>270</v>
      </c>
      <c r="B271" t="s">
        <v>286</v>
      </c>
      <c r="C271" s="2">
        <v>45872</v>
      </c>
      <c r="D271" s="2" t="str">
        <f t="shared" si="19"/>
        <v>Aug-2025</v>
      </c>
      <c r="E271" s="2">
        <v>45875</v>
      </c>
      <c r="F271" t="s">
        <v>1018</v>
      </c>
      <c r="G271" t="s">
        <v>1160</v>
      </c>
      <c r="H271" t="s">
        <v>1270</v>
      </c>
      <c r="I271" t="s">
        <v>1287</v>
      </c>
      <c r="J271" t="s">
        <v>1294</v>
      </c>
      <c r="K271" t="s">
        <v>1305</v>
      </c>
      <c r="L271" t="s">
        <v>1306</v>
      </c>
      <c r="M271" t="s">
        <v>1324</v>
      </c>
      <c r="N271">
        <v>1</v>
      </c>
      <c r="O271">
        <v>0.05</v>
      </c>
      <c r="P271">
        <v>84.93</v>
      </c>
      <c r="Q271">
        <v>15.19</v>
      </c>
      <c r="R271" t="s">
        <v>1333</v>
      </c>
      <c r="S271" t="b">
        <f t="shared" si="16"/>
        <v>0</v>
      </c>
      <c r="T271" t="b">
        <f t="shared" si="17"/>
        <v>0</v>
      </c>
      <c r="U271" t="b">
        <f t="shared" si="18"/>
        <v>0</v>
      </c>
    </row>
    <row r="272" spans="1:21" x14ac:dyDescent="0.3">
      <c r="A272">
        <v>271</v>
      </c>
      <c r="B272" t="s">
        <v>287</v>
      </c>
      <c r="C272" s="2">
        <v>45751</v>
      </c>
      <c r="D272" s="2" t="str">
        <f t="shared" si="19"/>
        <v>Apr-2025</v>
      </c>
      <c r="E272" s="2">
        <v>45755</v>
      </c>
      <c r="F272" t="s">
        <v>1017</v>
      </c>
      <c r="G272" t="s">
        <v>1135</v>
      </c>
      <c r="H272" t="s">
        <v>1278</v>
      </c>
      <c r="I272" t="s">
        <v>1287</v>
      </c>
      <c r="J272" t="s">
        <v>1294</v>
      </c>
      <c r="K272" t="s">
        <v>1305</v>
      </c>
      <c r="L272" t="s">
        <v>1308</v>
      </c>
      <c r="M272" t="s">
        <v>1319</v>
      </c>
      <c r="N272">
        <v>1</v>
      </c>
      <c r="O272">
        <v>0</v>
      </c>
      <c r="P272">
        <v>4702.18</v>
      </c>
      <c r="Q272">
        <v>1164.8599999999999</v>
      </c>
      <c r="R272" t="s">
        <v>1333</v>
      </c>
      <c r="S272" t="b">
        <f t="shared" si="16"/>
        <v>0</v>
      </c>
      <c r="T272" t="b">
        <f t="shared" si="17"/>
        <v>0</v>
      </c>
      <c r="U272" t="b">
        <f t="shared" si="18"/>
        <v>0</v>
      </c>
    </row>
    <row r="273" spans="1:21" x14ac:dyDescent="0.3">
      <c r="A273">
        <v>272</v>
      </c>
      <c r="B273" t="s">
        <v>288</v>
      </c>
      <c r="C273" s="2">
        <v>45879</v>
      </c>
      <c r="D273" s="2" t="str">
        <f t="shared" si="19"/>
        <v>Aug-2025</v>
      </c>
      <c r="E273" s="2">
        <v>45884</v>
      </c>
      <c r="F273" t="s">
        <v>1017</v>
      </c>
      <c r="G273" t="s">
        <v>1184</v>
      </c>
      <c r="H273" t="s">
        <v>1284</v>
      </c>
      <c r="I273" t="s">
        <v>1287</v>
      </c>
      <c r="J273" t="s">
        <v>1301</v>
      </c>
      <c r="K273" t="s">
        <v>1303</v>
      </c>
      <c r="L273" t="s">
        <v>1306</v>
      </c>
      <c r="M273" t="s">
        <v>1323</v>
      </c>
      <c r="N273">
        <v>2</v>
      </c>
      <c r="O273">
        <v>0.1</v>
      </c>
      <c r="P273">
        <v>318.31</v>
      </c>
      <c r="Q273">
        <v>75.709999999999994</v>
      </c>
      <c r="R273" t="s">
        <v>1333</v>
      </c>
      <c r="S273" t="b">
        <f t="shared" si="16"/>
        <v>0</v>
      </c>
      <c r="T273" t="b">
        <f t="shared" si="17"/>
        <v>0</v>
      </c>
      <c r="U273" t="b">
        <f t="shared" si="18"/>
        <v>0</v>
      </c>
    </row>
    <row r="274" spans="1:21" x14ac:dyDescent="0.3">
      <c r="A274">
        <v>273</v>
      </c>
      <c r="B274" t="s">
        <v>289</v>
      </c>
      <c r="C274" s="2">
        <v>45997</v>
      </c>
      <c r="D274" s="2" t="str">
        <f t="shared" si="19"/>
        <v>Dec-2025</v>
      </c>
      <c r="E274" s="2">
        <v>45999</v>
      </c>
      <c r="F274" t="s">
        <v>1017</v>
      </c>
      <c r="G274" t="s">
        <v>1075</v>
      </c>
      <c r="H274" t="s">
        <v>1273</v>
      </c>
      <c r="I274" t="s">
        <v>1287</v>
      </c>
      <c r="J274" t="s">
        <v>1297</v>
      </c>
      <c r="K274" t="s">
        <v>1304</v>
      </c>
      <c r="L274" t="s">
        <v>1309</v>
      </c>
      <c r="M274" t="s">
        <v>1320</v>
      </c>
      <c r="N274">
        <v>2</v>
      </c>
      <c r="O274">
        <v>0.25</v>
      </c>
      <c r="P274">
        <v>1834.28</v>
      </c>
      <c r="Q274">
        <v>170.86</v>
      </c>
      <c r="R274" t="s">
        <v>1331</v>
      </c>
      <c r="S274" t="b">
        <f t="shared" si="16"/>
        <v>0</v>
      </c>
      <c r="T274" t="b">
        <f t="shared" si="17"/>
        <v>0</v>
      </c>
      <c r="U274" t="b">
        <f t="shared" si="18"/>
        <v>0</v>
      </c>
    </row>
    <row r="275" spans="1:21" x14ac:dyDescent="0.3">
      <c r="A275">
        <v>274</v>
      </c>
      <c r="B275" t="s">
        <v>290</v>
      </c>
      <c r="C275" s="2">
        <v>45833</v>
      </c>
      <c r="D275" s="2" t="str">
        <f t="shared" si="19"/>
        <v>Jun-2025</v>
      </c>
      <c r="E275" s="2">
        <v>45834</v>
      </c>
      <c r="F275" t="s">
        <v>1017</v>
      </c>
      <c r="G275" t="s">
        <v>1072</v>
      </c>
      <c r="H275" t="s">
        <v>1274</v>
      </c>
      <c r="I275" t="s">
        <v>1289</v>
      </c>
      <c r="J275" t="s">
        <v>1298</v>
      </c>
      <c r="K275" t="s">
        <v>1303</v>
      </c>
      <c r="L275" t="s">
        <v>1307</v>
      </c>
      <c r="M275" t="s">
        <v>1322</v>
      </c>
      <c r="N275">
        <v>2</v>
      </c>
      <c r="O275">
        <v>0.2</v>
      </c>
      <c r="P275">
        <v>1162.9000000000001</v>
      </c>
      <c r="Q275">
        <v>47.82</v>
      </c>
      <c r="R275" t="s">
        <v>1334</v>
      </c>
      <c r="S275" t="b">
        <f t="shared" si="16"/>
        <v>0</v>
      </c>
      <c r="T275" t="b">
        <f t="shared" si="17"/>
        <v>0</v>
      </c>
      <c r="U275" t="b">
        <f t="shared" si="18"/>
        <v>0</v>
      </c>
    </row>
    <row r="276" spans="1:21" x14ac:dyDescent="0.3">
      <c r="A276">
        <v>275</v>
      </c>
      <c r="B276" t="s">
        <v>291</v>
      </c>
      <c r="C276" s="2">
        <v>45833</v>
      </c>
      <c r="D276" s="2" t="str">
        <f t="shared" si="19"/>
        <v>Jun-2025</v>
      </c>
      <c r="E276" s="2">
        <v>45836</v>
      </c>
      <c r="F276" t="s">
        <v>1018</v>
      </c>
      <c r="G276" t="s">
        <v>1185</v>
      </c>
      <c r="H276" t="s">
        <v>1270</v>
      </c>
      <c r="I276" t="s">
        <v>1287</v>
      </c>
      <c r="J276" t="s">
        <v>1299</v>
      </c>
      <c r="K276" t="s">
        <v>1304</v>
      </c>
      <c r="L276" t="s">
        <v>1307</v>
      </c>
      <c r="M276" t="s">
        <v>1322</v>
      </c>
      <c r="N276">
        <v>2</v>
      </c>
      <c r="O276">
        <v>0</v>
      </c>
      <c r="P276">
        <v>1467.75</v>
      </c>
      <c r="Q276">
        <v>509.66</v>
      </c>
      <c r="R276" t="s">
        <v>1333</v>
      </c>
      <c r="S276" t="b">
        <f t="shared" si="16"/>
        <v>0</v>
      </c>
      <c r="T276" t="b">
        <f t="shared" si="17"/>
        <v>0</v>
      </c>
      <c r="U276" t="b">
        <f t="shared" si="18"/>
        <v>0</v>
      </c>
    </row>
    <row r="277" spans="1:21" x14ac:dyDescent="0.3">
      <c r="A277">
        <v>276</v>
      </c>
      <c r="B277" t="s">
        <v>292</v>
      </c>
      <c r="C277" s="2">
        <v>45961</v>
      </c>
      <c r="D277" s="2" t="str">
        <f t="shared" si="19"/>
        <v>Oct-2025</v>
      </c>
      <c r="E277" s="2">
        <v>45966</v>
      </c>
      <c r="F277" t="s">
        <v>1018</v>
      </c>
      <c r="G277" t="s">
        <v>1177</v>
      </c>
      <c r="H277" t="s">
        <v>1275</v>
      </c>
      <c r="I277" t="s">
        <v>1288</v>
      </c>
      <c r="J277" t="s">
        <v>1299</v>
      </c>
      <c r="K277" t="s">
        <v>1304</v>
      </c>
      <c r="L277" t="s">
        <v>1308</v>
      </c>
      <c r="M277" t="s">
        <v>1327</v>
      </c>
      <c r="N277">
        <v>5</v>
      </c>
      <c r="O277">
        <v>0.2</v>
      </c>
      <c r="P277">
        <v>7003.16</v>
      </c>
      <c r="Q277">
        <v>1400.39</v>
      </c>
      <c r="R277" t="s">
        <v>1331</v>
      </c>
      <c r="S277" t="b">
        <f t="shared" si="16"/>
        <v>0</v>
      </c>
      <c r="T277" t="b">
        <f t="shared" si="17"/>
        <v>0</v>
      </c>
      <c r="U277" t="b">
        <f t="shared" si="18"/>
        <v>0</v>
      </c>
    </row>
    <row r="278" spans="1:21" x14ac:dyDescent="0.3">
      <c r="A278">
        <v>277</v>
      </c>
      <c r="B278" t="s">
        <v>293</v>
      </c>
      <c r="C278" s="2">
        <v>45998</v>
      </c>
      <c r="D278" s="2" t="str">
        <f t="shared" si="19"/>
        <v>Dec-2025</v>
      </c>
      <c r="E278" s="2">
        <v>46003</v>
      </c>
      <c r="F278" t="s">
        <v>1019</v>
      </c>
      <c r="G278" t="s">
        <v>1154</v>
      </c>
      <c r="H278" t="s">
        <v>1272</v>
      </c>
      <c r="I278" t="s">
        <v>1287</v>
      </c>
      <c r="J278" t="s">
        <v>1295</v>
      </c>
      <c r="K278" t="s">
        <v>1305</v>
      </c>
      <c r="L278" t="s">
        <v>1307</v>
      </c>
      <c r="M278" t="s">
        <v>1322</v>
      </c>
      <c r="N278">
        <v>2</v>
      </c>
      <c r="O278">
        <v>0.1</v>
      </c>
      <c r="P278">
        <v>1269.1400000000001</v>
      </c>
      <c r="Q278">
        <v>239.95</v>
      </c>
      <c r="R278" t="s">
        <v>1332</v>
      </c>
      <c r="S278" t="b">
        <f t="shared" si="16"/>
        <v>0</v>
      </c>
      <c r="T278" t="b">
        <f t="shared" si="17"/>
        <v>0</v>
      </c>
      <c r="U278" t="b">
        <f t="shared" si="18"/>
        <v>0</v>
      </c>
    </row>
    <row r="279" spans="1:21" x14ac:dyDescent="0.3">
      <c r="A279">
        <v>278</v>
      </c>
      <c r="B279" t="s">
        <v>294</v>
      </c>
      <c r="C279" s="2">
        <v>45840</v>
      </c>
      <c r="D279" s="2" t="str">
        <f t="shared" si="19"/>
        <v>Jul-2025</v>
      </c>
      <c r="E279" s="2">
        <v>45844</v>
      </c>
      <c r="F279" t="s">
        <v>1019</v>
      </c>
      <c r="G279" t="s">
        <v>1094</v>
      </c>
      <c r="H279" t="s">
        <v>1269</v>
      </c>
      <c r="I279" t="s">
        <v>1288</v>
      </c>
      <c r="J279" t="s">
        <v>1296</v>
      </c>
      <c r="K279" t="s">
        <v>1304</v>
      </c>
      <c r="L279" t="s">
        <v>1306</v>
      </c>
      <c r="M279" t="s">
        <v>1324</v>
      </c>
      <c r="N279">
        <v>4</v>
      </c>
      <c r="O279">
        <v>0.05</v>
      </c>
      <c r="P279">
        <v>342.95</v>
      </c>
      <c r="Q279">
        <v>104.51</v>
      </c>
      <c r="R279" t="s">
        <v>1334</v>
      </c>
      <c r="S279" t="b">
        <f t="shared" si="16"/>
        <v>0</v>
      </c>
      <c r="T279" t="b">
        <f t="shared" si="17"/>
        <v>0</v>
      </c>
      <c r="U279" t="b">
        <f t="shared" si="18"/>
        <v>0</v>
      </c>
    </row>
    <row r="280" spans="1:21" x14ac:dyDescent="0.3">
      <c r="A280">
        <v>279</v>
      </c>
      <c r="B280" t="s">
        <v>295</v>
      </c>
      <c r="C280" s="2">
        <v>45812</v>
      </c>
      <c r="D280" s="2" t="str">
        <f t="shared" si="19"/>
        <v>Jun-2025</v>
      </c>
      <c r="E280" s="2">
        <v>45814</v>
      </c>
      <c r="F280" t="s">
        <v>1018</v>
      </c>
      <c r="G280" t="s">
        <v>1159</v>
      </c>
      <c r="H280" t="s">
        <v>1279</v>
      </c>
      <c r="I280" t="s">
        <v>1288</v>
      </c>
      <c r="J280" t="s">
        <v>1290</v>
      </c>
      <c r="K280" t="s">
        <v>1302</v>
      </c>
      <c r="L280" t="s">
        <v>1308</v>
      </c>
      <c r="M280" t="s">
        <v>1318</v>
      </c>
      <c r="N280">
        <v>4</v>
      </c>
      <c r="O280">
        <v>0.2</v>
      </c>
      <c r="P280">
        <v>16910.64</v>
      </c>
      <c r="Q280">
        <v>-796.35</v>
      </c>
      <c r="R280" t="s">
        <v>1330</v>
      </c>
      <c r="S280" t="b">
        <f t="shared" si="16"/>
        <v>0</v>
      </c>
      <c r="T280" t="b">
        <f t="shared" si="17"/>
        <v>0</v>
      </c>
      <c r="U280" t="b">
        <f t="shared" si="18"/>
        <v>0</v>
      </c>
    </row>
    <row r="281" spans="1:21" x14ac:dyDescent="0.3">
      <c r="A281">
        <v>280</v>
      </c>
      <c r="B281" t="s">
        <v>296</v>
      </c>
      <c r="C281" s="2">
        <v>45800</v>
      </c>
      <c r="D281" s="2" t="str">
        <f t="shared" si="19"/>
        <v>May-2025</v>
      </c>
      <c r="E281" s="2">
        <v>45804</v>
      </c>
      <c r="F281" t="s">
        <v>1017</v>
      </c>
      <c r="G281" t="s">
        <v>1125</v>
      </c>
      <c r="H281" t="s">
        <v>1284</v>
      </c>
      <c r="I281" t="s">
        <v>1287</v>
      </c>
      <c r="J281" t="s">
        <v>1299</v>
      </c>
      <c r="K281" t="s">
        <v>1304</v>
      </c>
      <c r="L281" t="s">
        <v>1309</v>
      </c>
      <c r="M281" t="s">
        <v>1329</v>
      </c>
      <c r="N281">
        <v>2</v>
      </c>
      <c r="O281">
        <v>0.1</v>
      </c>
      <c r="P281">
        <v>3261.76</v>
      </c>
      <c r="Q281">
        <v>466.64</v>
      </c>
      <c r="R281" t="s">
        <v>1332</v>
      </c>
      <c r="S281" t="b">
        <f t="shared" si="16"/>
        <v>0</v>
      </c>
      <c r="T281" t="b">
        <f t="shared" si="17"/>
        <v>0</v>
      </c>
      <c r="U281" t="b">
        <f t="shared" si="18"/>
        <v>0</v>
      </c>
    </row>
    <row r="282" spans="1:21" x14ac:dyDescent="0.3">
      <c r="A282">
        <v>281</v>
      </c>
      <c r="B282" t="s">
        <v>297</v>
      </c>
      <c r="C282" s="2">
        <v>45677</v>
      </c>
      <c r="D282" s="2" t="str">
        <f t="shared" si="19"/>
        <v>Jan-2025</v>
      </c>
      <c r="E282" s="2">
        <v>45680</v>
      </c>
      <c r="F282" t="s">
        <v>1018</v>
      </c>
      <c r="G282" t="s">
        <v>1186</v>
      </c>
      <c r="H282" t="s">
        <v>1273</v>
      </c>
      <c r="I282" t="s">
        <v>1289</v>
      </c>
      <c r="J282" t="s">
        <v>1290</v>
      </c>
      <c r="K282" t="s">
        <v>1302</v>
      </c>
      <c r="L282" t="s">
        <v>1309</v>
      </c>
      <c r="M282" t="s">
        <v>1329</v>
      </c>
      <c r="N282">
        <v>2</v>
      </c>
      <c r="O282">
        <v>0.1</v>
      </c>
      <c r="P282">
        <v>3465.72</v>
      </c>
      <c r="Q282">
        <v>386.65</v>
      </c>
      <c r="R282" t="s">
        <v>1332</v>
      </c>
      <c r="S282" t="b">
        <f t="shared" si="16"/>
        <v>0</v>
      </c>
      <c r="T282" t="b">
        <f t="shared" si="17"/>
        <v>0</v>
      </c>
      <c r="U282" t="b">
        <f t="shared" si="18"/>
        <v>0</v>
      </c>
    </row>
    <row r="283" spans="1:21" x14ac:dyDescent="0.3">
      <c r="A283">
        <v>282</v>
      </c>
      <c r="B283" t="s">
        <v>298</v>
      </c>
      <c r="C283" s="2">
        <v>45805</v>
      </c>
      <c r="D283" s="2" t="str">
        <f t="shared" si="19"/>
        <v>May-2025</v>
      </c>
      <c r="E283" s="2">
        <v>45810</v>
      </c>
      <c r="F283" t="s">
        <v>1018</v>
      </c>
      <c r="G283" t="s">
        <v>1098</v>
      </c>
      <c r="H283" t="s">
        <v>1268</v>
      </c>
      <c r="I283" t="s">
        <v>1288</v>
      </c>
      <c r="J283" t="s">
        <v>1300</v>
      </c>
      <c r="K283" t="s">
        <v>1305</v>
      </c>
      <c r="L283" t="s">
        <v>1309</v>
      </c>
      <c r="M283" t="s">
        <v>1329</v>
      </c>
      <c r="N283">
        <v>1</v>
      </c>
      <c r="O283">
        <v>0.1</v>
      </c>
      <c r="P283">
        <v>1696</v>
      </c>
      <c r="Q283">
        <v>486.5</v>
      </c>
      <c r="R283" t="s">
        <v>1333</v>
      </c>
      <c r="S283" t="b">
        <f t="shared" si="16"/>
        <v>0</v>
      </c>
      <c r="T283" t="b">
        <f t="shared" si="17"/>
        <v>0</v>
      </c>
      <c r="U283" t="b">
        <f t="shared" si="18"/>
        <v>0</v>
      </c>
    </row>
    <row r="284" spans="1:21" x14ac:dyDescent="0.3">
      <c r="A284">
        <v>283</v>
      </c>
      <c r="B284" t="s">
        <v>299</v>
      </c>
      <c r="C284" s="2">
        <v>45745</v>
      </c>
      <c r="D284" s="2" t="str">
        <f t="shared" si="19"/>
        <v>Mar-2025</v>
      </c>
      <c r="E284" s="2">
        <v>45746</v>
      </c>
      <c r="F284" t="s">
        <v>1018</v>
      </c>
      <c r="G284" t="s">
        <v>1166</v>
      </c>
      <c r="H284" t="s">
        <v>1282</v>
      </c>
      <c r="I284" t="s">
        <v>1289</v>
      </c>
      <c r="J284" t="s">
        <v>1300</v>
      </c>
      <c r="K284" t="s">
        <v>1305</v>
      </c>
      <c r="L284" t="s">
        <v>1306</v>
      </c>
      <c r="M284" t="s">
        <v>1321</v>
      </c>
      <c r="N284">
        <v>1</v>
      </c>
      <c r="O284">
        <v>0.15</v>
      </c>
      <c r="P284">
        <v>401.52</v>
      </c>
      <c r="Q284">
        <v>119.82</v>
      </c>
      <c r="R284" t="s">
        <v>1332</v>
      </c>
      <c r="S284" t="b">
        <f t="shared" si="16"/>
        <v>0</v>
      </c>
      <c r="T284" t="b">
        <f t="shared" si="17"/>
        <v>0</v>
      </c>
      <c r="U284" t="b">
        <f t="shared" si="18"/>
        <v>0</v>
      </c>
    </row>
    <row r="285" spans="1:21" x14ac:dyDescent="0.3">
      <c r="A285">
        <v>284</v>
      </c>
      <c r="B285" t="s">
        <v>300</v>
      </c>
      <c r="C285" s="2">
        <v>45930</v>
      </c>
      <c r="D285" s="2" t="str">
        <f t="shared" si="19"/>
        <v>Sep-2025</v>
      </c>
      <c r="E285" s="2">
        <v>45932</v>
      </c>
      <c r="F285" t="s">
        <v>1017</v>
      </c>
      <c r="G285" t="s">
        <v>1063</v>
      </c>
      <c r="H285" t="s">
        <v>1274</v>
      </c>
      <c r="I285" t="s">
        <v>1287</v>
      </c>
      <c r="J285" t="s">
        <v>1292</v>
      </c>
      <c r="K285" t="s">
        <v>1303</v>
      </c>
      <c r="L285" t="s">
        <v>1309</v>
      </c>
      <c r="M285" t="s">
        <v>1313</v>
      </c>
      <c r="N285">
        <v>2</v>
      </c>
      <c r="O285">
        <v>0.05</v>
      </c>
      <c r="P285">
        <v>2972.84</v>
      </c>
      <c r="Q285">
        <v>1063.05</v>
      </c>
      <c r="R285" t="s">
        <v>1331</v>
      </c>
      <c r="S285" t="b">
        <f t="shared" si="16"/>
        <v>0</v>
      </c>
      <c r="T285" t="b">
        <f t="shared" si="17"/>
        <v>0</v>
      </c>
      <c r="U285" t="b">
        <f t="shared" si="18"/>
        <v>0</v>
      </c>
    </row>
    <row r="286" spans="1:21" x14ac:dyDescent="0.3">
      <c r="A286">
        <v>285</v>
      </c>
      <c r="B286" t="s">
        <v>301</v>
      </c>
      <c r="C286" s="2">
        <v>45950</v>
      </c>
      <c r="D286" s="2" t="str">
        <f t="shared" si="19"/>
        <v>Oct-2025</v>
      </c>
      <c r="E286" s="2">
        <v>45951</v>
      </c>
      <c r="F286" t="s">
        <v>1017</v>
      </c>
      <c r="G286" t="s">
        <v>1020</v>
      </c>
      <c r="H286" t="s">
        <v>1281</v>
      </c>
      <c r="I286" t="s">
        <v>1287</v>
      </c>
      <c r="J286" t="s">
        <v>1297</v>
      </c>
      <c r="K286" t="s">
        <v>1304</v>
      </c>
      <c r="L286" t="s">
        <v>1306</v>
      </c>
      <c r="M286" t="s">
        <v>1328</v>
      </c>
      <c r="N286">
        <v>2</v>
      </c>
      <c r="O286">
        <v>0.1</v>
      </c>
      <c r="P286">
        <v>226.1</v>
      </c>
      <c r="Q286">
        <v>56.19</v>
      </c>
      <c r="R286" t="s">
        <v>1331</v>
      </c>
      <c r="S286" t="b">
        <f t="shared" si="16"/>
        <v>0</v>
      </c>
      <c r="T286" t="b">
        <f t="shared" si="17"/>
        <v>0</v>
      </c>
      <c r="U286" t="b">
        <f t="shared" si="18"/>
        <v>0</v>
      </c>
    </row>
    <row r="287" spans="1:21" x14ac:dyDescent="0.3">
      <c r="A287">
        <v>286</v>
      </c>
      <c r="B287" t="s">
        <v>302</v>
      </c>
      <c r="C287" s="2">
        <v>45782</v>
      </c>
      <c r="D287" s="2" t="str">
        <f t="shared" si="19"/>
        <v>May-2025</v>
      </c>
      <c r="E287" s="2">
        <v>45787</v>
      </c>
      <c r="F287" t="s">
        <v>1018</v>
      </c>
      <c r="G287" t="s">
        <v>1187</v>
      </c>
      <c r="H287" t="s">
        <v>1269</v>
      </c>
      <c r="I287" t="s">
        <v>1287</v>
      </c>
      <c r="J287" t="s">
        <v>1295</v>
      </c>
      <c r="K287" t="s">
        <v>1305</v>
      </c>
      <c r="L287" t="s">
        <v>1309</v>
      </c>
      <c r="M287" t="s">
        <v>1313</v>
      </c>
      <c r="N287">
        <v>1</v>
      </c>
      <c r="O287">
        <v>0.05</v>
      </c>
      <c r="P287">
        <v>1361.76</v>
      </c>
      <c r="Q287">
        <v>369.27</v>
      </c>
      <c r="R287" t="s">
        <v>1334</v>
      </c>
      <c r="S287" t="b">
        <f t="shared" si="16"/>
        <v>0</v>
      </c>
      <c r="T287" t="b">
        <f t="shared" si="17"/>
        <v>0</v>
      </c>
      <c r="U287" t="b">
        <f t="shared" si="18"/>
        <v>0</v>
      </c>
    </row>
    <row r="288" spans="1:21" x14ac:dyDescent="0.3">
      <c r="A288">
        <v>287</v>
      </c>
      <c r="B288" t="s">
        <v>303</v>
      </c>
      <c r="C288" s="2">
        <v>45847</v>
      </c>
      <c r="D288" s="2" t="str">
        <f t="shared" si="19"/>
        <v>Jul-2025</v>
      </c>
      <c r="E288" s="2">
        <v>45852</v>
      </c>
      <c r="F288" t="s">
        <v>1017</v>
      </c>
      <c r="G288" t="s">
        <v>1035</v>
      </c>
      <c r="H288" t="s">
        <v>1267</v>
      </c>
      <c r="I288" t="s">
        <v>1287</v>
      </c>
      <c r="J288" t="s">
        <v>1292</v>
      </c>
      <c r="K288" t="s">
        <v>1303</v>
      </c>
      <c r="L288" t="s">
        <v>1309</v>
      </c>
      <c r="M288" t="s">
        <v>1325</v>
      </c>
      <c r="N288">
        <v>3</v>
      </c>
      <c r="O288">
        <v>0.1</v>
      </c>
      <c r="P288">
        <v>3499.76</v>
      </c>
      <c r="Q288">
        <v>475.25</v>
      </c>
      <c r="R288" t="s">
        <v>1331</v>
      </c>
      <c r="S288" t="b">
        <f t="shared" si="16"/>
        <v>0</v>
      </c>
      <c r="T288" t="b">
        <f t="shared" si="17"/>
        <v>0</v>
      </c>
      <c r="U288" t="b">
        <f t="shared" si="18"/>
        <v>0</v>
      </c>
    </row>
    <row r="289" spans="1:21" x14ac:dyDescent="0.3">
      <c r="A289">
        <v>288</v>
      </c>
      <c r="B289" t="s">
        <v>304</v>
      </c>
      <c r="C289" s="2">
        <v>45763</v>
      </c>
      <c r="D289" s="2" t="str">
        <f t="shared" si="19"/>
        <v>Apr-2025</v>
      </c>
      <c r="E289" s="2">
        <v>45768</v>
      </c>
      <c r="F289" t="s">
        <v>1018</v>
      </c>
      <c r="G289" t="s">
        <v>1139</v>
      </c>
      <c r="H289" t="s">
        <v>1269</v>
      </c>
      <c r="I289" t="s">
        <v>1288</v>
      </c>
      <c r="J289" t="s">
        <v>1292</v>
      </c>
      <c r="K289" t="s">
        <v>1303</v>
      </c>
      <c r="L289" t="s">
        <v>1307</v>
      </c>
      <c r="M289" t="s">
        <v>1316</v>
      </c>
      <c r="N289">
        <v>5</v>
      </c>
      <c r="O289">
        <v>0.05</v>
      </c>
      <c r="P289">
        <v>2350.96</v>
      </c>
      <c r="Q289">
        <v>575.29999999999995</v>
      </c>
      <c r="R289" t="s">
        <v>1332</v>
      </c>
      <c r="S289" t="b">
        <f t="shared" si="16"/>
        <v>0</v>
      </c>
      <c r="T289" t="b">
        <f t="shared" si="17"/>
        <v>0</v>
      </c>
      <c r="U289" t="b">
        <f t="shared" si="18"/>
        <v>0</v>
      </c>
    </row>
    <row r="290" spans="1:21" x14ac:dyDescent="0.3">
      <c r="A290">
        <v>289</v>
      </c>
      <c r="B290" t="s">
        <v>305</v>
      </c>
      <c r="C290" s="2">
        <v>45875</v>
      </c>
      <c r="D290" s="2" t="str">
        <f t="shared" si="19"/>
        <v>Aug-2025</v>
      </c>
      <c r="E290" s="2">
        <v>45878</v>
      </c>
      <c r="F290" t="s">
        <v>1018</v>
      </c>
      <c r="G290" t="s">
        <v>1143</v>
      </c>
      <c r="H290" t="s">
        <v>1285</v>
      </c>
      <c r="I290" t="s">
        <v>1288</v>
      </c>
      <c r="J290" t="s">
        <v>1299</v>
      </c>
      <c r="K290" t="s">
        <v>1304</v>
      </c>
      <c r="L290" t="s">
        <v>1307</v>
      </c>
      <c r="M290" t="s">
        <v>1315</v>
      </c>
      <c r="N290">
        <v>3</v>
      </c>
      <c r="O290">
        <v>0.2</v>
      </c>
      <c r="P290">
        <v>4327.43</v>
      </c>
      <c r="Q290">
        <v>473.04</v>
      </c>
      <c r="R290" t="s">
        <v>1332</v>
      </c>
      <c r="S290" t="b">
        <f t="shared" si="16"/>
        <v>0</v>
      </c>
      <c r="T290" t="b">
        <f t="shared" si="17"/>
        <v>0</v>
      </c>
      <c r="U290" t="b">
        <f t="shared" si="18"/>
        <v>0</v>
      </c>
    </row>
    <row r="291" spans="1:21" x14ac:dyDescent="0.3">
      <c r="A291">
        <v>290</v>
      </c>
      <c r="B291" t="s">
        <v>306</v>
      </c>
      <c r="C291" s="2">
        <v>45881</v>
      </c>
      <c r="D291" s="2" t="str">
        <f t="shared" si="19"/>
        <v>Aug-2025</v>
      </c>
      <c r="E291" s="2">
        <v>45886</v>
      </c>
      <c r="F291" t="s">
        <v>1017</v>
      </c>
      <c r="G291" t="s">
        <v>1188</v>
      </c>
      <c r="H291" t="s">
        <v>1284</v>
      </c>
      <c r="I291" t="s">
        <v>1288</v>
      </c>
      <c r="J291" t="s">
        <v>1292</v>
      </c>
      <c r="K291" t="s">
        <v>1303</v>
      </c>
      <c r="L291" t="s">
        <v>1309</v>
      </c>
      <c r="M291" t="s">
        <v>1325</v>
      </c>
      <c r="N291">
        <v>3</v>
      </c>
      <c r="O291">
        <v>0.1</v>
      </c>
      <c r="P291">
        <v>3644.04</v>
      </c>
      <c r="Q291">
        <v>590.46</v>
      </c>
      <c r="R291" t="s">
        <v>1331</v>
      </c>
      <c r="S291" t="b">
        <f t="shared" si="16"/>
        <v>0</v>
      </c>
      <c r="T291" t="b">
        <f t="shared" si="17"/>
        <v>0</v>
      </c>
      <c r="U291" t="b">
        <f t="shared" si="18"/>
        <v>0</v>
      </c>
    </row>
    <row r="292" spans="1:21" x14ac:dyDescent="0.3">
      <c r="A292">
        <v>291</v>
      </c>
      <c r="B292" t="s">
        <v>307</v>
      </c>
      <c r="C292" s="2">
        <v>45877</v>
      </c>
      <c r="D292" s="2" t="str">
        <f t="shared" si="19"/>
        <v>Aug-2025</v>
      </c>
      <c r="E292" s="2">
        <v>45882</v>
      </c>
      <c r="F292" t="s">
        <v>1017</v>
      </c>
      <c r="G292" t="s">
        <v>1189</v>
      </c>
      <c r="H292" t="s">
        <v>1268</v>
      </c>
      <c r="I292" t="s">
        <v>1287</v>
      </c>
      <c r="J292" t="s">
        <v>1290</v>
      </c>
      <c r="K292" t="s">
        <v>1302</v>
      </c>
      <c r="L292" t="s">
        <v>1308</v>
      </c>
      <c r="M292" t="s">
        <v>1318</v>
      </c>
      <c r="N292">
        <v>1</v>
      </c>
      <c r="O292">
        <v>0.1</v>
      </c>
      <c r="P292">
        <v>4839.55</v>
      </c>
      <c r="Q292">
        <v>1189.6300000000001</v>
      </c>
      <c r="R292" t="s">
        <v>1330</v>
      </c>
      <c r="S292" t="b">
        <f t="shared" si="16"/>
        <v>0</v>
      </c>
      <c r="T292" t="b">
        <f t="shared" si="17"/>
        <v>0</v>
      </c>
      <c r="U292" t="b">
        <f t="shared" si="18"/>
        <v>0</v>
      </c>
    </row>
    <row r="293" spans="1:21" x14ac:dyDescent="0.3">
      <c r="A293">
        <v>292</v>
      </c>
      <c r="B293" t="s">
        <v>308</v>
      </c>
      <c r="C293" s="2">
        <v>45913</v>
      </c>
      <c r="D293" s="2" t="str">
        <f t="shared" si="19"/>
        <v>Sep-2025</v>
      </c>
      <c r="E293" s="2">
        <v>45916</v>
      </c>
      <c r="F293" t="s">
        <v>1017</v>
      </c>
      <c r="G293" t="s">
        <v>1047</v>
      </c>
      <c r="H293" t="s">
        <v>1276</v>
      </c>
      <c r="I293" t="s">
        <v>1288</v>
      </c>
      <c r="J293" t="s">
        <v>1301</v>
      </c>
      <c r="K293" t="s">
        <v>1303</v>
      </c>
      <c r="L293" t="s">
        <v>1307</v>
      </c>
      <c r="M293" t="s">
        <v>1316</v>
      </c>
      <c r="N293">
        <v>2</v>
      </c>
      <c r="O293">
        <v>0.15</v>
      </c>
      <c r="P293">
        <v>834.51</v>
      </c>
      <c r="Q293">
        <v>70.150000000000006</v>
      </c>
      <c r="R293" t="s">
        <v>1331</v>
      </c>
      <c r="S293" t="b">
        <f t="shared" si="16"/>
        <v>0</v>
      </c>
      <c r="T293" t="b">
        <f t="shared" si="17"/>
        <v>0</v>
      </c>
      <c r="U293" t="b">
        <f t="shared" si="18"/>
        <v>0</v>
      </c>
    </row>
    <row r="294" spans="1:21" x14ac:dyDescent="0.3">
      <c r="A294">
        <v>293</v>
      </c>
      <c r="B294" t="s">
        <v>309</v>
      </c>
      <c r="C294" s="2">
        <v>45670</v>
      </c>
      <c r="D294" s="2" t="str">
        <f t="shared" si="19"/>
        <v>Jan-2025</v>
      </c>
      <c r="E294" s="2">
        <v>45675</v>
      </c>
      <c r="F294" t="s">
        <v>1018</v>
      </c>
      <c r="G294" t="s">
        <v>1096</v>
      </c>
      <c r="H294" t="s">
        <v>1275</v>
      </c>
      <c r="I294" t="s">
        <v>1287</v>
      </c>
      <c r="J294" t="s">
        <v>1297</v>
      </c>
      <c r="K294" t="s">
        <v>1304</v>
      </c>
      <c r="L294" t="s">
        <v>1309</v>
      </c>
      <c r="M294" t="s">
        <v>1325</v>
      </c>
      <c r="N294">
        <v>1</v>
      </c>
      <c r="O294">
        <v>0.05</v>
      </c>
      <c r="P294">
        <v>1279.79</v>
      </c>
      <c r="Q294">
        <v>268.49</v>
      </c>
      <c r="R294" t="s">
        <v>1333</v>
      </c>
      <c r="S294" t="b">
        <f t="shared" si="16"/>
        <v>0</v>
      </c>
      <c r="T294" t="b">
        <f t="shared" si="17"/>
        <v>0</v>
      </c>
      <c r="U294" t="b">
        <f t="shared" si="18"/>
        <v>0</v>
      </c>
    </row>
    <row r="295" spans="1:21" x14ac:dyDescent="0.3">
      <c r="A295">
        <v>294</v>
      </c>
      <c r="B295" t="s">
        <v>310</v>
      </c>
      <c r="C295" s="2">
        <v>45766</v>
      </c>
      <c r="D295" s="2" t="str">
        <f t="shared" si="19"/>
        <v>Apr-2025</v>
      </c>
      <c r="E295" s="2">
        <v>45769</v>
      </c>
      <c r="F295" t="s">
        <v>1017</v>
      </c>
      <c r="G295" t="s">
        <v>1190</v>
      </c>
      <c r="H295" t="s">
        <v>1268</v>
      </c>
      <c r="I295" t="s">
        <v>1288</v>
      </c>
      <c r="J295" t="s">
        <v>1300</v>
      </c>
      <c r="K295" t="s">
        <v>1305</v>
      </c>
      <c r="L295" t="s">
        <v>1306</v>
      </c>
      <c r="M295" t="s">
        <v>1323</v>
      </c>
      <c r="N295">
        <v>2</v>
      </c>
      <c r="O295">
        <v>0.2</v>
      </c>
      <c r="P295">
        <v>280.45999999999998</v>
      </c>
      <c r="Q295">
        <v>-8.15</v>
      </c>
      <c r="R295" t="s">
        <v>1332</v>
      </c>
      <c r="S295" t="b">
        <f t="shared" si="16"/>
        <v>0</v>
      </c>
      <c r="T295" t="b">
        <f t="shared" si="17"/>
        <v>0</v>
      </c>
      <c r="U295" t="b">
        <f t="shared" si="18"/>
        <v>0</v>
      </c>
    </row>
    <row r="296" spans="1:21" x14ac:dyDescent="0.3">
      <c r="A296">
        <v>295</v>
      </c>
      <c r="B296" t="s">
        <v>311</v>
      </c>
      <c r="C296" s="2">
        <v>45926</v>
      </c>
      <c r="D296" s="2" t="str">
        <f t="shared" si="19"/>
        <v>Sep-2025</v>
      </c>
      <c r="E296" s="2">
        <v>45929</v>
      </c>
      <c r="F296" t="s">
        <v>1017</v>
      </c>
      <c r="G296" t="s">
        <v>1070</v>
      </c>
      <c r="H296" t="s">
        <v>1272</v>
      </c>
      <c r="I296" t="s">
        <v>1288</v>
      </c>
      <c r="J296" t="s">
        <v>1293</v>
      </c>
      <c r="K296" t="s">
        <v>1304</v>
      </c>
      <c r="L296" t="s">
        <v>1306</v>
      </c>
      <c r="M296" t="s">
        <v>1310</v>
      </c>
      <c r="N296">
        <v>2</v>
      </c>
      <c r="O296">
        <v>0.2</v>
      </c>
      <c r="P296">
        <v>991.17</v>
      </c>
      <c r="Q296">
        <v>132.01</v>
      </c>
      <c r="R296" t="s">
        <v>1330</v>
      </c>
      <c r="S296" t="b">
        <f t="shared" si="16"/>
        <v>0</v>
      </c>
      <c r="T296" t="b">
        <f t="shared" si="17"/>
        <v>0</v>
      </c>
      <c r="U296" t="b">
        <f t="shared" si="18"/>
        <v>0</v>
      </c>
    </row>
    <row r="297" spans="1:21" x14ac:dyDescent="0.3">
      <c r="A297">
        <v>296</v>
      </c>
      <c r="B297" t="s">
        <v>312</v>
      </c>
      <c r="C297" s="2">
        <v>45970</v>
      </c>
      <c r="D297" s="2" t="str">
        <f t="shared" si="19"/>
        <v>Nov-2025</v>
      </c>
      <c r="E297" s="2">
        <v>45974</v>
      </c>
      <c r="F297" t="s">
        <v>1018</v>
      </c>
      <c r="G297" t="s">
        <v>1191</v>
      </c>
      <c r="H297" t="s">
        <v>1278</v>
      </c>
      <c r="I297" t="s">
        <v>1287</v>
      </c>
      <c r="J297" t="s">
        <v>1292</v>
      </c>
      <c r="K297" t="s">
        <v>1303</v>
      </c>
      <c r="L297" t="s">
        <v>1306</v>
      </c>
      <c r="M297" t="s">
        <v>1310</v>
      </c>
      <c r="N297">
        <v>2</v>
      </c>
      <c r="O297">
        <v>0.05</v>
      </c>
      <c r="P297">
        <v>1287.9100000000001</v>
      </c>
      <c r="Q297">
        <v>222.85</v>
      </c>
      <c r="R297" t="s">
        <v>1331</v>
      </c>
      <c r="S297" t="b">
        <f t="shared" si="16"/>
        <v>0</v>
      </c>
      <c r="T297" t="b">
        <f t="shared" si="17"/>
        <v>0</v>
      </c>
      <c r="U297" t="b">
        <f t="shared" si="18"/>
        <v>0</v>
      </c>
    </row>
    <row r="298" spans="1:21" x14ac:dyDescent="0.3">
      <c r="A298">
        <v>297</v>
      </c>
      <c r="B298" t="s">
        <v>313</v>
      </c>
      <c r="C298" s="2">
        <v>45847</v>
      </c>
      <c r="D298" s="2" t="str">
        <f t="shared" si="19"/>
        <v>Jul-2025</v>
      </c>
      <c r="E298" s="2">
        <v>45851</v>
      </c>
      <c r="F298" t="s">
        <v>1017</v>
      </c>
      <c r="G298" t="s">
        <v>1025</v>
      </c>
      <c r="H298" t="s">
        <v>1274</v>
      </c>
      <c r="I298" t="s">
        <v>1287</v>
      </c>
      <c r="J298" t="s">
        <v>1294</v>
      </c>
      <c r="K298" t="s">
        <v>1305</v>
      </c>
      <c r="L298" t="s">
        <v>1306</v>
      </c>
      <c r="M298" t="s">
        <v>1310</v>
      </c>
      <c r="N298">
        <v>2</v>
      </c>
      <c r="O298">
        <v>0.05</v>
      </c>
      <c r="P298">
        <v>1220.1500000000001</v>
      </c>
      <c r="Q298">
        <v>205.77</v>
      </c>
      <c r="R298" t="s">
        <v>1332</v>
      </c>
      <c r="S298" t="b">
        <f t="shared" si="16"/>
        <v>0</v>
      </c>
      <c r="T298" t="b">
        <f t="shared" si="17"/>
        <v>0</v>
      </c>
      <c r="U298" t="b">
        <f t="shared" si="18"/>
        <v>0</v>
      </c>
    </row>
    <row r="299" spans="1:21" x14ac:dyDescent="0.3">
      <c r="A299">
        <v>298</v>
      </c>
      <c r="B299" t="s">
        <v>314</v>
      </c>
      <c r="C299" s="2">
        <v>45999</v>
      </c>
      <c r="D299" s="2" t="str">
        <f t="shared" si="19"/>
        <v>Dec-2025</v>
      </c>
      <c r="E299" s="2">
        <v>46001</v>
      </c>
      <c r="F299" t="s">
        <v>1017</v>
      </c>
      <c r="G299" t="s">
        <v>1192</v>
      </c>
      <c r="H299" t="s">
        <v>1279</v>
      </c>
      <c r="I299" t="s">
        <v>1287</v>
      </c>
      <c r="J299" t="s">
        <v>1298</v>
      </c>
      <c r="K299" t="s">
        <v>1303</v>
      </c>
      <c r="L299" t="s">
        <v>1309</v>
      </c>
      <c r="M299" t="s">
        <v>1320</v>
      </c>
      <c r="N299">
        <v>2</v>
      </c>
      <c r="O299">
        <v>0.2</v>
      </c>
      <c r="P299">
        <v>1883.49</v>
      </c>
      <c r="Q299">
        <v>37.31</v>
      </c>
      <c r="R299" t="s">
        <v>1333</v>
      </c>
      <c r="S299" t="b">
        <f t="shared" si="16"/>
        <v>0</v>
      </c>
      <c r="T299" t="b">
        <f t="shared" si="17"/>
        <v>0</v>
      </c>
      <c r="U299" t="b">
        <f t="shared" si="18"/>
        <v>0</v>
      </c>
    </row>
    <row r="300" spans="1:21" x14ac:dyDescent="0.3">
      <c r="A300">
        <v>299</v>
      </c>
      <c r="B300" t="s">
        <v>315</v>
      </c>
      <c r="C300" s="2">
        <v>46016</v>
      </c>
      <c r="D300" s="2" t="str">
        <f t="shared" si="19"/>
        <v>Dec-2025</v>
      </c>
      <c r="E300" s="2">
        <v>46020</v>
      </c>
      <c r="F300" t="s">
        <v>1017</v>
      </c>
      <c r="G300" t="s">
        <v>1051</v>
      </c>
      <c r="H300" t="s">
        <v>1278</v>
      </c>
      <c r="I300" t="s">
        <v>1288</v>
      </c>
      <c r="J300" t="s">
        <v>1296</v>
      </c>
      <c r="K300" t="s">
        <v>1304</v>
      </c>
      <c r="L300" t="s">
        <v>1309</v>
      </c>
      <c r="M300" t="s">
        <v>1320</v>
      </c>
      <c r="N300">
        <v>1</v>
      </c>
      <c r="O300">
        <v>0</v>
      </c>
      <c r="P300">
        <v>1210.67</v>
      </c>
      <c r="Q300">
        <v>310.61</v>
      </c>
      <c r="R300" t="s">
        <v>1333</v>
      </c>
      <c r="S300" t="b">
        <f t="shared" si="16"/>
        <v>0</v>
      </c>
      <c r="T300" t="b">
        <f t="shared" si="17"/>
        <v>0</v>
      </c>
      <c r="U300" t="b">
        <f t="shared" si="18"/>
        <v>0</v>
      </c>
    </row>
    <row r="301" spans="1:21" x14ac:dyDescent="0.3">
      <c r="A301">
        <v>300</v>
      </c>
      <c r="B301" t="s">
        <v>316</v>
      </c>
      <c r="C301" s="2">
        <v>45965</v>
      </c>
      <c r="D301" s="2" t="str">
        <f t="shared" si="19"/>
        <v>Nov-2025</v>
      </c>
      <c r="E301" s="2">
        <v>45967</v>
      </c>
      <c r="F301" t="s">
        <v>1018</v>
      </c>
      <c r="G301" t="s">
        <v>1193</v>
      </c>
      <c r="H301" t="s">
        <v>1272</v>
      </c>
      <c r="I301" t="s">
        <v>1287</v>
      </c>
      <c r="J301" t="s">
        <v>1299</v>
      </c>
      <c r="K301" t="s">
        <v>1304</v>
      </c>
      <c r="L301" t="s">
        <v>1306</v>
      </c>
      <c r="M301" t="s">
        <v>1328</v>
      </c>
      <c r="N301">
        <v>1</v>
      </c>
      <c r="O301">
        <v>0.25</v>
      </c>
      <c r="P301">
        <v>91.94</v>
      </c>
      <c r="Q301">
        <v>0.59</v>
      </c>
      <c r="R301" t="s">
        <v>1331</v>
      </c>
      <c r="S301" t="b">
        <f t="shared" si="16"/>
        <v>0</v>
      </c>
      <c r="T301" t="b">
        <f t="shared" si="17"/>
        <v>0</v>
      </c>
      <c r="U301" t="b">
        <f t="shared" si="18"/>
        <v>0</v>
      </c>
    </row>
    <row r="302" spans="1:21" x14ac:dyDescent="0.3">
      <c r="A302">
        <v>301</v>
      </c>
      <c r="B302" t="s">
        <v>317</v>
      </c>
      <c r="C302" s="2">
        <v>45953</v>
      </c>
      <c r="D302" s="2" t="str">
        <f t="shared" si="19"/>
        <v>Oct-2025</v>
      </c>
      <c r="E302" s="2">
        <v>45954</v>
      </c>
      <c r="F302" t="s">
        <v>1017</v>
      </c>
      <c r="G302" t="s">
        <v>1174</v>
      </c>
      <c r="H302" t="s">
        <v>1286</v>
      </c>
      <c r="I302" t="s">
        <v>1287</v>
      </c>
      <c r="J302" t="s">
        <v>1291</v>
      </c>
      <c r="K302" t="s">
        <v>1302</v>
      </c>
      <c r="L302" t="s">
        <v>1309</v>
      </c>
      <c r="M302" t="s">
        <v>1329</v>
      </c>
      <c r="N302">
        <v>1</v>
      </c>
      <c r="O302">
        <v>0.05</v>
      </c>
      <c r="P302">
        <v>1882.61</v>
      </c>
      <c r="Q302">
        <v>634.69000000000005</v>
      </c>
      <c r="R302" t="s">
        <v>1331</v>
      </c>
      <c r="S302" t="b">
        <f t="shared" si="16"/>
        <v>0</v>
      </c>
      <c r="T302" t="b">
        <f t="shared" si="17"/>
        <v>0</v>
      </c>
      <c r="U302" t="b">
        <f t="shared" si="18"/>
        <v>0</v>
      </c>
    </row>
    <row r="303" spans="1:21" x14ac:dyDescent="0.3">
      <c r="A303">
        <v>302</v>
      </c>
      <c r="B303" t="s">
        <v>318</v>
      </c>
      <c r="C303" s="2">
        <v>45947</v>
      </c>
      <c r="D303" s="2" t="str">
        <f t="shared" si="19"/>
        <v>Oct-2025</v>
      </c>
      <c r="E303" s="2">
        <v>45950</v>
      </c>
      <c r="F303" t="s">
        <v>1018</v>
      </c>
      <c r="G303" t="s">
        <v>1162</v>
      </c>
      <c r="H303" t="s">
        <v>1276</v>
      </c>
      <c r="I303" t="s">
        <v>1288</v>
      </c>
      <c r="J303" t="s">
        <v>1300</v>
      </c>
      <c r="K303" t="s">
        <v>1305</v>
      </c>
      <c r="L303" t="s">
        <v>1309</v>
      </c>
      <c r="M303" t="s">
        <v>1313</v>
      </c>
      <c r="N303">
        <v>1</v>
      </c>
      <c r="O303">
        <v>0.1</v>
      </c>
      <c r="P303">
        <v>1314.92</v>
      </c>
      <c r="Q303">
        <v>244.35</v>
      </c>
      <c r="R303" t="s">
        <v>1333</v>
      </c>
      <c r="S303" t="b">
        <f t="shared" si="16"/>
        <v>0</v>
      </c>
      <c r="T303" t="b">
        <f t="shared" si="17"/>
        <v>0</v>
      </c>
      <c r="U303" t="b">
        <f t="shared" si="18"/>
        <v>0</v>
      </c>
    </row>
    <row r="304" spans="1:21" x14ac:dyDescent="0.3">
      <c r="A304">
        <v>303</v>
      </c>
      <c r="B304" t="s">
        <v>319</v>
      </c>
      <c r="C304" s="2">
        <v>45928</v>
      </c>
      <c r="D304" s="2" t="str">
        <f t="shared" si="19"/>
        <v>Sep-2025</v>
      </c>
      <c r="E304" s="2">
        <v>45931</v>
      </c>
      <c r="F304" t="s">
        <v>1017</v>
      </c>
      <c r="G304" t="s">
        <v>1149</v>
      </c>
      <c r="H304" t="s">
        <v>1269</v>
      </c>
      <c r="I304" t="s">
        <v>1289</v>
      </c>
      <c r="J304" t="s">
        <v>1296</v>
      </c>
      <c r="K304" t="s">
        <v>1304</v>
      </c>
      <c r="L304" t="s">
        <v>1307</v>
      </c>
      <c r="M304" t="s">
        <v>1315</v>
      </c>
      <c r="N304">
        <v>3</v>
      </c>
      <c r="O304">
        <v>0</v>
      </c>
      <c r="P304">
        <v>5241.8100000000004</v>
      </c>
      <c r="Q304">
        <v>1179.46</v>
      </c>
      <c r="R304" t="s">
        <v>1330</v>
      </c>
      <c r="S304" t="b">
        <f t="shared" si="16"/>
        <v>0</v>
      </c>
      <c r="T304" t="b">
        <f t="shared" si="17"/>
        <v>0</v>
      </c>
      <c r="U304" t="b">
        <f t="shared" si="18"/>
        <v>0</v>
      </c>
    </row>
    <row r="305" spans="1:21" x14ac:dyDescent="0.3">
      <c r="A305">
        <v>304</v>
      </c>
      <c r="B305" t="s">
        <v>320</v>
      </c>
      <c r="C305" s="2">
        <v>45806</v>
      </c>
      <c r="D305" s="2" t="str">
        <f t="shared" si="19"/>
        <v>May-2025</v>
      </c>
      <c r="E305" s="2">
        <v>45807</v>
      </c>
      <c r="F305" t="s">
        <v>1017</v>
      </c>
      <c r="G305" t="s">
        <v>1039</v>
      </c>
      <c r="H305" t="s">
        <v>1276</v>
      </c>
      <c r="I305" t="s">
        <v>1287</v>
      </c>
      <c r="J305" t="s">
        <v>1301</v>
      </c>
      <c r="K305" t="s">
        <v>1303</v>
      </c>
      <c r="L305" t="s">
        <v>1306</v>
      </c>
      <c r="M305" t="s">
        <v>1323</v>
      </c>
      <c r="N305">
        <v>1</v>
      </c>
      <c r="O305">
        <v>0</v>
      </c>
      <c r="P305">
        <v>186.54</v>
      </c>
      <c r="Q305">
        <v>45.33</v>
      </c>
      <c r="R305" t="s">
        <v>1333</v>
      </c>
      <c r="S305" t="b">
        <f t="shared" si="16"/>
        <v>0</v>
      </c>
      <c r="T305" t="b">
        <f t="shared" si="17"/>
        <v>0</v>
      </c>
      <c r="U305" t="b">
        <f t="shared" si="18"/>
        <v>0</v>
      </c>
    </row>
    <row r="306" spans="1:21" x14ac:dyDescent="0.3">
      <c r="A306">
        <v>305</v>
      </c>
      <c r="B306" t="s">
        <v>321</v>
      </c>
      <c r="C306" s="2">
        <v>45727</v>
      </c>
      <c r="D306" s="2" t="str">
        <f t="shared" si="19"/>
        <v>Mar-2025</v>
      </c>
      <c r="E306" s="2">
        <v>45728</v>
      </c>
      <c r="F306" t="s">
        <v>1017</v>
      </c>
      <c r="G306" t="s">
        <v>1194</v>
      </c>
      <c r="H306" t="s">
        <v>1269</v>
      </c>
      <c r="I306" t="s">
        <v>1287</v>
      </c>
      <c r="J306" t="s">
        <v>1294</v>
      </c>
      <c r="K306" t="s">
        <v>1305</v>
      </c>
      <c r="L306" t="s">
        <v>1309</v>
      </c>
      <c r="M306" t="s">
        <v>1313</v>
      </c>
      <c r="N306">
        <v>1</v>
      </c>
      <c r="O306">
        <v>0</v>
      </c>
      <c r="P306">
        <v>1430.83</v>
      </c>
      <c r="Q306">
        <v>436.12</v>
      </c>
      <c r="R306" t="s">
        <v>1334</v>
      </c>
      <c r="S306" t="b">
        <f t="shared" si="16"/>
        <v>0</v>
      </c>
      <c r="T306" t="b">
        <f t="shared" si="17"/>
        <v>0</v>
      </c>
      <c r="U306" t="b">
        <f t="shared" si="18"/>
        <v>0</v>
      </c>
    </row>
    <row r="307" spans="1:21" x14ac:dyDescent="0.3">
      <c r="A307">
        <v>306</v>
      </c>
      <c r="B307" t="s">
        <v>322</v>
      </c>
      <c r="C307" s="2">
        <v>45857</v>
      </c>
      <c r="D307" s="2" t="str">
        <f t="shared" si="19"/>
        <v>Jul-2025</v>
      </c>
      <c r="E307" s="2">
        <v>45860</v>
      </c>
      <c r="F307" t="s">
        <v>1017</v>
      </c>
      <c r="G307" t="s">
        <v>1195</v>
      </c>
      <c r="H307" t="s">
        <v>1273</v>
      </c>
      <c r="I307" t="s">
        <v>1287</v>
      </c>
      <c r="J307" t="s">
        <v>1300</v>
      </c>
      <c r="K307" t="s">
        <v>1305</v>
      </c>
      <c r="L307" t="s">
        <v>1306</v>
      </c>
      <c r="M307" t="s">
        <v>1321</v>
      </c>
      <c r="N307">
        <v>2</v>
      </c>
      <c r="O307">
        <v>0.35</v>
      </c>
      <c r="P307">
        <v>880.73</v>
      </c>
      <c r="Q307">
        <v>303.93</v>
      </c>
      <c r="R307" t="s">
        <v>1330</v>
      </c>
      <c r="S307" t="b">
        <f t="shared" si="16"/>
        <v>0</v>
      </c>
      <c r="T307" t="b">
        <f t="shared" si="17"/>
        <v>0</v>
      </c>
      <c r="U307" t="b">
        <f t="shared" si="18"/>
        <v>0</v>
      </c>
    </row>
    <row r="308" spans="1:21" x14ac:dyDescent="0.3">
      <c r="A308">
        <v>307</v>
      </c>
      <c r="B308" t="s">
        <v>323</v>
      </c>
      <c r="C308" s="2">
        <v>45845</v>
      </c>
      <c r="D308" s="2" t="str">
        <f t="shared" si="19"/>
        <v>Jul-2025</v>
      </c>
      <c r="E308" s="2">
        <v>45848</v>
      </c>
      <c r="F308" t="s">
        <v>1017</v>
      </c>
      <c r="G308" t="s">
        <v>1049</v>
      </c>
      <c r="H308" t="s">
        <v>1280</v>
      </c>
      <c r="I308" t="s">
        <v>1288</v>
      </c>
      <c r="J308" t="s">
        <v>1290</v>
      </c>
      <c r="K308" t="s">
        <v>1302</v>
      </c>
      <c r="L308" t="s">
        <v>1309</v>
      </c>
      <c r="M308" t="s">
        <v>1317</v>
      </c>
      <c r="N308">
        <v>2</v>
      </c>
      <c r="O308">
        <v>0.15</v>
      </c>
      <c r="P308">
        <v>1379.86</v>
      </c>
      <c r="Q308">
        <v>218.98</v>
      </c>
      <c r="R308" t="s">
        <v>1331</v>
      </c>
      <c r="S308" t="b">
        <f t="shared" si="16"/>
        <v>0</v>
      </c>
      <c r="T308" t="b">
        <f t="shared" si="17"/>
        <v>0</v>
      </c>
      <c r="U308" t="b">
        <f t="shared" si="18"/>
        <v>0</v>
      </c>
    </row>
    <row r="309" spans="1:21" x14ac:dyDescent="0.3">
      <c r="A309">
        <v>308</v>
      </c>
      <c r="B309" t="s">
        <v>324</v>
      </c>
      <c r="C309" s="2">
        <v>45843</v>
      </c>
      <c r="D309" s="2" t="str">
        <f t="shared" si="19"/>
        <v>Jul-2025</v>
      </c>
      <c r="E309" s="2">
        <v>45848</v>
      </c>
      <c r="F309" t="s">
        <v>1017</v>
      </c>
      <c r="G309" t="s">
        <v>1126</v>
      </c>
      <c r="H309" t="s">
        <v>1285</v>
      </c>
      <c r="I309" t="s">
        <v>1287</v>
      </c>
      <c r="J309" t="s">
        <v>1295</v>
      </c>
      <c r="K309" t="s">
        <v>1305</v>
      </c>
      <c r="L309" t="s">
        <v>1307</v>
      </c>
      <c r="M309" t="s">
        <v>1314</v>
      </c>
      <c r="N309">
        <v>3</v>
      </c>
      <c r="O309">
        <v>0</v>
      </c>
      <c r="P309">
        <v>2626.9</v>
      </c>
      <c r="Q309">
        <v>876.92</v>
      </c>
      <c r="R309" t="s">
        <v>1331</v>
      </c>
      <c r="S309" t="b">
        <f t="shared" si="16"/>
        <v>0</v>
      </c>
      <c r="T309" t="b">
        <f t="shared" si="17"/>
        <v>0</v>
      </c>
      <c r="U309" t="b">
        <f t="shared" si="18"/>
        <v>0</v>
      </c>
    </row>
    <row r="310" spans="1:21" x14ac:dyDescent="0.3">
      <c r="A310">
        <v>309</v>
      </c>
      <c r="B310" t="s">
        <v>325</v>
      </c>
      <c r="C310" s="2">
        <v>45992</v>
      </c>
      <c r="D310" s="2" t="str">
        <f t="shared" si="19"/>
        <v>Dec-2025</v>
      </c>
      <c r="E310" s="2">
        <v>45993</v>
      </c>
      <c r="F310" t="s">
        <v>1018</v>
      </c>
      <c r="G310" t="s">
        <v>1196</v>
      </c>
      <c r="H310" t="s">
        <v>1271</v>
      </c>
      <c r="I310" t="s">
        <v>1287</v>
      </c>
      <c r="J310" t="s">
        <v>1299</v>
      </c>
      <c r="K310" t="s">
        <v>1304</v>
      </c>
      <c r="L310" t="s">
        <v>1307</v>
      </c>
      <c r="M310" t="s">
        <v>1316</v>
      </c>
      <c r="N310">
        <v>1</v>
      </c>
      <c r="O310">
        <v>0.15</v>
      </c>
      <c r="P310">
        <v>406.18</v>
      </c>
      <c r="Q310">
        <v>7.39</v>
      </c>
      <c r="R310" t="s">
        <v>1333</v>
      </c>
      <c r="S310" t="b">
        <f t="shared" si="16"/>
        <v>0</v>
      </c>
      <c r="T310" t="b">
        <f t="shared" si="17"/>
        <v>0</v>
      </c>
      <c r="U310" t="b">
        <f t="shared" si="18"/>
        <v>0</v>
      </c>
    </row>
    <row r="311" spans="1:21" x14ac:dyDescent="0.3">
      <c r="A311">
        <v>310</v>
      </c>
      <c r="B311" t="s">
        <v>326</v>
      </c>
      <c r="C311" s="2">
        <v>45729</v>
      </c>
      <c r="D311" s="2" t="str">
        <f t="shared" si="19"/>
        <v>Mar-2025</v>
      </c>
      <c r="E311" s="2">
        <v>45734</v>
      </c>
      <c r="F311" t="s">
        <v>1018</v>
      </c>
      <c r="G311" t="s">
        <v>1155</v>
      </c>
      <c r="H311" t="s">
        <v>1267</v>
      </c>
      <c r="I311" t="s">
        <v>1287</v>
      </c>
      <c r="J311" t="s">
        <v>1301</v>
      </c>
      <c r="K311" t="s">
        <v>1303</v>
      </c>
      <c r="L311" t="s">
        <v>1309</v>
      </c>
      <c r="M311" t="s">
        <v>1317</v>
      </c>
      <c r="N311">
        <v>2</v>
      </c>
      <c r="O311">
        <v>0</v>
      </c>
      <c r="P311">
        <v>1610.22</v>
      </c>
      <c r="Q311">
        <v>375.96</v>
      </c>
      <c r="R311" t="s">
        <v>1332</v>
      </c>
      <c r="S311" t="b">
        <f t="shared" si="16"/>
        <v>0</v>
      </c>
      <c r="T311" t="b">
        <f t="shared" si="17"/>
        <v>0</v>
      </c>
      <c r="U311" t="b">
        <f t="shared" si="18"/>
        <v>0</v>
      </c>
    </row>
    <row r="312" spans="1:21" x14ac:dyDescent="0.3">
      <c r="A312">
        <v>311</v>
      </c>
      <c r="B312" t="s">
        <v>327</v>
      </c>
      <c r="C312" s="2">
        <v>45677</v>
      </c>
      <c r="D312" s="2" t="str">
        <f t="shared" si="19"/>
        <v>Jan-2025</v>
      </c>
      <c r="E312" s="2">
        <v>45680</v>
      </c>
      <c r="F312" t="s">
        <v>1017</v>
      </c>
      <c r="G312" t="s">
        <v>1022</v>
      </c>
      <c r="H312" t="s">
        <v>1284</v>
      </c>
      <c r="I312" t="s">
        <v>1287</v>
      </c>
      <c r="J312" t="s">
        <v>1293</v>
      </c>
      <c r="K312" t="s">
        <v>1304</v>
      </c>
      <c r="L312" t="s">
        <v>1309</v>
      </c>
      <c r="M312" t="s">
        <v>1317</v>
      </c>
      <c r="N312">
        <v>1</v>
      </c>
      <c r="O312">
        <v>0.1</v>
      </c>
      <c r="P312">
        <v>730.35</v>
      </c>
      <c r="Q312">
        <v>79.78</v>
      </c>
      <c r="R312" t="s">
        <v>1333</v>
      </c>
      <c r="S312" t="b">
        <f t="shared" si="16"/>
        <v>0</v>
      </c>
      <c r="T312" t="b">
        <f t="shared" si="17"/>
        <v>0</v>
      </c>
      <c r="U312" t="b">
        <f t="shared" si="18"/>
        <v>0</v>
      </c>
    </row>
    <row r="313" spans="1:21" x14ac:dyDescent="0.3">
      <c r="A313">
        <v>312</v>
      </c>
      <c r="B313" t="s">
        <v>328</v>
      </c>
      <c r="C313" s="2">
        <v>45757</v>
      </c>
      <c r="D313" s="2" t="str">
        <f t="shared" si="19"/>
        <v>Apr-2025</v>
      </c>
      <c r="E313" s="2">
        <v>45760</v>
      </c>
      <c r="F313" t="s">
        <v>1018</v>
      </c>
      <c r="G313" t="s">
        <v>1197</v>
      </c>
      <c r="H313" t="s">
        <v>1275</v>
      </c>
      <c r="I313" t="s">
        <v>1289</v>
      </c>
      <c r="J313" t="s">
        <v>1290</v>
      </c>
      <c r="K313" t="s">
        <v>1302</v>
      </c>
      <c r="L313" t="s">
        <v>1309</v>
      </c>
      <c r="M313" t="s">
        <v>1329</v>
      </c>
      <c r="N313">
        <v>1</v>
      </c>
      <c r="O313">
        <v>0.15</v>
      </c>
      <c r="P313">
        <v>1598.53</v>
      </c>
      <c r="Q313">
        <v>104.53</v>
      </c>
      <c r="R313" t="s">
        <v>1330</v>
      </c>
      <c r="S313" t="b">
        <f t="shared" si="16"/>
        <v>0</v>
      </c>
      <c r="T313" t="b">
        <f t="shared" si="17"/>
        <v>0</v>
      </c>
      <c r="U313" t="b">
        <f t="shared" si="18"/>
        <v>0</v>
      </c>
    </row>
    <row r="314" spans="1:21" x14ac:dyDescent="0.3">
      <c r="A314">
        <v>313</v>
      </c>
      <c r="B314" t="s">
        <v>329</v>
      </c>
      <c r="C314" s="2">
        <v>45896</v>
      </c>
      <c r="D314" s="2" t="str">
        <f t="shared" si="19"/>
        <v>Aug-2025</v>
      </c>
      <c r="E314" s="2">
        <v>45900</v>
      </c>
      <c r="F314" t="s">
        <v>1019</v>
      </c>
      <c r="G314" t="s">
        <v>1174</v>
      </c>
      <c r="H314" t="s">
        <v>1280</v>
      </c>
      <c r="I314" t="s">
        <v>1287</v>
      </c>
      <c r="J314" t="s">
        <v>1301</v>
      </c>
      <c r="K314" t="s">
        <v>1303</v>
      </c>
      <c r="L314" t="s">
        <v>1306</v>
      </c>
      <c r="M314" t="s">
        <v>1324</v>
      </c>
      <c r="N314">
        <v>3</v>
      </c>
      <c r="O314">
        <v>0.15</v>
      </c>
      <c r="P314">
        <v>230.79</v>
      </c>
      <c r="Q314">
        <v>61.82</v>
      </c>
      <c r="R314" t="s">
        <v>1333</v>
      </c>
      <c r="S314" t="b">
        <f t="shared" si="16"/>
        <v>0</v>
      </c>
      <c r="T314" t="b">
        <f t="shared" si="17"/>
        <v>0</v>
      </c>
      <c r="U314" t="b">
        <f t="shared" si="18"/>
        <v>0</v>
      </c>
    </row>
    <row r="315" spans="1:21" x14ac:dyDescent="0.3">
      <c r="A315">
        <v>314</v>
      </c>
      <c r="B315" t="s">
        <v>330</v>
      </c>
      <c r="C315" s="2">
        <v>45816</v>
      </c>
      <c r="D315" s="2" t="str">
        <f t="shared" si="19"/>
        <v>Jun-2025</v>
      </c>
      <c r="E315" s="2">
        <v>45817</v>
      </c>
      <c r="F315" t="s">
        <v>1017</v>
      </c>
      <c r="G315" t="s">
        <v>1086</v>
      </c>
      <c r="H315" t="s">
        <v>1272</v>
      </c>
      <c r="I315" t="s">
        <v>1287</v>
      </c>
      <c r="J315" t="s">
        <v>1301</v>
      </c>
      <c r="K315" t="s">
        <v>1303</v>
      </c>
      <c r="L315" t="s">
        <v>1308</v>
      </c>
      <c r="M315" t="s">
        <v>1319</v>
      </c>
      <c r="N315">
        <v>1</v>
      </c>
      <c r="O315">
        <v>0.25</v>
      </c>
      <c r="P315">
        <v>3384.77</v>
      </c>
      <c r="Q315">
        <v>-236.02</v>
      </c>
      <c r="R315" t="s">
        <v>1331</v>
      </c>
      <c r="S315" t="b">
        <f t="shared" si="16"/>
        <v>0</v>
      </c>
      <c r="T315" t="b">
        <f t="shared" si="17"/>
        <v>0</v>
      </c>
      <c r="U315" t="b">
        <f t="shared" si="18"/>
        <v>0</v>
      </c>
    </row>
    <row r="316" spans="1:21" x14ac:dyDescent="0.3">
      <c r="A316">
        <v>315</v>
      </c>
      <c r="B316" t="s">
        <v>331</v>
      </c>
      <c r="C316" s="2">
        <v>45878</v>
      </c>
      <c r="D316" s="2" t="str">
        <f t="shared" si="19"/>
        <v>Aug-2025</v>
      </c>
      <c r="E316" s="2">
        <v>45882</v>
      </c>
      <c r="F316" t="s">
        <v>1018</v>
      </c>
      <c r="G316" t="s">
        <v>1043</v>
      </c>
      <c r="H316" t="s">
        <v>1286</v>
      </c>
      <c r="I316" t="s">
        <v>1289</v>
      </c>
      <c r="J316" t="s">
        <v>1301</v>
      </c>
      <c r="K316" t="s">
        <v>1303</v>
      </c>
      <c r="L316" t="s">
        <v>1309</v>
      </c>
      <c r="M316" t="s">
        <v>1325</v>
      </c>
      <c r="N316">
        <v>2</v>
      </c>
      <c r="O316">
        <v>0.15</v>
      </c>
      <c r="P316">
        <v>2195.91</v>
      </c>
      <c r="Q316">
        <v>120.84</v>
      </c>
      <c r="R316" t="s">
        <v>1331</v>
      </c>
      <c r="S316" t="b">
        <f t="shared" si="16"/>
        <v>0</v>
      </c>
      <c r="T316" t="b">
        <f t="shared" si="17"/>
        <v>0</v>
      </c>
      <c r="U316" t="b">
        <f t="shared" si="18"/>
        <v>0</v>
      </c>
    </row>
    <row r="317" spans="1:21" x14ac:dyDescent="0.3">
      <c r="A317">
        <v>316</v>
      </c>
      <c r="B317" t="s">
        <v>332</v>
      </c>
      <c r="C317" s="2">
        <v>45928</v>
      </c>
      <c r="D317" s="2" t="str">
        <f t="shared" si="19"/>
        <v>Sep-2025</v>
      </c>
      <c r="E317" s="2">
        <v>45930</v>
      </c>
      <c r="F317" t="s">
        <v>1017</v>
      </c>
      <c r="G317" t="s">
        <v>1137</v>
      </c>
      <c r="H317" t="s">
        <v>1267</v>
      </c>
      <c r="I317" t="s">
        <v>1289</v>
      </c>
      <c r="J317" t="s">
        <v>1292</v>
      </c>
      <c r="K317" t="s">
        <v>1303</v>
      </c>
      <c r="L317" t="s">
        <v>1309</v>
      </c>
      <c r="M317" t="s">
        <v>1320</v>
      </c>
      <c r="N317">
        <v>2</v>
      </c>
      <c r="O317">
        <v>0.1</v>
      </c>
      <c r="P317">
        <v>2161.2399999999998</v>
      </c>
      <c r="Q317">
        <v>526.54</v>
      </c>
      <c r="R317" t="s">
        <v>1332</v>
      </c>
      <c r="S317" t="b">
        <f t="shared" si="16"/>
        <v>0</v>
      </c>
      <c r="T317" t="b">
        <f t="shared" si="17"/>
        <v>0</v>
      </c>
      <c r="U317" t="b">
        <f t="shared" si="18"/>
        <v>0</v>
      </c>
    </row>
    <row r="318" spans="1:21" x14ac:dyDescent="0.3">
      <c r="A318">
        <v>317</v>
      </c>
      <c r="B318" t="s">
        <v>333</v>
      </c>
      <c r="C318" s="2">
        <v>45871</v>
      </c>
      <c r="D318" s="2" t="str">
        <f t="shared" si="19"/>
        <v>Aug-2025</v>
      </c>
      <c r="E318" s="2">
        <v>45874</v>
      </c>
      <c r="F318" t="s">
        <v>1018</v>
      </c>
      <c r="G318" t="s">
        <v>1079</v>
      </c>
      <c r="H318" t="s">
        <v>1280</v>
      </c>
      <c r="I318" t="s">
        <v>1289</v>
      </c>
      <c r="J318" t="s">
        <v>1299</v>
      </c>
      <c r="K318" t="s">
        <v>1304</v>
      </c>
      <c r="L318" t="s">
        <v>1308</v>
      </c>
      <c r="M318" t="s">
        <v>1312</v>
      </c>
      <c r="N318">
        <v>3</v>
      </c>
      <c r="O318">
        <v>0.05</v>
      </c>
      <c r="P318">
        <v>3867.55</v>
      </c>
      <c r="Q318">
        <v>1139.48</v>
      </c>
      <c r="R318" t="s">
        <v>1331</v>
      </c>
      <c r="S318" t="b">
        <f t="shared" si="16"/>
        <v>0</v>
      </c>
      <c r="T318" t="b">
        <f t="shared" si="17"/>
        <v>0</v>
      </c>
      <c r="U318" t="b">
        <f t="shared" si="18"/>
        <v>0</v>
      </c>
    </row>
    <row r="319" spans="1:21" x14ac:dyDescent="0.3">
      <c r="A319">
        <v>318</v>
      </c>
      <c r="B319" t="s">
        <v>334</v>
      </c>
      <c r="C319" s="2">
        <v>45936</v>
      </c>
      <c r="D319" s="2" t="str">
        <f t="shared" si="19"/>
        <v>Oct-2025</v>
      </c>
      <c r="E319" s="2">
        <v>45938</v>
      </c>
      <c r="F319" t="s">
        <v>1017</v>
      </c>
      <c r="G319" t="s">
        <v>1121</v>
      </c>
      <c r="H319" t="s">
        <v>1278</v>
      </c>
      <c r="I319" t="s">
        <v>1287</v>
      </c>
      <c r="J319" t="s">
        <v>1293</v>
      </c>
      <c r="K319" t="s">
        <v>1304</v>
      </c>
      <c r="L319" t="s">
        <v>1308</v>
      </c>
      <c r="M319" t="s">
        <v>1318</v>
      </c>
      <c r="N319">
        <v>1</v>
      </c>
      <c r="O319">
        <v>0.2</v>
      </c>
      <c r="P319">
        <v>4453.2</v>
      </c>
      <c r="Q319">
        <v>798.92</v>
      </c>
      <c r="R319" t="s">
        <v>1333</v>
      </c>
      <c r="S319" t="b">
        <f t="shared" si="16"/>
        <v>0</v>
      </c>
      <c r="T319" t="b">
        <f t="shared" si="17"/>
        <v>0</v>
      </c>
      <c r="U319" t="b">
        <f t="shared" si="18"/>
        <v>0</v>
      </c>
    </row>
    <row r="320" spans="1:21" x14ac:dyDescent="0.3">
      <c r="A320">
        <v>319</v>
      </c>
      <c r="B320" t="s">
        <v>335</v>
      </c>
      <c r="C320" s="2">
        <v>45784</v>
      </c>
      <c r="D320" s="2" t="str">
        <f t="shared" si="19"/>
        <v>May-2025</v>
      </c>
      <c r="E320" s="2">
        <v>45785</v>
      </c>
      <c r="F320" t="s">
        <v>1017</v>
      </c>
      <c r="G320" t="s">
        <v>1198</v>
      </c>
      <c r="H320" t="s">
        <v>1267</v>
      </c>
      <c r="I320" t="s">
        <v>1287</v>
      </c>
      <c r="J320" t="s">
        <v>1294</v>
      </c>
      <c r="K320" t="s">
        <v>1305</v>
      </c>
      <c r="L320" t="s">
        <v>1307</v>
      </c>
      <c r="M320" t="s">
        <v>1311</v>
      </c>
      <c r="N320">
        <v>3</v>
      </c>
      <c r="O320">
        <v>0.05</v>
      </c>
      <c r="P320">
        <v>814.01</v>
      </c>
      <c r="Q320">
        <v>229.23</v>
      </c>
      <c r="R320" t="s">
        <v>1334</v>
      </c>
      <c r="S320" t="b">
        <f t="shared" si="16"/>
        <v>0</v>
      </c>
      <c r="T320" t="b">
        <f t="shared" si="17"/>
        <v>0</v>
      </c>
      <c r="U320" t="b">
        <f t="shared" si="18"/>
        <v>0</v>
      </c>
    </row>
    <row r="321" spans="1:21" x14ac:dyDescent="0.3">
      <c r="A321">
        <v>320</v>
      </c>
      <c r="B321" t="s">
        <v>336</v>
      </c>
      <c r="C321" s="2">
        <v>45711</v>
      </c>
      <c r="D321" s="2" t="str">
        <f t="shared" si="19"/>
        <v>Feb-2025</v>
      </c>
      <c r="E321" s="2">
        <v>45714</v>
      </c>
      <c r="F321" t="s">
        <v>1017</v>
      </c>
      <c r="G321" t="s">
        <v>1160</v>
      </c>
      <c r="H321" t="s">
        <v>1268</v>
      </c>
      <c r="I321" t="s">
        <v>1287</v>
      </c>
      <c r="J321" t="s">
        <v>1293</v>
      </c>
      <c r="K321" t="s">
        <v>1304</v>
      </c>
      <c r="L321" t="s">
        <v>1307</v>
      </c>
      <c r="M321" t="s">
        <v>1316</v>
      </c>
      <c r="N321">
        <v>4</v>
      </c>
      <c r="O321">
        <v>0.1</v>
      </c>
      <c r="P321">
        <v>1713.66</v>
      </c>
      <c r="Q321">
        <v>247.02</v>
      </c>
      <c r="R321" t="s">
        <v>1332</v>
      </c>
      <c r="S321" t="b">
        <f t="shared" si="16"/>
        <v>0</v>
      </c>
      <c r="T321" t="b">
        <f t="shared" si="17"/>
        <v>0</v>
      </c>
      <c r="U321" t="b">
        <f t="shared" si="18"/>
        <v>0</v>
      </c>
    </row>
    <row r="322" spans="1:21" x14ac:dyDescent="0.3">
      <c r="A322">
        <v>321</v>
      </c>
      <c r="B322" t="s">
        <v>337</v>
      </c>
      <c r="C322" s="2">
        <v>45903</v>
      </c>
      <c r="D322" s="2" t="str">
        <f t="shared" si="19"/>
        <v>Sep-2025</v>
      </c>
      <c r="E322" s="2">
        <v>45905</v>
      </c>
      <c r="F322" t="s">
        <v>1017</v>
      </c>
      <c r="G322" t="s">
        <v>1110</v>
      </c>
      <c r="H322" t="s">
        <v>1274</v>
      </c>
      <c r="I322" t="s">
        <v>1287</v>
      </c>
      <c r="J322" t="s">
        <v>1291</v>
      </c>
      <c r="K322" t="s">
        <v>1302</v>
      </c>
      <c r="L322" t="s">
        <v>1306</v>
      </c>
      <c r="M322" t="s">
        <v>1328</v>
      </c>
      <c r="N322">
        <v>2</v>
      </c>
      <c r="O322">
        <v>0.1</v>
      </c>
      <c r="P322">
        <v>206.54</v>
      </c>
      <c r="Q322">
        <v>32.04</v>
      </c>
      <c r="R322" t="s">
        <v>1333</v>
      </c>
      <c r="S322" t="b">
        <f t="shared" ref="S322:S385" si="20">E322&lt;C322</f>
        <v>0</v>
      </c>
      <c r="T322" t="b">
        <f t="shared" ref="T322:T385" si="21">N322&lt;=0</f>
        <v>0</v>
      </c>
      <c r="U322" t="b">
        <f t="shared" ref="U322:U385" si="22">OR(O322&lt;0,O322&gt;1)</f>
        <v>0</v>
      </c>
    </row>
    <row r="323" spans="1:21" x14ac:dyDescent="0.3">
      <c r="A323">
        <v>322</v>
      </c>
      <c r="B323" t="s">
        <v>338</v>
      </c>
      <c r="C323" s="2">
        <v>45720</v>
      </c>
      <c r="D323" s="2" t="str">
        <f t="shared" ref="D323:D386" si="23">TEXT(C323,"mmm-yyyy")</f>
        <v>Mar-2025</v>
      </c>
      <c r="E323" s="2">
        <v>45725</v>
      </c>
      <c r="F323" t="s">
        <v>1017</v>
      </c>
      <c r="G323" t="s">
        <v>1049</v>
      </c>
      <c r="H323" t="s">
        <v>1268</v>
      </c>
      <c r="I323" t="s">
        <v>1287</v>
      </c>
      <c r="J323" t="s">
        <v>1291</v>
      </c>
      <c r="K323" t="s">
        <v>1302</v>
      </c>
      <c r="L323" t="s">
        <v>1309</v>
      </c>
      <c r="M323" t="s">
        <v>1313</v>
      </c>
      <c r="N323">
        <v>2</v>
      </c>
      <c r="O323">
        <v>0</v>
      </c>
      <c r="P323">
        <v>2943.3</v>
      </c>
      <c r="Q323">
        <v>929.01</v>
      </c>
      <c r="R323" t="s">
        <v>1331</v>
      </c>
      <c r="S323" t="b">
        <f t="shared" si="20"/>
        <v>0</v>
      </c>
      <c r="T323" t="b">
        <f t="shared" si="21"/>
        <v>0</v>
      </c>
      <c r="U323" t="b">
        <f t="shared" si="22"/>
        <v>0</v>
      </c>
    </row>
    <row r="324" spans="1:21" x14ac:dyDescent="0.3">
      <c r="A324">
        <v>323</v>
      </c>
      <c r="B324" t="s">
        <v>339</v>
      </c>
      <c r="C324" s="2">
        <v>45837</v>
      </c>
      <c r="D324" s="2" t="str">
        <f t="shared" si="23"/>
        <v>Jun-2025</v>
      </c>
      <c r="E324" s="2">
        <v>45841</v>
      </c>
      <c r="F324" t="s">
        <v>1017</v>
      </c>
      <c r="G324" t="s">
        <v>1093</v>
      </c>
      <c r="H324" t="s">
        <v>1284</v>
      </c>
      <c r="I324" t="s">
        <v>1288</v>
      </c>
      <c r="J324" t="s">
        <v>1292</v>
      </c>
      <c r="K324" t="s">
        <v>1303</v>
      </c>
      <c r="L324" t="s">
        <v>1308</v>
      </c>
      <c r="M324" t="s">
        <v>1327</v>
      </c>
      <c r="N324">
        <v>1</v>
      </c>
      <c r="O324">
        <v>0.15</v>
      </c>
      <c r="P324">
        <v>1568.77</v>
      </c>
      <c r="Q324">
        <v>191.62</v>
      </c>
      <c r="R324" t="s">
        <v>1331</v>
      </c>
      <c r="S324" t="b">
        <f t="shared" si="20"/>
        <v>0</v>
      </c>
      <c r="T324" t="b">
        <f t="shared" si="21"/>
        <v>0</v>
      </c>
      <c r="U324" t="b">
        <f t="shared" si="22"/>
        <v>0</v>
      </c>
    </row>
    <row r="325" spans="1:21" x14ac:dyDescent="0.3">
      <c r="A325">
        <v>324</v>
      </c>
      <c r="B325" t="s">
        <v>340</v>
      </c>
      <c r="C325" s="2">
        <v>45938</v>
      </c>
      <c r="D325" s="2" t="str">
        <f t="shared" si="23"/>
        <v>Oct-2025</v>
      </c>
      <c r="E325" s="2">
        <v>45942</v>
      </c>
      <c r="F325" t="s">
        <v>1017</v>
      </c>
      <c r="G325" t="s">
        <v>1199</v>
      </c>
      <c r="H325" t="s">
        <v>1283</v>
      </c>
      <c r="I325" t="s">
        <v>1288</v>
      </c>
      <c r="J325" t="s">
        <v>1290</v>
      </c>
      <c r="K325" t="s">
        <v>1302</v>
      </c>
      <c r="L325" t="s">
        <v>1309</v>
      </c>
      <c r="M325" t="s">
        <v>1320</v>
      </c>
      <c r="N325">
        <v>4</v>
      </c>
      <c r="O325">
        <v>0.1</v>
      </c>
      <c r="P325">
        <v>4276.57</v>
      </c>
      <c r="Q325">
        <v>1182.6099999999999</v>
      </c>
      <c r="R325" t="s">
        <v>1331</v>
      </c>
      <c r="S325" t="b">
        <f t="shared" si="20"/>
        <v>0</v>
      </c>
      <c r="T325" t="b">
        <f t="shared" si="21"/>
        <v>0</v>
      </c>
      <c r="U325" t="b">
        <f t="shared" si="22"/>
        <v>0</v>
      </c>
    </row>
    <row r="326" spans="1:21" x14ac:dyDescent="0.3">
      <c r="A326">
        <v>325</v>
      </c>
      <c r="B326" t="s">
        <v>341</v>
      </c>
      <c r="C326" s="2">
        <v>45986</v>
      </c>
      <c r="D326" s="2" t="str">
        <f t="shared" si="23"/>
        <v>Nov-2025</v>
      </c>
      <c r="E326" s="2">
        <v>45989</v>
      </c>
      <c r="F326" t="s">
        <v>1018</v>
      </c>
      <c r="G326" t="s">
        <v>1157</v>
      </c>
      <c r="H326" t="s">
        <v>1276</v>
      </c>
      <c r="I326" t="s">
        <v>1288</v>
      </c>
      <c r="J326" t="s">
        <v>1301</v>
      </c>
      <c r="K326" t="s">
        <v>1303</v>
      </c>
      <c r="L326" t="s">
        <v>1307</v>
      </c>
      <c r="M326" t="s">
        <v>1322</v>
      </c>
      <c r="N326">
        <v>1</v>
      </c>
      <c r="O326">
        <v>0.2</v>
      </c>
      <c r="P326">
        <v>554.24</v>
      </c>
      <c r="Q326">
        <v>87.23</v>
      </c>
      <c r="R326" t="s">
        <v>1334</v>
      </c>
      <c r="S326" t="b">
        <f t="shared" si="20"/>
        <v>0</v>
      </c>
      <c r="T326" t="b">
        <f t="shared" si="21"/>
        <v>0</v>
      </c>
      <c r="U326" t="b">
        <f t="shared" si="22"/>
        <v>0</v>
      </c>
    </row>
    <row r="327" spans="1:21" x14ac:dyDescent="0.3">
      <c r="A327">
        <v>326</v>
      </c>
      <c r="B327" t="s">
        <v>342</v>
      </c>
      <c r="C327" s="2">
        <v>45981</v>
      </c>
      <c r="D327" s="2" t="str">
        <f t="shared" si="23"/>
        <v>Nov-2025</v>
      </c>
      <c r="E327" s="2">
        <v>45986</v>
      </c>
      <c r="F327" t="s">
        <v>1017</v>
      </c>
      <c r="G327" t="s">
        <v>1200</v>
      </c>
      <c r="H327" t="s">
        <v>1274</v>
      </c>
      <c r="I327" t="s">
        <v>1287</v>
      </c>
      <c r="J327" t="s">
        <v>1292</v>
      </c>
      <c r="K327" t="s">
        <v>1303</v>
      </c>
      <c r="L327" t="s">
        <v>1306</v>
      </c>
      <c r="M327" t="s">
        <v>1324</v>
      </c>
      <c r="N327">
        <v>3</v>
      </c>
      <c r="O327">
        <v>0.05</v>
      </c>
      <c r="P327">
        <v>269.06</v>
      </c>
      <c r="Q327">
        <v>100.04</v>
      </c>
      <c r="R327" t="s">
        <v>1331</v>
      </c>
      <c r="S327" t="b">
        <f t="shared" si="20"/>
        <v>0</v>
      </c>
      <c r="T327" t="b">
        <f t="shared" si="21"/>
        <v>0</v>
      </c>
      <c r="U327" t="b">
        <f t="shared" si="22"/>
        <v>0</v>
      </c>
    </row>
    <row r="328" spans="1:21" x14ac:dyDescent="0.3">
      <c r="A328">
        <v>327</v>
      </c>
      <c r="B328" t="s">
        <v>343</v>
      </c>
      <c r="C328" s="2">
        <v>45752</v>
      </c>
      <c r="D328" s="2" t="str">
        <f t="shared" si="23"/>
        <v>Apr-2025</v>
      </c>
      <c r="E328" s="2">
        <v>45757</v>
      </c>
      <c r="F328" t="s">
        <v>1017</v>
      </c>
      <c r="G328" t="s">
        <v>1053</v>
      </c>
      <c r="H328" t="s">
        <v>1275</v>
      </c>
      <c r="I328" t="s">
        <v>1287</v>
      </c>
      <c r="J328" t="s">
        <v>1294</v>
      </c>
      <c r="K328" t="s">
        <v>1305</v>
      </c>
      <c r="L328" t="s">
        <v>1306</v>
      </c>
      <c r="M328" t="s">
        <v>1321</v>
      </c>
      <c r="N328">
        <v>2</v>
      </c>
      <c r="O328">
        <v>0.1</v>
      </c>
      <c r="P328">
        <v>831.71</v>
      </c>
      <c r="Q328">
        <v>195.52</v>
      </c>
      <c r="R328" t="s">
        <v>1332</v>
      </c>
      <c r="S328" t="b">
        <f t="shared" si="20"/>
        <v>0</v>
      </c>
      <c r="T328" t="b">
        <f t="shared" si="21"/>
        <v>0</v>
      </c>
      <c r="U328" t="b">
        <f t="shared" si="22"/>
        <v>0</v>
      </c>
    </row>
    <row r="329" spans="1:21" x14ac:dyDescent="0.3">
      <c r="A329">
        <v>328</v>
      </c>
      <c r="B329" t="s">
        <v>344</v>
      </c>
      <c r="C329" s="2">
        <v>45661</v>
      </c>
      <c r="D329" s="2" t="str">
        <f t="shared" si="23"/>
        <v>Jan-2025</v>
      </c>
      <c r="E329" s="2">
        <v>45663</v>
      </c>
      <c r="F329" t="s">
        <v>1017</v>
      </c>
      <c r="G329" t="s">
        <v>1032</v>
      </c>
      <c r="H329" t="s">
        <v>1277</v>
      </c>
      <c r="I329" t="s">
        <v>1288</v>
      </c>
      <c r="J329" t="s">
        <v>1300</v>
      </c>
      <c r="K329" t="s">
        <v>1305</v>
      </c>
      <c r="L329" t="s">
        <v>1309</v>
      </c>
      <c r="M329" t="s">
        <v>1329</v>
      </c>
      <c r="N329">
        <v>3</v>
      </c>
      <c r="O329">
        <v>0.1</v>
      </c>
      <c r="P329">
        <v>5139.3999999999996</v>
      </c>
      <c r="Q329">
        <v>1318.33</v>
      </c>
      <c r="R329" t="s">
        <v>1332</v>
      </c>
      <c r="S329" t="b">
        <f t="shared" si="20"/>
        <v>0</v>
      </c>
      <c r="T329" t="b">
        <f t="shared" si="21"/>
        <v>0</v>
      </c>
      <c r="U329" t="b">
        <f t="shared" si="22"/>
        <v>0</v>
      </c>
    </row>
    <row r="330" spans="1:21" x14ac:dyDescent="0.3">
      <c r="A330">
        <v>329</v>
      </c>
      <c r="B330" t="s">
        <v>345</v>
      </c>
      <c r="C330" s="2">
        <v>45953</v>
      </c>
      <c r="D330" s="2" t="str">
        <f t="shared" si="23"/>
        <v>Oct-2025</v>
      </c>
      <c r="E330" s="2">
        <v>45955</v>
      </c>
      <c r="F330" t="s">
        <v>1017</v>
      </c>
      <c r="G330" t="s">
        <v>1107</v>
      </c>
      <c r="H330" t="s">
        <v>1275</v>
      </c>
      <c r="I330" t="s">
        <v>1289</v>
      </c>
      <c r="J330" t="s">
        <v>1300</v>
      </c>
      <c r="K330" t="s">
        <v>1305</v>
      </c>
      <c r="L330" t="s">
        <v>1307</v>
      </c>
      <c r="M330" t="s">
        <v>1311</v>
      </c>
      <c r="N330">
        <v>2</v>
      </c>
      <c r="O330">
        <v>0</v>
      </c>
      <c r="P330">
        <v>608.4</v>
      </c>
      <c r="Q330">
        <v>136.35</v>
      </c>
      <c r="R330" t="s">
        <v>1332</v>
      </c>
      <c r="S330" t="b">
        <f t="shared" si="20"/>
        <v>0</v>
      </c>
      <c r="T330" t="b">
        <f t="shared" si="21"/>
        <v>0</v>
      </c>
      <c r="U330" t="b">
        <f t="shared" si="22"/>
        <v>0</v>
      </c>
    </row>
    <row r="331" spans="1:21" x14ac:dyDescent="0.3">
      <c r="A331">
        <v>330</v>
      </c>
      <c r="B331" t="s">
        <v>346</v>
      </c>
      <c r="C331" s="2">
        <v>45923</v>
      </c>
      <c r="D331" s="2" t="str">
        <f t="shared" si="23"/>
        <v>Sep-2025</v>
      </c>
      <c r="E331" s="2">
        <v>45927</v>
      </c>
      <c r="F331" t="s">
        <v>1018</v>
      </c>
      <c r="G331" t="s">
        <v>1105</v>
      </c>
      <c r="H331" t="s">
        <v>1270</v>
      </c>
      <c r="I331" t="s">
        <v>1287</v>
      </c>
      <c r="J331" t="s">
        <v>1301</v>
      </c>
      <c r="K331" t="s">
        <v>1303</v>
      </c>
      <c r="L331" t="s">
        <v>1309</v>
      </c>
      <c r="M331" t="s">
        <v>1313</v>
      </c>
      <c r="N331">
        <v>1</v>
      </c>
      <c r="O331">
        <v>0</v>
      </c>
      <c r="P331">
        <v>1565.41</v>
      </c>
      <c r="Q331">
        <v>538.95000000000005</v>
      </c>
      <c r="R331" t="s">
        <v>1332</v>
      </c>
      <c r="S331" t="b">
        <f t="shared" si="20"/>
        <v>0</v>
      </c>
      <c r="T331" t="b">
        <f t="shared" si="21"/>
        <v>0</v>
      </c>
      <c r="U331" t="b">
        <f t="shared" si="22"/>
        <v>0</v>
      </c>
    </row>
    <row r="332" spans="1:21" x14ac:dyDescent="0.3">
      <c r="A332">
        <v>331</v>
      </c>
      <c r="B332" t="s">
        <v>347</v>
      </c>
      <c r="C332" s="2">
        <v>45993</v>
      </c>
      <c r="D332" s="2" t="str">
        <f t="shared" si="23"/>
        <v>Dec-2025</v>
      </c>
      <c r="E332" s="2">
        <v>45995</v>
      </c>
      <c r="F332" t="s">
        <v>1017</v>
      </c>
      <c r="G332" t="s">
        <v>1099</v>
      </c>
      <c r="H332" t="s">
        <v>1285</v>
      </c>
      <c r="I332" t="s">
        <v>1287</v>
      </c>
      <c r="J332" t="s">
        <v>1297</v>
      </c>
      <c r="K332" t="s">
        <v>1304</v>
      </c>
      <c r="L332" t="s">
        <v>1309</v>
      </c>
      <c r="M332" t="s">
        <v>1317</v>
      </c>
      <c r="N332">
        <v>3</v>
      </c>
      <c r="O332">
        <v>0</v>
      </c>
      <c r="P332">
        <v>2321.12</v>
      </c>
      <c r="Q332">
        <v>550.15</v>
      </c>
      <c r="R332" t="s">
        <v>1332</v>
      </c>
      <c r="S332" t="b">
        <f t="shared" si="20"/>
        <v>0</v>
      </c>
      <c r="T332" t="b">
        <f t="shared" si="21"/>
        <v>0</v>
      </c>
      <c r="U332" t="b">
        <f t="shared" si="22"/>
        <v>0</v>
      </c>
    </row>
    <row r="333" spans="1:21" x14ac:dyDescent="0.3">
      <c r="A333">
        <v>332</v>
      </c>
      <c r="B333" t="s">
        <v>348</v>
      </c>
      <c r="C333" s="2">
        <v>45781</v>
      </c>
      <c r="D333" s="2" t="str">
        <f t="shared" si="23"/>
        <v>May-2025</v>
      </c>
      <c r="E333" s="2">
        <v>45785</v>
      </c>
      <c r="F333" t="s">
        <v>1018</v>
      </c>
      <c r="G333" t="s">
        <v>1201</v>
      </c>
      <c r="H333" t="s">
        <v>1278</v>
      </c>
      <c r="I333" t="s">
        <v>1287</v>
      </c>
      <c r="J333" t="s">
        <v>1292</v>
      </c>
      <c r="K333" t="s">
        <v>1303</v>
      </c>
      <c r="L333" t="s">
        <v>1307</v>
      </c>
      <c r="M333" t="s">
        <v>1314</v>
      </c>
      <c r="N333">
        <v>2</v>
      </c>
      <c r="O333">
        <v>0.1</v>
      </c>
      <c r="P333">
        <v>1565.55</v>
      </c>
      <c r="Q333">
        <v>344.37</v>
      </c>
      <c r="R333" t="s">
        <v>1330</v>
      </c>
      <c r="S333" t="b">
        <f t="shared" si="20"/>
        <v>0</v>
      </c>
      <c r="T333" t="b">
        <f t="shared" si="21"/>
        <v>0</v>
      </c>
      <c r="U333" t="b">
        <f t="shared" si="22"/>
        <v>0</v>
      </c>
    </row>
    <row r="334" spans="1:21" x14ac:dyDescent="0.3">
      <c r="A334">
        <v>333</v>
      </c>
      <c r="B334" t="s">
        <v>349</v>
      </c>
      <c r="C334" s="2">
        <v>45991</v>
      </c>
      <c r="D334" s="2" t="str">
        <f t="shared" si="23"/>
        <v>Nov-2025</v>
      </c>
      <c r="E334" s="2">
        <v>45996</v>
      </c>
      <c r="F334" t="s">
        <v>1019</v>
      </c>
      <c r="G334" t="s">
        <v>1143</v>
      </c>
      <c r="H334" t="s">
        <v>1286</v>
      </c>
      <c r="I334" t="s">
        <v>1288</v>
      </c>
      <c r="J334" t="s">
        <v>1292</v>
      </c>
      <c r="K334" t="s">
        <v>1303</v>
      </c>
      <c r="L334" t="s">
        <v>1308</v>
      </c>
      <c r="M334" t="s">
        <v>1327</v>
      </c>
      <c r="N334">
        <v>2</v>
      </c>
      <c r="O334">
        <v>0</v>
      </c>
      <c r="P334">
        <v>3634.31</v>
      </c>
      <c r="Q334">
        <v>1158.2</v>
      </c>
      <c r="R334" t="s">
        <v>1331</v>
      </c>
      <c r="S334" t="b">
        <f t="shared" si="20"/>
        <v>0</v>
      </c>
      <c r="T334" t="b">
        <f t="shared" si="21"/>
        <v>0</v>
      </c>
      <c r="U334" t="b">
        <f t="shared" si="22"/>
        <v>0</v>
      </c>
    </row>
    <row r="335" spans="1:21" x14ac:dyDescent="0.3">
      <c r="A335">
        <v>334</v>
      </c>
      <c r="B335" t="s">
        <v>350</v>
      </c>
      <c r="C335" s="2">
        <v>45821</v>
      </c>
      <c r="D335" s="2" t="str">
        <f t="shared" si="23"/>
        <v>Jun-2025</v>
      </c>
      <c r="E335" s="2">
        <v>45825</v>
      </c>
      <c r="F335" t="s">
        <v>1017</v>
      </c>
      <c r="G335" t="s">
        <v>1202</v>
      </c>
      <c r="H335" t="s">
        <v>1268</v>
      </c>
      <c r="I335" t="s">
        <v>1287</v>
      </c>
      <c r="J335" t="s">
        <v>1297</v>
      </c>
      <c r="K335" t="s">
        <v>1304</v>
      </c>
      <c r="L335" t="s">
        <v>1306</v>
      </c>
      <c r="M335" t="s">
        <v>1310</v>
      </c>
      <c r="N335">
        <v>2</v>
      </c>
      <c r="O335">
        <v>0.05</v>
      </c>
      <c r="P335">
        <v>1290.07</v>
      </c>
      <c r="Q335">
        <v>407.16</v>
      </c>
      <c r="R335" t="s">
        <v>1332</v>
      </c>
      <c r="S335" t="b">
        <f t="shared" si="20"/>
        <v>0</v>
      </c>
      <c r="T335" t="b">
        <f t="shared" si="21"/>
        <v>0</v>
      </c>
      <c r="U335" t="b">
        <f t="shared" si="22"/>
        <v>0</v>
      </c>
    </row>
    <row r="336" spans="1:21" x14ac:dyDescent="0.3">
      <c r="A336">
        <v>335</v>
      </c>
      <c r="B336" t="s">
        <v>351</v>
      </c>
      <c r="C336" s="2">
        <v>45856</v>
      </c>
      <c r="D336" s="2" t="str">
        <f t="shared" si="23"/>
        <v>Jul-2025</v>
      </c>
      <c r="E336" s="2">
        <v>45860</v>
      </c>
      <c r="F336" t="s">
        <v>1017</v>
      </c>
      <c r="G336" t="s">
        <v>1152</v>
      </c>
      <c r="H336" t="s">
        <v>1280</v>
      </c>
      <c r="I336" t="s">
        <v>1289</v>
      </c>
      <c r="J336" t="s">
        <v>1299</v>
      </c>
      <c r="K336" t="s">
        <v>1304</v>
      </c>
      <c r="L336" t="s">
        <v>1308</v>
      </c>
      <c r="M336" t="s">
        <v>1312</v>
      </c>
      <c r="N336">
        <v>3</v>
      </c>
      <c r="O336">
        <v>0.1</v>
      </c>
      <c r="P336">
        <v>3656.1</v>
      </c>
      <c r="Q336">
        <v>880.91</v>
      </c>
      <c r="R336" t="s">
        <v>1332</v>
      </c>
      <c r="S336" t="b">
        <f t="shared" si="20"/>
        <v>0</v>
      </c>
      <c r="T336" t="b">
        <f t="shared" si="21"/>
        <v>0</v>
      </c>
      <c r="U336" t="b">
        <f t="shared" si="22"/>
        <v>0</v>
      </c>
    </row>
    <row r="337" spans="1:21" x14ac:dyDescent="0.3">
      <c r="A337">
        <v>336</v>
      </c>
      <c r="B337" t="s">
        <v>352</v>
      </c>
      <c r="C337" s="2">
        <v>45740</v>
      </c>
      <c r="D337" s="2" t="str">
        <f t="shared" si="23"/>
        <v>Mar-2025</v>
      </c>
      <c r="E337" s="2">
        <v>45745</v>
      </c>
      <c r="F337" t="s">
        <v>1017</v>
      </c>
      <c r="G337" t="s">
        <v>1203</v>
      </c>
      <c r="H337" t="s">
        <v>1278</v>
      </c>
      <c r="I337" t="s">
        <v>1288</v>
      </c>
      <c r="J337" t="s">
        <v>1299</v>
      </c>
      <c r="K337" t="s">
        <v>1304</v>
      </c>
      <c r="L337" t="s">
        <v>1309</v>
      </c>
      <c r="M337" t="s">
        <v>1329</v>
      </c>
      <c r="N337">
        <v>1</v>
      </c>
      <c r="O337">
        <v>0.05</v>
      </c>
      <c r="P337">
        <v>1886.61</v>
      </c>
      <c r="Q337">
        <v>494.36</v>
      </c>
      <c r="R337" t="s">
        <v>1331</v>
      </c>
      <c r="S337" t="b">
        <f t="shared" si="20"/>
        <v>0</v>
      </c>
      <c r="T337" t="b">
        <f t="shared" si="21"/>
        <v>0</v>
      </c>
      <c r="U337" t="b">
        <f t="shared" si="22"/>
        <v>0</v>
      </c>
    </row>
    <row r="338" spans="1:21" x14ac:dyDescent="0.3">
      <c r="A338">
        <v>337</v>
      </c>
      <c r="B338" t="s">
        <v>353</v>
      </c>
      <c r="C338" s="2">
        <v>45711</v>
      </c>
      <c r="D338" s="2" t="str">
        <f t="shared" si="23"/>
        <v>Feb-2025</v>
      </c>
      <c r="E338" s="2">
        <v>45714</v>
      </c>
      <c r="F338" t="s">
        <v>1019</v>
      </c>
      <c r="G338" t="s">
        <v>1091</v>
      </c>
      <c r="H338" t="s">
        <v>1267</v>
      </c>
      <c r="I338" t="s">
        <v>1289</v>
      </c>
      <c r="J338" t="s">
        <v>1297</v>
      </c>
      <c r="K338" t="s">
        <v>1304</v>
      </c>
      <c r="L338" t="s">
        <v>1309</v>
      </c>
      <c r="M338" t="s">
        <v>1317</v>
      </c>
      <c r="N338">
        <v>1</v>
      </c>
      <c r="O338">
        <v>0</v>
      </c>
      <c r="P338">
        <v>801.55</v>
      </c>
      <c r="Q338">
        <v>166.57</v>
      </c>
      <c r="R338" t="s">
        <v>1331</v>
      </c>
      <c r="S338" t="b">
        <f t="shared" si="20"/>
        <v>0</v>
      </c>
      <c r="T338" t="b">
        <f t="shared" si="21"/>
        <v>0</v>
      </c>
      <c r="U338" t="b">
        <f t="shared" si="22"/>
        <v>0</v>
      </c>
    </row>
    <row r="339" spans="1:21" x14ac:dyDescent="0.3">
      <c r="A339">
        <v>338</v>
      </c>
      <c r="B339" t="s">
        <v>354</v>
      </c>
      <c r="C339" s="2">
        <v>45686</v>
      </c>
      <c r="D339" s="2" t="str">
        <f t="shared" si="23"/>
        <v>Jan-2025</v>
      </c>
      <c r="E339" s="2">
        <v>45689</v>
      </c>
      <c r="F339" t="s">
        <v>1018</v>
      </c>
      <c r="G339" t="s">
        <v>1086</v>
      </c>
      <c r="H339" t="s">
        <v>1285</v>
      </c>
      <c r="I339" t="s">
        <v>1288</v>
      </c>
      <c r="J339" t="s">
        <v>1293</v>
      </c>
      <c r="K339" t="s">
        <v>1304</v>
      </c>
      <c r="L339" t="s">
        <v>1306</v>
      </c>
      <c r="M339" t="s">
        <v>1323</v>
      </c>
      <c r="N339">
        <v>3</v>
      </c>
      <c r="O339">
        <v>0.15</v>
      </c>
      <c r="P339">
        <v>452.79</v>
      </c>
      <c r="Q339">
        <v>38.229999999999997</v>
      </c>
      <c r="R339" t="s">
        <v>1331</v>
      </c>
      <c r="S339" t="b">
        <f t="shared" si="20"/>
        <v>0</v>
      </c>
      <c r="T339" t="b">
        <f t="shared" si="21"/>
        <v>0</v>
      </c>
      <c r="U339" t="b">
        <f t="shared" si="22"/>
        <v>0</v>
      </c>
    </row>
    <row r="340" spans="1:21" x14ac:dyDescent="0.3">
      <c r="A340">
        <v>339</v>
      </c>
      <c r="B340" t="s">
        <v>355</v>
      </c>
      <c r="C340" s="2">
        <v>45828</v>
      </c>
      <c r="D340" s="2" t="str">
        <f t="shared" si="23"/>
        <v>Jun-2025</v>
      </c>
      <c r="E340" s="2">
        <v>45833</v>
      </c>
      <c r="F340" t="s">
        <v>1017</v>
      </c>
      <c r="G340" t="s">
        <v>1168</v>
      </c>
      <c r="H340" t="s">
        <v>1280</v>
      </c>
      <c r="I340" t="s">
        <v>1289</v>
      </c>
      <c r="J340" t="s">
        <v>1301</v>
      </c>
      <c r="K340" t="s">
        <v>1303</v>
      </c>
      <c r="L340" t="s">
        <v>1307</v>
      </c>
      <c r="M340" t="s">
        <v>1322</v>
      </c>
      <c r="N340">
        <v>5</v>
      </c>
      <c r="O340">
        <v>0</v>
      </c>
      <c r="P340">
        <v>3555.71</v>
      </c>
      <c r="Q340">
        <v>852.33</v>
      </c>
      <c r="R340" t="s">
        <v>1331</v>
      </c>
      <c r="S340" t="b">
        <f t="shared" si="20"/>
        <v>0</v>
      </c>
      <c r="T340" t="b">
        <f t="shared" si="21"/>
        <v>0</v>
      </c>
      <c r="U340" t="b">
        <f t="shared" si="22"/>
        <v>0</v>
      </c>
    </row>
    <row r="341" spans="1:21" x14ac:dyDescent="0.3">
      <c r="A341">
        <v>340</v>
      </c>
      <c r="B341" t="s">
        <v>356</v>
      </c>
      <c r="C341" s="2">
        <v>45956</v>
      </c>
      <c r="D341" s="2" t="str">
        <f t="shared" si="23"/>
        <v>Oct-2025</v>
      </c>
      <c r="E341" s="2">
        <v>45961</v>
      </c>
      <c r="F341" t="s">
        <v>1017</v>
      </c>
      <c r="G341" t="s">
        <v>1084</v>
      </c>
      <c r="H341" t="s">
        <v>1272</v>
      </c>
      <c r="I341" t="s">
        <v>1288</v>
      </c>
      <c r="J341" t="s">
        <v>1295</v>
      </c>
      <c r="K341" t="s">
        <v>1305</v>
      </c>
      <c r="L341" t="s">
        <v>1309</v>
      </c>
      <c r="M341" t="s">
        <v>1325</v>
      </c>
      <c r="N341">
        <v>1</v>
      </c>
      <c r="O341">
        <v>0.1</v>
      </c>
      <c r="P341">
        <v>1173.94</v>
      </c>
      <c r="Q341">
        <v>346.21</v>
      </c>
      <c r="R341" t="s">
        <v>1333</v>
      </c>
      <c r="S341" t="b">
        <f t="shared" si="20"/>
        <v>0</v>
      </c>
      <c r="T341" t="b">
        <f t="shared" si="21"/>
        <v>0</v>
      </c>
      <c r="U341" t="b">
        <f t="shared" si="22"/>
        <v>0</v>
      </c>
    </row>
    <row r="342" spans="1:21" x14ac:dyDescent="0.3">
      <c r="A342">
        <v>341</v>
      </c>
      <c r="B342" t="s">
        <v>357</v>
      </c>
      <c r="C342" s="2">
        <v>45932</v>
      </c>
      <c r="D342" s="2" t="str">
        <f t="shared" si="23"/>
        <v>Oct-2025</v>
      </c>
      <c r="E342" s="2">
        <v>45936</v>
      </c>
      <c r="F342" t="s">
        <v>1018</v>
      </c>
      <c r="G342" t="s">
        <v>1204</v>
      </c>
      <c r="H342" t="s">
        <v>1282</v>
      </c>
      <c r="I342" t="s">
        <v>1288</v>
      </c>
      <c r="J342" t="s">
        <v>1295</v>
      </c>
      <c r="K342" t="s">
        <v>1305</v>
      </c>
      <c r="L342" t="s">
        <v>1309</v>
      </c>
      <c r="M342" t="s">
        <v>1325</v>
      </c>
      <c r="N342">
        <v>3</v>
      </c>
      <c r="O342">
        <v>0</v>
      </c>
      <c r="P342">
        <v>3822.09</v>
      </c>
      <c r="Q342">
        <v>927.68</v>
      </c>
      <c r="R342" t="s">
        <v>1332</v>
      </c>
      <c r="S342" t="b">
        <f t="shared" si="20"/>
        <v>0</v>
      </c>
      <c r="T342" t="b">
        <f t="shared" si="21"/>
        <v>0</v>
      </c>
      <c r="U342" t="b">
        <f t="shared" si="22"/>
        <v>0</v>
      </c>
    </row>
    <row r="343" spans="1:21" x14ac:dyDescent="0.3">
      <c r="A343">
        <v>342</v>
      </c>
      <c r="B343" t="s">
        <v>358</v>
      </c>
      <c r="C343" s="2">
        <v>45811</v>
      </c>
      <c r="D343" s="2" t="str">
        <f t="shared" si="23"/>
        <v>Jun-2025</v>
      </c>
      <c r="E343" s="2">
        <v>45815</v>
      </c>
      <c r="F343" t="s">
        <v>1017</v>
      </c>
      <c r="G343" t="s">
        <v>1205</v>
      </c>
      <c r="H343" t="s">
        <v>1268</v>
      </c>
      <c r="I343" t="s">
        <v>1287</v>
      </c>
      <c r="J343" t="s">
        <v>1292</v>
      </c>
      <c r="K343" t="s">
        <v>1303</v>
      </c>
      <c r="L343" t="s">
        <v>1306</v>
      </c>
      <c r="M343" t="s">
        <v>1321</v>
      </c>
      <c r="N343">
        <v>2</v>
      </c>
      <c r="O343">
        <v>0</v>
      </c>
      <c r="P343">
        <v>887.28</v>
      </c>
      <c r="Q343">
        <v>165.24</v>
      </c>
      <c r="R343" t="s">
        <v>1332</v>
      </c>
      <c r="S343" t="b">
        <f t="shared" si="20"/>
        <v>0</v>
      </c>
      <c r="T343" t="b">
        <f t="shared" si="21"/>
        <v>0</v>
      </c>
      <c r="U343" t="b">
        <f t="shared" si="22"/>
        <v>0</v>
      </c>
    </row>
    <row r="344" spans="1:21" x14ac:dyDescent="0.3">
      <c r="A344">
        <v>343</v>
      </c>
      <c r="B344" t="s">
        <v>359</v>
      </c>
      <c r="C344" s="2">
        <v>45962</v>
      </c>
      <c r="D344" s="2" t="str">
        <f t="shared" si="23"/>
        <v>Nov-2025</v>
      </c>
      <c r="E344" s="2">
        <v>45964</v>
      </c>
      <c r="F344" t="s">
        <v>1017</v>
      </c>
      <c r="G344" t="s">
        <v>1206</v>
      </c>
      <c r="H344" t="s">
        <v>1269</v>
      </c>
      <c r="I344" t="s">
        <v>1288</v>
      </c>
      <c r="J344" t="s">
        <v>1297</v>
      </c>
      <c r="K344" t="s">
        <v>1304</v>
      </c>
      <c r="L344" t="s">
        <v>1308</v>
      </c>
      <c r="M344" t="s">
        <v>1318</v>
      </c>
      <c r="N344">
        <v>3</v>
      </c>
      <c r="O344">
        <v>0.05</v>
      </c>
      <c r="P344">
        <v>15534.67</v>
      </c>
      <c r="Q344">
        <v>2222.48</v>
      </c>
      <c r="R344" t="s">
        <v>1330</v>
      </c>
      <c r="S344" t="b">
        <f t="shared" si="20"/>
        <v>0</v>
      </c>
      <c r="T344" t="b">
        <f t="shared" si="21"/>
        <v>0</v>
      </c>
      <c r="U344" t="b">
        <f t="shared" si="22"/>
        <v>0</v>
      </c>
    </row>
    <row r="345" spans="1:21" x14ac:dyDescent="0.3">
      <c r="A345">
        <v>344</v>
      </c>
      <c r="B345" t="s">
        <v>360</v>
      </c>
      <c r="C345" s="2">
        <v>45692</v>
      </c>
      <c r="D345" s="2" t="str">
        <f t="shared" si="23"/>
        <v>Feb-2025</v>
      </c>
      <c r="E345" s="2">
        <v>45696</v>
      </c>
      <c r="F345" t="s">
        <v>1017</v>
      </c>
      <c r="G345" t="s">
        <v>1207</v>
      </c>
      <c r="H345" t="s">
        <v>1280</v>
      </c>
      <c r="I345" t="s">
        <v>1287</v>
      </c>
      <c r="J345" t="s">
        <v>1296</v>
      </c>
      <c r="K345" t="s">
        <v>1304</v>
      </c>
      <c r="L345" t="s">
        <v>1306</v>
      </c>
      <c r="M345" t="s">
        <v>1310</v>
      </c>
      <c r="N345">
        <v>1</v>
      </c>
      <c r="O345">
        <v>0</v>
      </c>
      <c r="P345">
        <v>682.35</v>
      </c>
      <c r="Q345">
        <v>220.62</v>
      </c>
      <c r="R345" t="s">
        <v>1330</v>
      </c>
      <c r="S345" t="b">
        <f t="shared" si="20"/>
        <v>0</v>
      </c>
      <c r="T345" t="b">
        <f t="shared" si="21"/>
        <v>0</v>
      </c>
      <c r="U345" t="b">
        <f t="shared" si="22"/>
        <v>0</v>
      </c>
    </row>
    <row r="346" spans="1:21" x14ac:dyDescent="0.3">
      <c r="A346">
        <v>345</v>
      </c>
      <c r="B346" t="s">
        <v>361</v>
      </c>
      <c r="C346" s="2">
        <v>45901</v>
      </c>
      <c r="D346" s="2" t="str">
        <f t="shared" si="23"/>
        <v>Sep-2025</v>
      </c>
      <c r="E346" s="2">
        <v>45903</v>
      </c>
      <c r="F346" t="s">
        <v>1019</v>
      </c>
      <c r="G346" t="s">
        <v>1167</v>
      </c>
      <c r="H346" t="s">
        <v>1275</v>
      </c>
      <c r="I346" t="s">
        <v>1289</v>
      </c>
      <c r="J346" t="s">
        <v>1290</v>
      </c>
      <c r="K346" t="s">
        <v>1302</v>
      </c>
      <c r="L346" t="s">
        <v>1306</v>
      </c>
      <c r="M346" t="s">
        <v>1328</v>
      </c>
      <c r="N346">
        <v>3</v>
      </c>
      <c r="O346">
        <v>0.1</v>
      </c>
      <c r="P346">
        <v>309.79000000000002</v>
      </c>
      <c r="Q346">
        <v>28</v>
      </c>
      <c r="R346" t="s">
        <v>1331</v>
      </c>
      <c r="S346" t="b">
        <f t="shared" si="20"/>
        <v>0</v>
      </c>
      <c r="T346" t="b">
        <f t="shared" si="21"/>
        <v>0</v>
      </c>
      <c r="U346" t="b">
        <f t="shared" si="22"/>
        <v>0</v>
      </c>
    </row>
    <row r="347" spans="1:21" x14ac:dyDescent="0.3">
      <c r="A347">
        <v>346</v>
      </c>
      <c r="B347" t="s">
        <v>362</v>
      </c>
      <c r="C347" s="2">
        <v>45658</v>
      </c>
      <c r="D347" s="2" t="str">
        <f t="shared" si="23"/>
        <v>Jan-2025</v>
      </c>
      <c r="E347" s="2">
        <v>45662</v>
      </c>
      <c r="F347" t="s">
        <v>1018</v>
      </c>
      <c r="G347" t="s">
        <v>1164</v>
      </c>
      <c r="H347" t="s">
        <v>1283</v>
      </c>
      <c r="I347" t="s">
        <v>1288</v>
      </c>
      <c r="J347" t="s">
        <v>1293</v>
      </c>
      <c r="K347" t="s">
        <v>1304</v>
      </c>
      <c r="L347" t="s">
        <v>1306</v>
      </c>
      <c r="M347" t="s">
        <v>1310</v>
      </c>
      <c r="N347">
        <v>2</v>
      </c>
      <c r="O347">
        <v>0.05</v>
      </c>
      <c r="P347">
        <v>1221.6300000000001</v>
      </c>
      <c r="Q347">
        <v>373.34</v>
      </c>
      <c r="R347" t="s">
        <v>1333</v>
      </c>
      <c r="S347" t="b">
        <f t="shared" si="20"/>
        <v>0</v>
      </c>
      <c r="T347" t="b">
        <f t="shared" si="21"/>
        <v>0</v>
      </c>
      <c r="U347" t="b">
        <f t="shared" si="22"/>
        <v>0</v>
      </c>
    </row>
    <row r="348" spans="1:21" x14ac:dyDescent="0.3">
      <c r="A348">
        <v>347</v>
      </c>
      <c r="B348" t="s">
        <v>363</v>
      </c>
      <c r="C348" s="2">
        <v>45901</v>
      </c>
      <c r="D348" s="2" t="str">
        <f t="shared" si="23"/>
        <v>Sep-2025</v>
      </c>
      <c r="E348" s="2">
        <v>45904</v>
      </c>
      <c r="F348" t="s">
        <v>1017</v>
      </c>
      <c r="G348" t="s">
        <v>1148</v>
      </c>
      <c r="H348" t="s">
        <v>1268</v>
      </c>
      <c r="I348" t="s">
        <v>1288</v>
      </c>
      <c r="J348" t="s">
        <v>1300</v>
      </c>
      <c r="K348" t="s">
        <v>1305</v>
      </c>
      <c r="L348" t="s">
        <v>1307</v>
      </c>
      <c r="M348" t="s">
        <v>1322</v>
      </c>
      <c r="N348">
        <v>1</v>
      </c>
      <c r="O348">
        <v>0.2</v>
      </c>
      <c r="P348">
        <v>569.17999999999995</v>
      </c>
      <c r="Q348">
        <v>52.93</v>
      </c>
      <c r="R348" t="s">
        <v>1334</v>
      </c>
      <c r="S348" t="b">
        <f t="shared" si="20"/>
        <v>0</v>
      </c>
      <c r="T348" t="b">
        <f t="shared" si="21"/>
        <v>0</v>
      </c>
      <c r="U348" t="b">
        <f t="shared" si="22"/>
        <v>0</v>
      </c>
    </row>
    <row r="349" spans="1:21" x14ac:dyDescent="0.3">
      <c r="A349">
        <v>348</v>
      </c>
      <c r="B349" t="s">
        <v>364</v>
      </c>
      <c r="C349" s="2">
        <v>45696</v>
      </c>
      <c r="D349" s="2" t="str">
        <f t="shared" si="23"/>
        <v>Feb-2025</v>
      </c>
      <c r="E349" s="2">
        <v>45697</v>
      </c>
      <c r="F349" t="s">
        <v>1017</v>
      </c>
      <c r="G349" t="s">
        <v>1086</v>
      </c>
      <c r="H349" t="s">
        <v>1285</v>
      </c>
      <c r="I349" t="s">
        <v>1289</v>
      </c>
      <c r="J349" t="s">
        <v>1299</v>
      </c>
      <c r="K349" t="s">
        <v>1304</v>
      </c>
      <c r="L349" t="s">
        <v>1306</v>
      </c>
      <c r="M349" t="s">
        <v>1310</v>
      </c>
      <c r="N349">
        <v>2</v>
      </c>
      <c r="O349">
        <v>0.05</v>
      </c>
      <c r="P349">
        <v>1275.56</v>
      </c>
      <c r="Q349">
        <v>448.71</v>
      </c>
      <c r="R349" t="s">
        <v>1332</v>
      </c>
      <c r="S349" t="b">
        <f t="shared" si="20"/>
        <v>0</v>
      </c>
      <c r="T349" t="b">
        <f t="shared" si="21"/>
        <v>0</v>
      </c>
      <c r="U349" t="b">
        <f t="shared" si="22"/>
        <v>0</v>
      </c>
    </row>
    <row r="350" spans="1:21" x14ac:dyDescent="0.3">
      <c r="A350">
        <v>349</v>
      </c>
      <c r="B350" t="s">
        <v>365</v>
      </c>
      <c r="C350" s="2">
        <v>45747</v>
      </c>
      <c r="D350" s="2" t="str">
        <f t="shared" si="23"/>
        <v>Mar-2025</v>
      </c>
      <c r="E350" s="2">
        <v>45752</v>
      </c>
      <c r="F350" t="s">
        <v>1018</v>
      </c>
      <c r="G350" t="s">
        <v>1054</v>
      </c>
      <c r="H350" t="s">
        <v>1273</v>
      </c>
      <c r="I350" t="s">
        <v>1287</v>
      </c>
      <c r="J350" t="s">
        <v>1299</v>
      </c>
      <c r="K350" t="s">
        <v>1304</v>
      </c>
      <c r="L350" t="s">
        <v>1309</v>
      </c>
      <c r="M350" t="s">
        <v>1320</v>
      </c>
      <c r="N350">
        <v>1</v>
      </c>
      <c r="O350">
        <v>0.25</v>
      </c>
      <c r="P350">
        <v>889.73</v>
      </c>
      <c r="Q350">
        <v>1.67</v>
      </c>
      <c r="R350" t="s">
        <v>1330</v>
      </c>
      <c r="S350" t="b">
        <f t="shared" si="20"/>
        <v>0</v>
      </c>
      <c r="T350" t="b">
        <f t="shared" si="21"/>
        <v>0</v>
      </c>
      <c r="U350" t="b">
        <f t="shared" si="22"/>
        <v>0</v>
      </c>
    </row>
    <row r="351" spans="1:21" x14ac:dyDescent="0.3">
      <c r="A351">
        <v>350</v>
      </c>
      <c r="B351" t="s">
        <v>366</v>
      </c>
      <c r="C351" s="2">
        <v>46007</v>
      </c>
      <c r="D351" s="2" t="str">
        <f t="shared" si="23"/>
        <v>Dec-2025</v>
      </c>
      <c r="E351" s="2">
        <v>46010</v>
      </c>
      <c r="F351" t="s">
        <v>1017</v>
      </c>
      <c r="G351" t="s">
        <v>1180</v>
      </c>
      <c r="H351" t="s">
        <v>1277</v>
      </c>
      <c r="I351" t="s">
        <v>1288</v>
      </c>
      <c r="J351" t="s">
        <v>1299</v>
      </c>
      <c r="K351" t="s">
        <v>1304</v>
      </c>
      <c r="L351" t="s">
        <v>1309</v>
      </c>
      <c r="M351" t="s">
        <v>1325</v>
      </c>
      <c r="N351">
        <v>1</v>
      </c>
      <c r="O351">
        <v>0.15</v>
      </c>
      <c r="P351">
        <v>1086.69</v>
      </c>
      <c r="Q351">
        <v>54.28</v>
      </c>
      <c r="R351" t="s">
        <v>1331</v>
      </c>
      <c r="S351" t="b">
        <f t="shared" si="20"/>
        <v>0</v>
      </c>
      <c r="T351" t="b">
        <f t="shared" si="21"/>
        <v>0</v>
      </c>
      <c r="U351" t="b">
        <f t="shared" si="22"/>
        <v>0</v>
      </c>
    </row>
    <row r="352" spans="1:21" x14ac:dyDescent="0.3">
      <c r="A352">
        <v>351</v>
      </c>
      <c r="B352" t="s">
        <v>367</v>
      </c>
      <c r="C352" s="2">
        <v>45828</v>
      </c>
      <c r="D352" s="2" t="str">
        <f t="shared" si="23"/>
        <v>Jun-2025</v>
      </c>
      <c r="E352" s="2">
        <v>45830</v>
      </c>
      <c r="F352" t="s">
        <v>1017</v>
      </c>
      <c r="G352" t="s">
        <v>1031</v>
      </c>
      <c r="H352" t="s">
        <v>1281</v>
      </c>
      <c r="I352" t="s">
        <v>1289</v>
      </c>
      <c r="J352" t="s">
        <v>1291</v>
      </c>
      <c r="K352" t="s">
        <v>1302</v>
      </c>
      <c r="L352" t="s">
        <v>1308</v>
      </c>
      <c r="M352" t="s">
        <v>1327</v>
      </c>
      <c r="N352">
        <v>1</v>
      </c>
      <c r="O352">
        <v>0.1</v>
      </c>
      <c r="P352">
        <v>1600.19</v>
      </c>
      <c r="Q352">
        <v>406.97</v>
      </c>
      <c r="R352" t="s">
        <v>1333</v>
      </c>
      <c r="S352" t="b">
        <f t="shared" si="20"/>
        <v>0</v>
      </c>
      <c r="T352" t="b">
        <f t="shared" si="21"/>
        <v>0</v>
      </c>
      <c r="U352" t="b">
        <f t="shared" si="22"/>
        <v>0</v>
      </c>
    </row>
    <row r="353" spans="1:21" x14ac:dyDescent="0.3">
      <c r="A353">
        <v>352</v>
      </c>
      <c r="B353" t="s">
        <v>368</v>
      </c>
      <c r="C353" s="2">
        <v>45791</v>
      </c>
      <c r="D353" s="2" t="str">
        <f t="shared" si="23"/>
        <v>May-2025</v>
      </c>
      <c r="E353" s="2">
        <v>45793</v>
      </c>
      <c r="F353" t="s">
        <v>1017</v>
      </c>
      <c r="G353" t="s">
        <v>1208</v>
      </c>
      <c r="H353" t="s">
        <v>1284</v>
      </c>
      <c r="I353" t="s">
        <v>1287</v>
      </c>
      <c r="J353" t="s">
        <v>1300</v>
      </c>
      <c r="K353" t="s">
        <v>1305</v>
      </c>
      <c r="L353" t="s">
        <v>1306</v>
      </c>
      <c r="M353" t="s">
        <v>1310</v>
      </c>
      <c r="N353">
        <v>2</v>
      </c>
      <c r="O353">
        <v>0.2</v>
      </c>
      <c r="P353">
        <v>1069.58</v>
      </c>
      <c r="Q353">
        <v>107.95</v>
      </c>
      <c r="R353" t="s">
        <v>1333</v>
      </c>
      <c r="S353" t="b">
        <f t="shared" si="20"/>
        <v>0</v>
      </c>
      <c r="T353" t="b">
        <f t="shared" si="21"/>
        <v>0</v>
      </c>
      <c r="U353" t="b">
        <f t="shared" si="22"/>
        <v>0</v>
      </c>
    </row>
    <row r="354" spans="1:21" x14ac:dyDescent="0.3">
      <c r="A354">
        <v>353</v>
      </c>
      <c r="B354" t="s">
        <v>369</v>
      </c>
      <c r="C354" s="2">
        <v>45872</v>
      </c>
      <c r="D354" s="2" t="str">
        <f t="shared" si="23"/>
        <v>Aug-2025</v>
      </c>
      <c r="E354" s="2">
        <v>45877</v>
      </c>
      <c r="F354" t="s">
        <v>1017</v>
      </c>
      <c r="G354" t="s">
        <v>1084</v>
      </c>
      <c r="H354" t="s">
        <v>1271</v>
      </c>
      <c r="I354" t="s">
        <v>1288</v>
      </c>
      <c r="J354" t="s">
        <v>1294</v>
      </c>
      <c r="K354" t="s">
        <v>1305</v>
      </c>
      <c r="L354" t="s">
        <v>1309</v>
      </c>
      <c r="M354" t="s">
        <v>1317</v>
      </c>
      <c r="N354">
        <v>1</v>
      </c>
      <c r="O354">
        <v>0.2</v>
      </c>
      <c r="P354">
        <v>656.06</v>
      </c>
      <c r="Q354">
        <v>77.040000000000006</v>
      </c>
      <c r="R354" t="s">
        <v>1331</v>
      </c>
      <c r="S354" t="b">
        <f t="shared" si="20"/>
        <v>0</v>
      </c>
      <c r="T354" t="b">
        <f t="shared" si="21"/>
        <v>0</v>
      </c>
      <c r="U354" t="b">
        <f t="shared" si="22"/>
        <v>0</v>
      </c>
    </row>
    <row r="355" spans="1:21" x14ac:dyDescent="0.3">
      <c r="A355">
        <v>354</v>
      </c>
      <c r="B355" t="s">
        <v>370</v>
      </c>
      <c r="C355" s="2">
        <v>45768</v>
      </c>
      <c r="D355" s="2" t="str">
        <f t="shared" si="23"/>
        <v>Apr-2025</v>
      </c>
      <c r="E355" s="2">
        <v>45773</v>
      </c>
      <c r="F355" t="s">
        <v>1017</v>
      </c>
      <c r="G355" t="s">
        <v>1184</v>
      </c>
      <c r="H355" t="s">
        <v>1276</v>
      </c>
      <c r="I355" t="s">
        <v>1287</v>
      </c>
      <c r="J355" t="s">
        <v>1291</v>
      </c>
      <c r="K355" t="s">
        <v>1302</v>
      </c>
      <c r="L355" t="s">
        <v>1309</v>
      </c>
      <c r="M355" t="s">
        <v>1325</v>
      </c>
      <c r="N355">
        <v>1</v>
      </c>
      <c r="O355">
        <v>0.1</v>
      </c>
      <c r="P355">
        <v>1221.99</v>
      </c>
      <c r="Q355">
        <v>187.06</v>
      </c>
      <c r="R355" t="s">
        <v>1331</v>
      </c>
      <c r="S355" t="b">
        <f t="shared" si="20"/>
        <v>0</v>
      </c>
      <c r="T355" t="b">
        <f t="shared" si="21"/>
        <v>0</v>
      </c>
      <c r="U355" t="b">
        <f t="shared" si="22"/>
        <v>0</v>
      </c>
    </row>
    <row r="356" spans="1:21" x14ac:dyDescent="0.3">
      <c r="A356">
        <v>355</v>
      </c>
      <c r="B356" t="s">
        <v>371</v>
      </c>
      <c r="C356" s="2">
        <v>45990</v>
      </c>
      <c r="D356" s="2" t="str">
        <f t="shared" si="23"/>
        <v>Nov-2025</v>
      </c>
      <c r="E356" s="2">
        <v>45995</v>
      </c>
      <c r="F356" t="s">
        <v>1017</v>
      </c>
      <c r="G356" t="s">
        <v>1172</v>
      </c>
      <c r="H356" t="s">
        <v>1275</v>
      </c>
      <c r="I356" t="s">
        <v>1288</v>
      </c>
      <c r="J356" t="s">
        <v>1296</v>
      </c>
      <c r="K356" t="s">
        <v>1304</v>
      </c>
      <c r="L356" t="s">
        <v>1309</v>
      </c>
      <c r="M356" t="s">
        <v>1320</v>
      </c>
      <c r="N356">
        <v>4</v>
      </c>
      <c r="O356">
        <v>0.1</v>
      </c>
      <c r="P356">
        <v>4121.6000000000004</v>
      </c>
      <c r="Q356">
        <v>1054.07</v>
      </c>
      <c r="R356" t="s">
        <v>1331</v>
      </c>
      <c r="S356" t="b">
        <f t="shared" si="20"/>
        <v>0</v>
      </c>
      <c r="T356" t="b">
        <f t="shared" si="21"/>
        <v>0</v>
      </c>
      <c r="U356" t="b">
        <f t="shared" si="22"/>
        <v>0</v>
      </c>
    </row>
    <row r="357" spans="1:21" x14ac:dyDescent="0.3">
      <c r="A357">
        <v>356</v>
      </c>
      <c r="B357" t="s">
        <v>372</v>
      </c>
      <c r="C357" s="2">
        <v>45845</v>
      </c>
      <c r="D357" s="2" t="str">
        <f t="shared" si="23"/>
        <v>Jul-2025</v>
      </c>
      <c r="E357" s="2">
        <v>45847</v>
      </c>
      <c r="F357" t="s">
        <v>1017</v>
      </c>
      <c r="G357" t="s">
        <v>1206</v>
      </c>
      <c r="H357" t="s">
        <v>1281</v>
      </c>
      <c r="I357" t="s">
        <v>1288</v>
      </c>
      <c r="J357" t="s">
        <v>1294</v>
      </c>
      <c r="K357" t="s">
        <v>1305</v>
      </c>
      <c r="L357" t="s">
        <v>1307</v>
      </c>
      <c r="M357" t="s">
        <v>1316</v>
      </c>
      <c r="N357">
        <v>4</v>
      </c>
      <c r="O357">
        <v>0.25</v>
      </c>
      <c r="P357">
        <v>1535.44</v>
      </c>
      <c r="Q357">
        <v>26.24</v>
      </c>
      <c r="R357" t="s">
        <v>1332</v>
      </c>
      <c r="S357" t="b">
        <f t="shared" si="20"/>
        <v>0</v>
      </c>
      <c r="T357" t="b">
        <f t="shared" si="21"/>
        <v>0</v>
      </c>
      <c r="U357" t="b">
        <f t="shared" si="22"/>
        <v>0</v>
      </c>
    </row>
    <row r="358" spans="1:21" x14ac:dyDescent="0.3">
      <c r="A358">
        <v>357</v>
      </c>
      <c r="B358" t="s">
        <v>373</v>
      </c>
      <c r="C358" s="2">
        <v>45976</v>
      </c>
      <c r="D358" s="2" t="str">
        <f t="shared" si="23"/>
        <v>Nov-2025</v>
      </c>
      <c r="E358" s="2">
        <v>45977</v>
      </c>
      <c r="F358" t="s">
        <v>1018</v>
      </c>
      <c r="G358" t="s">
        <v>1027</v>
      </c>
      <c r="H358" t="s">
        <v>1282</v>
      </c>
      <c r="I358" t="s">
        <v>1288</v>
      </c>
      <c r="J358" t="s">
        <v>1290</v>
      </c>
      <c r="K358" t="s">
        <v>1302</v>
      </c>
      <c r="L358" t="s">
        <v>1309</v>
      </c>
      <c r="M358" t="s">
        <v>1320</v>
      </c>
      <c r="N358">
        <v>2</v>
      </c>
      <c r="O358">
        <v>0</v>
      </c>
      <c r="P358">
        <v>2291.39</v>
      </c>
      <c r="Q358">
        <v>645.80999999999995</v>
      </c>
      <c r="R358" t="s">
        <v>1333</v>
      </c>
      <c r="S358" t="b">
        <f t="shared" si="20"/>
        <v>0</v>
      </c>
      <c r="T358" t="b">
        <f t="shared" si="21"/>
        <v>0</v>
      </c>
      <c r="U358" t="b">
        <f t="shared" si="22"/>
        <v>0</v>
      </c>
    </row>
    <row r="359" spans="1:21" x14ac:dyDescent="0.3">
      <c r="A359">
        <v>358</v>
      </c>
      <c r="B359" t="s">
        <v>374</v>
      </c>
      <c r="C359" s="2">
        <v>45663</v>
      </c>
      <c r="D359" s="2" t="str">
        <f t="shared" si="23"/>
        <v>Jan-2025</v>
      </c>
      <c r="E359" s="2">
        <v>45668</v>
      </c>
      <c r="F359" t="s">
        <v>1017</v>
      </c>
      <c r="G359" t="s">
        <v>1168</v>
      </c>
      <c r="H359" t="s">
        <v>1269</v>
      </c>
      <c r="I359" t="s">
        <v>1288</v>
      </c>
      <c r="J359" t="s">
        <v>1293</v>
      </c>
      <c r="K359" t="s">
        <v>1304</v>
      </c>
      <c r="L359" t="s">
        <v>1309</v>
      </c>
      <c r="M359" t="s">
        <v>1317</v>
      </c>
      <c r="N359">
        <v>1</v>
      </c>
      <c r="O359">
        <v>0.25</v>
      </c>
      <c r="P359">
        <v>583.49</v>
      </c>
      <c r="Q359">
        <v>72.61</v>
      </c>
      <c r="R359" t="s">
        <v>1333</v>
      </c>
      <c r="S359" t="b">
        <f t="shared" si="20"/>
        <v>0</v>
      </c>
      <c r="T359" t="b">
        <f t="shared" si="21"/>
        <v>0</v>
      </c>
      <c r="U359" t="b">
        <f t="shared" si="22"/>
        <v>0</v>
      </c>
    </row>
    <row r="360" spans="1:21" x14ac:dyDescent="0.3">
      <c r="A360">
        <v>359</v>
      </c>
      <c r="B360" t="s">
        <v>375</v>
      </c>
      <c r="C360" s="2">
        <v>45804</v>
      </c>
      <c r="D360" s="2" t="str">
        <f t="shared" si="23"/>
        <v>May-2025</v>
      </c>
      <c r="E360" s="2">
        <v>45807</v>
      </c>
      <c r="F360" t="s">
        <v>1019</v>
      </c>
      <c r="G360" t="s">
        <v>1064</v>
      </c>
      <c r="H360" t="s">
        <v>1285</v>
      </c>
      <c r="I360" t="s">
        <v>1287</v>
      </c>
      <c r="J360" t="s">
        <v>1293</v>
      </c>
      <c r="K360" t="s">
        <v>1304</v>
      </c>
      <c r="L360" t="s">
        <v>1306</v>
      </c>
      <c r="M360" t="s">
        <v>1324</v>
      </c>
      <c r="N360">
        <v>2</v>
      </c>
      <c r="O360">
        <v>0.1</v>
      </c>
      <c r="P360">
        <v>159.16</v>
      </c>
      <c r="Q360">
        <v>22.82</v>
      </c>
      <c r="R360" t="s">
        <v>1332</v>
      </c>
      <c r="S360" t="b">
        <f t="shared" si="20"/>
        <v>0</v>
      </c>
      <c r="T360" t="b">
        <f t="shared" si="21"/>
        <v>0</v>
      </c>
      <c r="U360" t="b">
        <f t="shared" si="22"/>
        <v>0</v>
      </c>
    </row>
    <row r="361" spans="1:21" x14ac:dyDescent="0.3">
      <c r="A361">
        <v>360</v>
      </c>
      <c r="B361" t="s">
        <v>376</v>
      </c>
      <c r="C361" s="2">
        <v>45844</v>
      </c>
      <c r="D361" s="2" t="str">
        <f t="shared" si="23"/>
        <v>Jul-2025</v>
      </c>
      <c r="E361" s="2">
        <v>45845</v>
      </c>
      <c r="F361" t="s">
        <v>1018</v>
      </c>
      <c r="G361" t="s">
        <v>1209</v>
      </c>
      <c r="H361" t="s">
        <v>1273</v>
      </c>
      <c r="I361" t="s">
        <v>1288</v>
      </c>
      <c r="J361" t="s">
        <v>1293</v>
      </c>
      <c r="K361" t="s">
        <v>1304</v>
      </c>
      <c r="L361" t="s">
        <v>1308</v>
      </c>
      <c r="M361" t="s">
        <v>1319</v>
      </c>
      <c r="N361">
        <v>3</v>
      </c>
      <c r="O361">
        <v>0.05</v>
      </c>
      <c r="P361">
        <v>13543.11</v>
      </c>
      <c r="Q361">
        <v>2769.96</v>
      </c>
      <c r="R361" t="s">
        <v>1331</v>
      </c>
      <c r="S361" t="b">
        <f t="shared" si="20"/>
        <v>0</v>
      </c>
      <c r="T361" t="b">
        <f t="shared" si="21"/>
        <v>0</v>
      </c>
      <c r="U361" t="b">
        <f t="shared" si="22"/>
        <v>0</v>
      </c>
    </row>
    <row r="362" spans="1:21" x14ac:dyDescent="0.3">
      <c r="A362">
        <v>361</v>
      </c>
      <c r="B362" t="s">
        <v>377</v>
      </c>
      <c r="C362" s="2">
        <v>45685</v>
      </c>
      <c r="D362" s="2" t="str">
        <f t="shared" si="23"/>
        <v>Jan-2025</v>
      </c>
      <c r="E362" s="2">
        <v>45688</v>
      </c>
      <c r="F362" t="s">
        <v>1017</v>
      </c>
      <c r="G362" t="s">
        <v>1045</v>
      </c>
      <c r="H362" t="s">
        <v>1282</v>
      </c>
      <c r="I362" t="s">
        <v>1287</v>
      </c>
      <c r="J362" t="s">
        <v>1292</v>
      </c>
      <c r="K362" t="s">
        <v>1303</v>
      </c>
      <c r="L362" t="s">
        <v>1306</v>
      </c>
      <c r="M362" t="s">
        <v>1310</v>
      </c>
      <c r="N362">
        <v>2</v>
      </c>
      <c r="O362">
        <v>0</v>
      </c>
      <c r="P362">
        <v>1286.48</v>
      </c>
      <c r="Q362">
        <v>445.9</v>
      </c>
      <c r="R362" t="s">
        <v>1333</v>
      </c>
      <c r="S362" t="b">
        <f t="shared" si="20"/>
        <v>0</v>
      </c>
      <c r="T362" t="b">
        <f t="shared" si="21"/>
        <v>0</v>
      </c>
      <c r="U362" t="b">
        <f t="shared" si="22"/>
        <v>0</v>
      </c>
    </row>
    <row r="363" spans="1:21" x14ac:dyDescent="0.3">
      <c r="A363">
        <v>362</v>
      </c>
      <c r="B363" t="s">
        <v>378</v>
      </c>
      <c r="C363" s="2">
        <v>45815</v>
      </c>
      <c r="D363" s="2" t="str">
        <f t="shared" si="23"/>
        <v>Jun-2025</v>
      </c>
      <c r="E363" s="2">
        <v>45820</v>
      </c>
      <c r="F363" t="s">
        <v>1017</v>
      </c>
      <c r="G363" t="s">
        <v>1089</v>
      </c>
      <c r="H363" t="s">
        <v>1274</v>
      </c>
      <c r="I363" t="s">
        <v>1288</v>
      </c>
      <c r="J363" t="s">
        <v>1292</v>
      </c>
      <c r="K363" t="s">
        <v>1303</v>
      </c>
      <c r="L363" t="s">
        <v>1306</v>
      </c>
      <c r="M363" t="s">
        <v>1321</v>
      </c>
      <c r="N363">
        <v>2</v>
      </c>
      <c r="O363">
        <v>0.1</v>
      </c>
      <c r="P363">
        <v>817.6</v>
      </c>
      <c r="Q363">
        <v>155.99</v>
      </c>
      <c r="R363" t="s">
        <v>1333</v>
      </c>
      <c r="S363" t="b">
        <f t="shared" si="20"/>
        <v>0</v>
      </c>
      <c r="T363" t="b">
        <f t="shared" si="21"/>
        <v>0</v>
      </c>
      <c r="U363" t="b">
        <f t="shared" si="22"/>
        <v>0</v>
      </c>
    </row>
    <row r="364" spans="1:21" x14ac:dyDescent="0.3">
      <c r="A364">
        <v>363</v>
      </c>
      <c r="B364" t="s">
        <v>379</v>
      </c>
      <c r="C364" s="2">
        <v>45997</v>
      </c>
      <c r="D364" s="2" t="str">
        <f t="shared" si="23"/>
        <v>Dec-2025</v>
      </c>
      <c r="E364" s="2">
        <v>46000</v>
      </c>
      <c r="F364" t="s">
        <v>1017</v>
      </c>
      <c r="G364" t="s">
        <v>1119</v>
      </c>
      <c r="H364" t="s">
        <v>1282</v>
      </c>
      <c r="I364" t="s">
        <v>1288</v>
      </c>
      <c r="J364" t="s">
        <v>1300</v>
      </c>
      <c r="K364" t="s">
        <v>1305</v>
      </c>
      <c r="L364" t="s">
        <v>1309</v>
      </c>
      <c r="M364" t="s">
        <v>1329</v>
      </c>
      <c r="N364">
        <v>1</v>
      </c>
      <c r="O364">
        <v>0.1</v>
      </c>
      <c r="P364">
        <v>1668.28</v>
      </c>
      <c r="Q364">
        <v>226.96</v>
      </c>
      <c r="R364" t="s">
        <v>1333</v>
      </c>
      <c r="S364" t="b">
        <f t="shared" si="20"/>
        <v>0</v>
      </c>
      <c r="T364" t="b">
        <f t="shared" si="21"/>
        <v>0</v>
      </c>
      <c r="U364" t="b">
        <f t="shared" si="22"/>
        <v>0</v>
      </c>
    </row>
    <row r="365" spans="1:21" x14ac:dyDescent="0.3">
      <c r="A365">
        <v>364</v>
      </c>
      <c r="B365" t="s">
        <v>380</v>
      </c>
      <c r="C365" s="2">
        <v>45682</v>
      </c>
      <c r="D365" s="2" t="str">
        <f t="shared" si="23"/>
        <v>Jan-2025</v>
      </c>
      <c r="E365" s="2">
        <v>45684</v>
      </c>
      <c r="F365" t="s">
        <v>1017</v>
      </c>
      <c r="G365" t="s">
        <v>1210</v>
      </c>
      <c r="H365" t="s">
        <v>1286</v>
      </c>
      <c r="I365" t="s">
        <v>1287</v>
      </c>
      <c r="J365" t="s">
        <v>1301</v>
      </c>
      <c r="K365" t="s">
        <v>1303</v>
      </c>
      <c r="L365" t="s">
        <v>1309</v>
      </c>
      <c r="M365" t="s">
        <v>1320</v>
      </c>
      <c r="N365">
        <v>2</v>
      </c>
      <c r="O365">
        <v>0.1</v>
      </c>
      <c r="P365">
        <v>2051.69</v>
      </c>
      <c r="Q365">
        <v>326.93</v>
      </c>
      <c r="R365" t="s">
        <v>1333</v>
      </c>
      <c r="S365" t="b">
        <f t="shared" si="20"/>
        <v>0</v>
      </c>
      <c r="T365" t="b">
        <f t="shared" si="21"/>
        <v>0</v>
      </c>
      <c r="U365" t="b">
        <f t="shared" si="22"/>
        <v>0</v>
      </c>
    </row>
    <row r="366" spans="1:21" x14ac:dyDescent="0.3">
      <c r="A366">
        <v>365</v>
      </c>
      <c r="B366" t="s">
        <v>381</v>
      </c>
      <c r="C366" s="2">
        <v>45898</v>
      </c>
      <c r="D366" s="2" t="str">
        <f t="shared" si="23"/>
        <v>Aug-2025</v>
      </c>
      <c r="E366" s="2">
        <v>45902</v>
      </c>
      <c r="F366" t="s">
        <v>1018</v>
      </c>
      <c r="G366" t="s">
        <v>1073</v>
      </c>
      <c r="H366" t="s">
        <v>1280</v>
      </c>
      <c r="I366" t="s">
        <v>1287</v>
      </c>
      <c r="J366" t="s">
        <v>1296</v>
      </c>
      <c r="K366" t="s">
        <v>1304</v>
      </c>
      <c r="L366" t="s">
        <v>1307</v>
      </c>
      <c r="M366" t="s">
        <v>1315</v>
      </c>
      <c r="N366">
        <v>1</v>
      </c>
      <c r="O366">
        <v>0</v>
      </c>
      <c r="P366">
        <v>1782.34</v>
      </c>
      <c r="Q366">
        <v>479.37</v>
      </c>
      <c r="R366" t="s">
        <v>1331</v>
      </c>
      <c r="S366" t="b">
        <f t="shared" si="20"/>
        <v>0</v>
      </c>
      <c r="T366" t="b">
        <f t="shared" si="21"/>
        <v>0</v>
      </c>
      <c r="U366" t="b">
        <f t="shared" si="22"/>
        <v>0</v>
      </c>
    </row>
    <row r="367" spans="1:21" x14ac:dyDescent="0.3">
      <c r="A367">
        <v>366</v>
      </c>
      <c r="B367" t="s">
        <v>382</v>
      </c>
      <c r="C367" s="2">
        <v>45839</v>
      </c>
      <c r="D367" s="2" t="str">
        <f t="shared" si="23"/>
        <v>Jul-2025</v>
      </c>
      <c r="E367" s="2">
        <v>45842</v>
      </c>
      <c r="F367" t="s">
        <v>1017</v>
      </c>
      <c r="G367" t="s">
        <v>1087</v>
      </c>
      <c r="H367" t="s">
        <v>1285</v>
      </c>
      <c r="I367" t="s">
        <v>1288</v>
      </c>
      <c r="J367" t="s">
        <v>1296</v>
      </c>
      <c r="K367" t="s">
        <v>1304</v>
      </c>
      <c r="L367" t="s">
        <v>1308</v>
      </c>
      <c r="M367" t="s">
        <v>1326</v>
      </c>
      <c r="N367">
        <v>3</v>
      </c>
      <c r="O367">
        <v>0.1</v>
      </c>
      <c r="P367">
        <v>18435.72</v>
      </c>
      <c r="Q367">
        <v>4042.61</v>
      </c>
      <c r="R367" t="s">
        <v>1331</v>
      </c>
      <c r="S367" t="b">
        <f t="shared" si="20"/>
        <v>0</v>
      </c>
      <c r="T367" t="b">
        <f t="shared" si="21"/>
        <v>0</v>
      </c>
      <c r="U367" t="b">
        <f t="shared" si="22"/>
        <v>0</v>
      </c>
    </row>
    <row r="368" spans="1:21" x14ac:dyDescent="0.3">
      <c r="A368">
        <v>367</v>
      </c>
      <c r="B368" t="s">
        <v>383</v>
      </c>
      <c r="C368" s="2">
        <v>46018</v>
      </c>
      <c r="D368" s="2" t="str">
        <f t="shared" si="23"/>
        <v>Dec-2025</v>
      </c>
      <c r="E368" s="2">
        <v>46021</v>
      </c>
      <c r="F368" t="s">
        <v>1017</v>
      </c>
      <c r="G368" t="s">
        <v>1129</v>
      </c>
      <c r="H368" t="s">
        <v>1269</v>
      </c>
      <c r="I368" t="s">
        <v>1287</v>
      </c>
      <c r="J368" t="s">
        <v>1301</v>
      </c>
      <c r="K368" t="s">
        <v>1303</v>
      </c>
      <c r="L368" t="s">
        <v>1306</v>
      </c>
      <c r="M368" t="s">
        <v>1310</v>
      </c>
      <c r="N368">
        <v>2</v>
      </c>
      <c r="O368">
        <v>0</v>
      </c>
      <c r="P368">
        <v>1246.4100000000001</v>
      </c>
      <c r="Q368">
        <v>395.73</v>
      </c>
      <c r="R368" t="s">
        <v>1333</v>
      </c>
      <c r="S368" t="b">
        <f t="shared" si="20"/>
        <v>0</v>
      </c>
      <c r="T368" t="b">
        <f t="shared" si="21"/>
        <v>0</v>
      </c>
      <c r="U368" t="b">
        <f t="shared" si="22"/>
        <v>0</v>
      </c>
    </row>
    <row r="369" spans="1:21" x14ac:dyDescent="0.3">
      <c r="A369">
        <v>368</v>
      </c>
      <c r="B369" t="s">
        <v>384</v>
      </c>
      <c r="C369" s="2">
        <v>45866</v>
      </c>
      <c r="D369" s="2" t="str">
        <f t="shared" si="23"/>
        <v>Jul-2025</v>
      </c>
      <c r="E369" s="2">
        <v>45869</v>
      </c>
      <c r="F369" t="s">
        <v>1018</v>
      </c>
      <c r="G369" t="s">
        <v>1211</v>
      </c>
      <c r="H369" t="s">
        <v>1269</v>
      </c>
      <c r="I369" t="s">
        <v>1289</v>
      </c>
      <c r="J369" t="s">
        <v>1300</v>
      </c>
      <c r="K369" t="s">
        <v>1305</v>
      </c>
      <c r="L369" t="s">
        <v>1307</v>
      </c>
      <c r="M369" t="s">
        <v>1314</v>
      </c>
      <c r="N369">
        <v>3</v>
      </c>
      <c r="O369">
        <v>0.15</v>
      </c>
      <c r="P369">
        <v>2305.61</v>
      </c>
      <c r="Q369">
        <v>252.11</v>
      </c>
      <c r="R369" t="s">
        <v>1334</v>
      </c>
      <c r="S369" t="b">
        <f t="shared" si="20"/>
        <v>0</v>
      </c>
      <c r="T369" t="b">
        <f t="shared" si="21"/>
        <v>0</v>
      </c>
      <c r="U369" t="b">
        <f t="shared" si="22"/>
        <v>0</v>
      </c>
    </row>
    <row r="370" spans="1:21" x14ac:dyDescent="0.3">
      <c r="A370">
        <v>369</v>
      </c>
      <c r="B370" t="s">
        <v>385</v>
      </c>
      <c r="C370" s="2">
        <v>45724</v>
      </c>
      <c r="D370" s="2" t="str">
        <f t="shared" si="23"/>
        <v>Mar-2025</v>
      </c>
      <c r="E370" s="2">
        <v>45725</v>
      </c>
      <c r="F370" t="s">
        <v>1019</v>
      </c>
      <c r="G370" t="s">
        <v>1117</v>
      </c>
      <c r="H370" t="s">
        <v>1280</v>
      </c>
      <c r="I370" t="s">
        <v>1287</v>
      </c>
      <c r="J370" t="s">
        <v>1295</v>
      </c>
      <c r="K370" t="s">
        <v>1305</v>
      </c>
      <c r="L370" t="s">
        <v>1309</v>
      </c>
      <c r="M370" t="s">
        <v>1320</v>
      </c>
      <c r="N370">
        <v>1</v>
      </c>
      <c r="O370">
        <v>0</v>
      </c>
      <c r="P370">
        <v>1155.55</v>
      </c>
      <c r="Q370">
        <v>411.95</v>
      </c>
      <c r="R370" t="s">
        <v>1333</v>
      </c>
      <c r="S370" t="b">
        <f t="shared" si="20"/>
        <v>0</v>
      </c>
      <c r="T370" t="b">
        <f t="shared" si="21"/>
        <v>0</v>
      </c>
      <c r="U370" t="b">
        <f t="shared" si="22"/>
        <v>0</v>
      </c>
    </row>
    <row r="371" spans="1:21" x14ac:dyDescent="0.3">
      <c r="A371">
        <v>370</v>
      </c>
      <c r="B371" t="s">
        <v>386</v>
      </c>
      <c r="C371" s="2">
        <v>45903</v>
      </c>
      <c r="D371" s="2" t="str">
        <f t="shared" si="23"/>
        <v>Sep-2025</v>
      </c>
      <c r="E371" s="2">
        <v>45907</v>
      </c>
      <c r="F371" t="s">
        <v>1018</v>
      </c>
      <c r="G371" t="s">
        <v>1026</v>
      </c>
      <c r="H371" t="s">
        <v>1284</v>
      </c>
      <c r="I371" t="s">
        <v>1287</v>
      </c>
      <c r="J371" t="s">
        <v>1300</v>
      </c>
      <c r="K371" t="s">
        <v>1305</v>
      </c>
      <c r="L371" t="s">
        <v>1306</v>
      </c>
      <c r="M371" t="s">
        <v>1324</v>
      </c>
      <c r="N371">
        <v>1</v>
      </c>
      <c r="O371">
        <v>0.1</v>
      </c>
      <c r="P371">
        <v>78.650000000000006</v>
      </c>
      <c r="Q371">
        <v>5.27</v>
      </c>
      <c r="R371" t="s">
        <v>1330</v>
      </c>
      <c r="S371" t="b">
        <f t="shared" si="20"/>
        <v>0</v>
      </c>
      <c r="T371" t="b">
        <f t="shared" si="21"/>
        <v>0</v>
      </c>
      <c r="U371" t="b">
        <f t="shared" si="22"/>
        <v>0</v>
      </c>
    </row>
    <row r="372" spans="1:21" x14ac:dyDescent="0.3">
      <c r="A372">
        <v>371</v>
      </c>
      <c r="B372" t="s">
        <v>387</v>
      </c>
      <c r="C372" s="2">
        <v>45787</v>
      </c>
      <c r="D372" s="2" t="str">
        <f t="shared" si="23"/>
        <v>May-2025</v>
      </c>
      <c r="E372" s="2">
        <v>45788</v>
      </c>
      <c r="F372" t="s">
        <v>1017</v>
      </c>
      <c r="G372" t="s">
        <v>1203</v>
      </c>
      <c r="H372" t="s">
        <v>1267</v>
      </c>
      <c r="I372" t="s">
        <v>1287</v>
      </c>
      <c r="J372" t="s">
        <v>1297</v>
      </c>
      <c r="K372" t="s">
        <v>1304</v>
      </c>
      <c r="L372" t="s">
        <v>1309</v>
      </c>
      <c r="M372" t="s">
        <v>1325</v>
      </c>
      <c r="N372">
        <v>2</v>
      </c>
      <c r="O372">
        <v>0</v>
      </c>
      <c r="P372">
        <v>2657.57</v>
      </c>
      <c r="Q372">
        <v>748.01</v>
      </c>
      <c r="R372" t="s">
        <v>1333</v>
      </c>
      <c r="S372" t="b">
        <f t="shared" si="20"/>
        <v>0</v>
      </c>
      <c r="T372" t="b">
        <f t="shared" si="21"/>
        <v>0</v>
      </c>
      <c r="U372" t="b">
        <f t="shared" si="22"/>
        <v>0</v>
      </c>
    </row>
    <row r="373" spans="1:21" x14ac:dyDescent="0.3">
      <c r="A373">
        <v>372</v>
      </c>
      <c r="B373" t="s">
        <v>388</v>
      </c>
      <c r="C373" s="2">
        <v>45975</v>
      </c>
      <c r="D373" s="2" t="str">
        <f t="shared" si="23"/>
        <v>Nov-2025</v>
      </c>
      <c r="E373" s="2">
        <v>45976</v>
      </c>
      <c r="F373" t="s">
        <v>1018</v>
      </c>
      <c r="G373" t="s">
        <v>1132</v>
      </c>
      <c r="H373" t="s">
        <v>1284</v>
      </c>
      <c r="I373" t="s">
        <v>1287</v>
      </c>
      <c r="J373" t="s">
        <v>1296</v>
      </c>
      <c r="K373" t="s">
        <v>1304</v>
      </c>
      <c r="L373" t="s">
        <v>1308</v>
      </c>
      <c r="M373" t="s">
        <v>1327</v>
      </c>
      <c r="N373">
        <v>2</v>
      </c>
      <c r="O373">
        <v>0</v>
      </c>
      <c r="P373">
        <v>3551.31</v>
      </c>
      <c r="Q373">
        <v>779.93</v>
      </c>
      <c r="R373" t="s">
        <v>1330</v>
      </c>
      <c r="S373" t="b">
        <f t="shared" si="20"/>
        <v>0</v>
      </c>
      <c r="T373" t="b">
        <f t="shared" si="21"/>
        <v>0</v>
      </c>
      <c r="U373" t="b">
        <f t="shared" si="22"/>
        <v>0</v>
      </c>
    </row>
    <row r="374" spans="1:21" x14ac:dyDescent="0.3">
      <c r="A374">
        <v>373</v>
      </c>
      <c r="B374" t="s">
        <v>389</v>
      </c>
      <c r="C374" s="2">
        <v>45889</v>
      </c>
      <c r="D374" s="2" t="str">
        <f t="shared" si="23"/>
        <v>Aug-2025</v>
      </c>
      <c r="E374" s="2">
        <v>45892</v>
      </c>
      <c r="F374" t="s">
        <v>1018</v>
      </c>
      <c r="G374" t="s">
        <v>1117</v>
      </c>
      <c r="H374" t="s">
        <v>1275</v>
      </c>
      <c r="I374" t="s">
        <v>1287</v>
      </c>
      <c r="J374" t="s">
        <v>1299</v>
      </c>
      <c r="K374" t="s">
        <v>1304</v>
      </c>
      <c r="L374" t="s">
        <v>1306</v>
      </c>
      <c r="M374" t="s">
        <v>1321</v>
      </c>
      <c r="N374">
        <v>1</v>
      </c>
      <c r="O374">
        <v>0.1</v>
      </c>
      <c r="P374">
        <v>394.82</v>
      </c>
      <c r="Q374">
        <v>87.3</v>
      </c>
      <c r="R374" t="s">
        <v>1334</v>
      </c>
      <c r="S374" t="b">
        <f t="shared" si="20"/>
        <v>0</v>
      </c>
      <c r="T374" t="b">
        <f t="shared" si="21"/>
        <v>0</v>
      </c>
      <c r="U374" t="b">
        <f t="shared" si="22"/>
        <v>0</v>
      </c>
    </row>
    <row r="375" spans="1:21" x14ac:dyDescent="0.3">
      <c r="A375">
        <v>374</v>
      </c>
      <c r="B375" t="s">
        <v>390</v>
      </c>
      <c r="C375" s="2">
        <v>45872</v>
      </c>
      <c r="D375" s="2" t="str">
        <f t="shared" si="23"/>
        <v>Aug-2025</v>
      </c>
      <c r="E375" s="2">
        <v>45877</v>
      </c>
      <c r="F375" t="s">
        <v>1018</v>
      </c>
      <c r="G375" t="s">
        <v>1191</v>
      </c>
      <c r="H375" t="s">
        <v>1272</v>
      </c>
      <c r="I375" t="s">
        <v>1287</v>
      </c>
      <c r="J375" t="s">
        <v>1297</v>
      </c>
      <c r="K375" t="s">
        <v>1304</v>
      </c>
      <c r="L375" t="s">
        <v>1307</v>
      </c>
      <c r="M375" t="s">
        <v>1311</v>
      </c>
      <c r="N375">
        <v>1</v>
      </c>
      <c r="O375">
        <v>0.15</v>
      </c>
      <c r="P375">
        <v>249.78</v>
      </c>
      <c r="Q375">
        <v>61.18</v>
      </c>
      <c r="R375" t="s">
        <v>1331</v>
      </c>
      <c r="S375" t="b">
        <f t="shared" si="20"/>
        <v>0</v>
      </c>
      <c r="T375" t="b">
        <f t="shared" si="21"/>
        <v>0</v>
      </c>
      <c r="U375" t="b">
        <f t="shared" si="22"/>
        <v>0</v>
      </c>
    </row>
    <row r="376" spans="1:21" x14ac:dyDescent="0.3">
      <c r="A376">
        <v>375</v>
      </c>
      <c r="B376" t="s">
        <v>391</v>
      </c>
      <c r="C376" s="2">
        <v>45841</v>
      </c>
      <c r="D376" s="2" t="str">
        <f t="shared" si="23"/>
        <v>Jul-2025</v>
      </c>
      <c r="E376" s="2">
        <v>45844</v>
      </c>
      <c r="F376" t="s">
        <v>1017</v>
      </c>
      <c r="G376" t="s">
        <v>1212</v>
      </c>
      <c r="H376" t="s">
        <v>1274</v>
      </c>
      <c r="I376" t="s">
        <v>1287</v>
      </c>
      <c r="J376" t="s">
        <v>1296</v>
      </c>
      <c r="K376" t="s">
        <v>1304</v>
      </c>
      <c r="L376" t="s">
        <v>1309</v>
      </c>
      <c r="M376" t="s">
        <v>1320</v>
      </c>
      <c r="N376">
        <v>5</v>
      </c>
      <c r="O376">
        <v>0.05</v>
      </c>
      <c r="P376">
        <v>5872.91</v>
      </c>
      <c r="Q376">
        <v>1022.06</v>
      </c>
      <c r="R376" t="s">
        <v>1332</v>
      </c>
      <c r="S376" t="b">
        <f t="shared" si="20"/>
        <v>0</v>
      </c>
      <c r="T376" t="b">
        <f t="shared" si="21"/>
        <v>0</v>
      </c>
      <c r="U376" t="b">
        <f t="shared" si="22"/>
        <v>0</v>
      </c>
    </row>
    <row r="377" spans="1:21" x14ac:dyDescent="0.3">
      <c r="A377">
        <v>376</v>
      </c>
      <c r="B377" t="s">
        <v>392</v>
      </c>
      <c r="C377" s="2">
        <v>45761</v>
      </c>
      <c r="D377" s="2" t="str">
        <f t="shared" si="23"/>
        <v>Apr-2025</v>
      </c>
      <c r="E377" s="2">
        <v>45764</v>
      </c>
      <c r="F377" t="s">
        <v>1017</v>
      </c>
      <c r="G377" t="s">
        <v>1159</v>
      </c>
      <c r="H377" t="s">
        <v>1279</v>
      </c>
      <c r="I377" t="s">
        <v>1289</v>
      </c>
      <c r="J377" t="s">
        <v>1296</v>
      </c>
      <c r="K377" t="s">
        <v>1304</v>
      </c>
      <c r="L377" t="s">
        <v>1308</v>
      </c>
      <c r="M377" t="s">
        <v>1312</v>
      </c>
      <c r="N377">
        <v>4</v>
      </c>
      <c r="O377">
        <v>0</v>
      </c>
      <c r="P377">
        <v>5434.74</v>
      </c>
      <c r="Q377">
        <v>1986.97</v>
      </c>
      <c r="R377" t="s">
        <v>1332</v>
      </c>
      <c r="S377" t="b">
        <f t="shared" si="20"/>
        <v>0</v>
      </c>
      <c r="T377" t="b">
        <f t="shared" si="21"/>
        <v>0</v>
      </c>
      <c r="U377" t="b">
        <f t="shared" si="22"/>
        <v>0</v>
      </c>
    </row>
    <row r="378" spans="1:21" x14ac:dyDescent="0.3">
      <c r="A378">
        <v>377</v>
      </c>
      <c r="B378" t="s">
        <v>393</v>
      </c>
      <c r="C378" s="2">
        <v>45884</v>
      </c>
      <c r="D378" s="2" t="str">
        <f t="shared" si="23"/>
        <v>Aug-2025</v>
      </c>
      <c r="E378" s="2">
        <v>45889</v>
      </c>
      <c r="F378" t="s">
        <v>1019</v>
      </c>
      <c r="G378" t="s">
        <v>1050</v>
      </c>
      <c r="H378" t="s">
        <v>1276</v>
      </c>
      <c r="I378" t="s">
        <v>1287</v>
      </c>
      <c r="J378" t="s">
        <v>1298</v>
      </c>
      <c r="K378" t="s">
        <v>1303</v>
      </c>
      <c r="L378" t="s">
        <v>1308</v>
      </c>
      <c r="M378" t="s">
        <v>1312</v>
      </c>
      <c r="N378">
        <v>2</v>
      </c>
      <c r="O378">
        <v>0.1</v>
      </c>
      <c r="P378">
        <v>2450.7199999999998</v>
      </c>
      <c r="Q378">
        <v>355.44</v>
      </c>
      <c r="R378" t="s">
        <v>1332</v>
      </c>
      <c r="S378" t="b">
        <f t="shared" si="20"/>
        <v>0</v>
      </c>
      <c r="T378" t="b">
        <f t="shared" si="21"/>
        <v>0</v>
      </c>
      <c r="U378" t="b">
        <f t="shared" si="22"/>
        <v>0</v>
      </c>
    </row>
    <row r="379" spans="1:21" x14ac:dyDescent="0.3">
      <c r="A379">
        <v>378</v>
      </c>
      <c r="B379" t="s">
        <v>394</v>
      </c>
      <c r="C379" s="2">
        <v>45707</v>
      </c>
      <c r="D379" s="2" t="str">
        <f t="shared" si="23"/>
        <v>Feb-2025</v>
      </c>
      <c r="E379" s="2">
        <v>45709</v>
      </c>
      <c r="F379" t="s">
        <v>1018</v>
      </c>
      <c r="G379" t="s">
        <v>1123</v>
      </c>
      <c r="H379" t="s">
        <v>1282</v>
      </c>
      <c r="I379" t="s">
        <v>1288</v>
      </c>
      <c r="J379" t="s">
        <v>1291</v>
      </c>
      <c r="K379" t="s">
        <v>1302</v>
      </c>
      <c r="L379" t="s">
        <v>1307</v>
      </c>
      <c r="M379" t="s">
        <v>1316</v>
      </c>
      <c r="N379">
        <v>3</v>
      </c>
      <c r="O379">
        <v>0</v>
      </c>
      <c r="P379">
        <v>1429.22</v>
      </c>
      <c r="Q379">
        <v>213.23</v>
      </c>
      <c r="R379" t="s">
        <v>1332</v>
      </c>
      <c r="S379" t="b">
        <f t="shared" si="20"/>
        <v>0</v>
      </c>
      <c r="T379" t="b">
        <f t="shared" si="21"/>
        <v>0</v>
      </c>
      <c r="U379" t="b">
        <f t="shared" si="22"/>
        <v>0</v>
      </c>
    </row>
    <row r="380" spans="1:21" x14ac:dyDescent="0.3">
      <c r="A380">
        <v>379</v>
      </c>
      <c r="B380" t="s">
        <v>395</v>
      </c>
      <c r="C380" s="2">
        <v>45913</v>
      </c>
      <c r="D380" s="2" t="str">
        <f t="shared" si="23"/>
        <v>Sep-2025</v>
      </c>
      <c r="E380" s="2">
        <v>45917</v>
      </c>
      <c r="F380" t="s">
        <v>1017</v>
      </c>
      <c r="G380" t="s">
        <v>1074</v>
      </c>
      <c r="H380" t="s">
        <v>1284</v>
      </c>
      <c r="I380" t="s">
        <v>1287</v>
      </c>
      <c r="J380" t="s">
        <v>1300</v>
      </c>
      <c r="K380" t="s">
        <v>1305</v>
      </c>
      <c r="L380" t="s">
        <v>1307</v>
      </c>
      <c r="M380" t="s">
        <v>1311</v>
      </c>
      <c r="N380">
        <v>5</v>
      </c>
      <c r="O380">
        <v>0.1</v>
      </c>
      <c r="P380">
        <v>1351.45</v>
      </c>
      <c r="Q380">
        <v>132.79</v>
      </c>
      <c r="R380" t="s">
        <v>1333</v>
      </c>
      <c r="S380" t="b">
        <f t="shared" si="20"/>
        <v>0</v>
      </c>
      <c r="T380" t="b">
        <f t="shared" si="21"/>
        <v>0</v>
      </c>
      <c r="U380" t="b">
        <f t="shared" si="22"/>
        <v>0</v>
      </c>
    </row>
    <row r="381" spans="1:21" x14ac:dyDescent="0.3">
      <c r="A381">
        <v>380</v>
      </c>
      <c r="B381" t="s">
        <v>396</v>
      </c>
      <c r="C381" s="2">
        <v>45695</v>
      </c>
      <c r="D381" s="2" t="str">
        <f t="shared" si="23"/>
        <v>Feb-2025</v>
      </c>
      <c r="E381" s="2">
        <v>45698</v>
      </c>
      <c r="F381" t="s">
        <v>1018</v>
      </c>
      <c r="G381" t="s">
        <v>1213</v>
      </c>
      <c r="H381" t="s">
        <v>1276</v>
      </c>
      <c r="I381" t="s">
        <v>1287</v>
      </c>
      <c r="J381" t="s">
        <v>1292</v>
      </c>
      <c r="K381" t="s">
        <v>1303</v>
      </c>
      <c r="L381" t="s">
        <v>1306</v>
      </c>
      <c r="M381" t="s">
        <v>1310</v>
      </c>
      <c r="N381">
        <v>2</v>
      </c>
      <c r="O381">
        <v>0.1</v>
      </c>
      <c r="P381">
        <v>1140.75</v>
      </c>
      <c r="Q381">
        <v>315.68</v>
      </c>
      <c r="R381" t="s">
        <v>1332</v>
      </c>
      <c r="S381" t="b">
        <f t="shared" si="20"/>
        <v>0</v>
      </c>
      <c r="T381" t="b">
        <f t="shared" si="21"/>
        <v>0</v>
      </c>
      <c r="U381" t="b">
        <f t="shared" si="22"/>
        <v>0</v>
      </c>
    </row>
    <row r="382" spans="1:21" x14ac:dyDescent="0.3">
      <c r="A382">
        <v>381</v>
      </c>
      <c r="B382" t="s">
        <v>397</v>
      </c>
      <c r="C382" s="2">
        <v>45993</v>
      </c>
      <c r="D382" s="2" t="str">
        <f t="shared" si="23"/>
        <v>Dec-2025</v>
      </c>
      <c r="E382" s="2">
        <v>45995</v>
      </c>
      <c r="F382" t="s">
        <v>1018</v>
      </c>
      <c r="G382" t="s">
        <v>1043</v>
      </c>
      <c r="H382" t="s">
        <v>1286</v>
      </c>
      <c r="I382" t="s">
        <v>1287</v>
      </c>
      <c r="J382" t="s">
        <v>1295</v>
      </c>
      <c r="K382" t="s">
        <v>1305</v>
      </c>
      <c r="L382" t="s">
        <v>1309</v>
      </c>
      <c r="M382" t="s">
        <v>1325</v>
      </c>
      <c r="N382">
        <v>3</v>
      </c>
      <c r="O382">
        <v>0</v>
      </c>
      <c r="P382">
        <v>3720.1</v>
      </c>
      <c r="Q382">
        <v>578.48</v>
      </c>
      <c r="R382" t="s">
        <v>1334</v>
      </c>
      <c r="S382" t="b">
        <f t="shared" si="20"/>
        <v>0</v>
      </c>
      <c r="T382" t="b">
        <f t="shared" si="21"/>
        <v>0</v>
      </c>
      <c r="U382" t="b">
        <f t="shared" si="22"/>
        <v>0</v>
      </c>
    </row>
    <row r="383" spans="1:21" x14ac:dyDescent="0.3">
      <c r="A383">
        <v>382</v>
      </c>
      <c r="B383" t="s">
        <v>398</v>
      </c>
      <c r="C383" s="2">
        <v>45842</v>
      </c>
      <c r="D383" s="2" t="str">
        <f t="shared" si="23"/>
        <v>Jul-2025</v>
      </c>
      <c r="E383" s="2">
        <v>45844</v>
      </c>
      <c r="F383" t="s">
        <v>1018</v>
      </c>
      <c r="G383" t="s">
        <v>1167</v>
      </c>
      <c r="H383" t="s">
        <v>1278</v>
      </c>
      <c r="I383" t="s">
        <v>1287</v>
      </c>
      <c r="J383" t="s">
        <v>1294</v>
      </c>
      <c r="K383" t="s">
        <v>1305</v>
      </c>
      <c r="L383" t="s">
        <v>1309</v>
      </c>
      <c r="M383" t="s">
        <v>1329</v>
      </c>
      <c r="N383">
        <v>2</v>
      </c>
      <c r="O383">
        <v>0.1</v>
      </c>
      <c r="P383">
        <v>3247.37</v>
      </c>
      <c r="Q383">
        <v>197.57</v>
      </c>
      <c r="R383" t="s">
        <v>1331</v>
      </c>
      <c r="S383" t="b">
        <f t="shared" si="20"/>
        <v>0</v>
      </c>
      <c r="T383" t="b">
        <f t="shared" si="21"/>
        <v>0</v>
      </c>
      <c r="U383" t="b">
        <f t="shared" si="22"/>
        <v>0</v>
      </c>
    </row>
    <row r="384" spans="1:21" x14ac:dyDescent="0.3">
      <c r="A384">
        <v>383</v>
      </c>
      <c r="B384" t="s">
        <v>399</v>
      </c>
      <c r="C384" s="2">
        <v>45873</v>
      </c>
      <c r="D384" s="2" t="str">
        <f t="shared" si="23"/>
        <v>Aug-2025</v>
      </c>
      <c r="E384" s="2">
        <v>45877</v>
      </c>
      <c r="F384" t="s">
        <v>1017</v>
      </c>
      <c r="G384" t="s">
        <v>1077</v>
      </c>
      <c r="H384" t="s">
        <v>1277</v>
      </c>
      <c r="I384" t="s">
        <v>1288</v>
      </c>
      <c r="J384" t="s">
        <v>1292</v>
      </c>
      <c r="K384" t="s">
        <v>1303</v>
      </c>
      <c r="L384" t="s">
        <v>1309</v>
      </c>
      <c r="M384" t="s">
        <v>1325</v>
      </c>
      <c r="N384">
        <v>4</v>
      </c>
      <c r="O384">
        <v>0.1</v>
      </c>
      <c r="P384">
        <v>4682.2</v>
      </c>
      <c r="Q384">
        <v>1098.17</v>
      </c>
      <c r="R384" t="s">
        <v>1331</v>
      </c>
      <c r="S384" t="b">
        <f t="shared" si="20"/>
        <v>0</v>
      </c>
      <c r="T384" t="b">
        <f t="shared" si="21"/>
        <v>0</v>
      </c>
      <c r="U384" t="b">
        <f t="shared" si="22"/>
        <v>0</v>
      </c>
    </row>
    <row r="385" spans="1:21" x14ac:dyDescent="0.3">
      <c r="A385">
        <v>384</v>
      </c>
      <c r="B385" t="s">
        <v>400</v>
      </c>
      <c r="C385" s="2">
        <v>45770</v>
      </c>
      <c r="D385" s="2" t="str">
        <f t="shared" si="23"/>
        <v>Apr-2025</v>
      </c>
      <c r="E385" s="2">
        <v>45775</v>
      </c>
      <c r="F385" t="s">
        <v>1018</v>
      </c>
      <c r="G385" t="s">
        <v>1164</v>
      </c>
      <c r="H385" t="s">
        <v>1274</v>
      </c>
      <c r="I385" t="s">
        <v>1289</v>
      </c>
      <c r="J385" t="s">
        <v>1292</v>
      </c>
      <c r="K385" t="s">
        <v>1303</v>
      </c>
      <c r="L385" t="s">
        <v>1309</v>
      </c>
      <c r="M385" t="s">
        <v>1325</v>
      </c>
      <c r="N385">
        <v>3</v>
      </c>
      <c r="O385">
        <v>0.05</v>
      </c>
      <c r="P385">
        <v>3547.09</v>
      </c>
      <c r="Q385">
        <v>778.5</v>
      </c>
      <c r="R385" t="s">
        <v>1334</v>
      </c>
      <c r="S385" t="b">
        <f t="shared" si="20"/>
        <v>0</v>
      </c>
      <c r="T385" t="b">
        <f t="shared" si="21"/>
        <v>0</v>
      </c>
      <c r="U385" t="b">
        <f t="shared" si="22"/>
        <v>0</v>
      </c>
    </row>
    <row r="386" spans="1:21" x14ac:dyDescent="0.3">
      <c r="A386">
        <v>385</v>
      </c>
      <c r="B386" t="s">
        <v>401</v>
      </c>
      <c r="C386" s="2">
        <v>45728</v>
      </c>
      <c r="D386" s="2" t="str">
        <f t="shared" si="23"/>
        <v>Mar-2025</v>
      </c>
      <c r="E386" s="2">
        <v>45730</v>
      </c>
      <c r="F386" t="s">
        <v>1017</v>
      </c>
      <c r="G386" t="s">
        <v>1128</v>
      </c>
      <c r="H386" t="s">
        <v>1283</v>
      </c>
      <c r="I386" t="s">
        <v>1289</v>
      </c>
      <c r="J386" t="s">
        <v>1295</v>
      </c>
      <c r="K386" t="s">
        <v>1305</v>
      </c>
      <c r="L386" t="s">
        <v>1307</v>
      </c>
      <c r="M386" t="s">
        <v>1322</v>
      </c>
      <c r="N386">
        <v>2</v>
      </c>
      <c r="O386">
        <v>0</v>
      </c>
      <c r="P386">
        <v>1466.07</v>
      </c>
      <c r="Q386">
        <v>388.33</v>
      </c>
      <c r="R386" t="s">
        <v>1334</v>
      </c>
      <c r="S386" t="b">
        <f t="shared" ref="S386:S449" si="24">E386&lt;C386</f>
        <v>0</v>
      </c>
      <c r="T386" t="b">
        <f t="shared" ref="T386:T449" si="25">N386&lt;=0</f>
        <v>0</v>
      </c>
      <c r="U386" t="b">
        <f t="shared" ref="U386:U449" si="26">OR(O386&lt;0,O386&gt;1)</f>
        <v>0</v>
      </c>
    </row>
    <row r="387" spans="1:21" x14ac:dyDescent="0.3">
      <c r="A387">
        <v>386</v>
      </c>
      <c r="B387" t="s">
        <v>402</v>
      </c>
      <c r="C387" s="2">
        <v>45989</v>
      </c>
      <c r="D387" s="2" t="str">
        <f t="shared" ref="D387:D450" si="27">TEXT(C387,"mmm-yyyy")</f>
        <v>Nov-2025</v>
      </c>
      <c r="E387" s="2">
        <v>45991</v>
      </c>
      <c r="F387" t="s">
        <v>1017</v>
      </c>
      <c r="G387" t="s">
        <v>1171</v>
      </c>
      <c r="H387" t="s">
        <v>1286</v>
      </c>
      <c r="I387" t="s">
        <v>1289</v>
      </c>
      <c r="J387" t="s">
        <v>1295</v>
      </c>
      <c r="K387" t="s">
        <v>1305</v>
      </c>
      <c r="L387" t="s">
        <v>1309</v>
      </c>
      <c r="M387" t="s">
        <v>1320</v>
      </c>
      <c r="N387">
        <v>1</v>
      </c>
      <c r="O387">
        <v>0</v>
      </c>
      <c r="P387">
        <v>1167.2</v>
      </c>
      <c r="Q387">
        <v>227.46</v>
      </c>
      <c r="R387" t="s">
        <v>1330</v>
      </c>
      <c r="S387" t="b">
        <f t="shared" si="24"/>
        <v>0</v>
      </c>
      <c r="T387" t="b">
        <f t="shared" si="25"/>
        <v>0</v>
      </c>
      <c r="U387" t="b">
        <f t="shared" si="26"/>
        <v>0</v>
      </c>
    </row>
    <row r="388" spans="1:21" x14ac:dyDescent="0.3">
      <c r="A388">
        <v>387</v>
      </c>
      <c r="B388" t="s">
        <v>403</v>
      </c>
      <c r="C388" s="2">
        <v>45756</v>
      </c>
      <c r="D388" s="2" t="str">
        <f t="shared" si="27"/>
        <v>Apr-2025</v>
      </c>
      <c r="E388" s="2">
        <v>45761</v>
      </c>
      <c r="F388" t="s">
        <v>1017</v>
      </c>
      <c r="G388" t="s">
        <v>1172</v>
      </c>
      <c r="H388" t="s">
        <v>1270</v>
      </c>
      <c r="I388" t="s">
        <v>1287</v>
      </c>
      <c r="J388" t="s">
        <v>1301</v>
      </c>
      <c r="K388" t="s">
        <v>1303</v>
      </c>
      <c r="L388" t="s">
        <v>1309</v>
      </c>
      <c r="M388" t="s">
        <v>1329</v>
      </c>
      <c r="N388">
        <v>2</v>
      </c>
      <c r="O388">
        <v>0.05</v>
      </c>
      <c r="P388">
        <v>3743.73</v>
      </c>
      <c r="Q388">
        <v>701.3</v>
      </c>
      <c r="R388" t="s">
        <v>1330</v>
      </c>
      <c r="S388" t="b">
        <f t="shared" si="24"/>
        <v>0</v>
      </c>
      <c r="T388" t="b">
        <f t="shared" si="25"/>
        <v>0</v>
      </c>
      <c r="U388" t="b">
        <f t="shared" si="26"/>
        <v>0</v>
      </c>
    </row>
    <row r="389" spans="1:21" x14ac:dyDescent="0.3">
      <c r="A389">
        <v>388</v>
      </c>
      <c r="B389" t="s">
        <v>404</v>
      </c>
      <c r="C389" s="2">
        <v>45864</v>
      </c>
      <c r="D389" s="2" t="str">
        <f t="shared" si="27"/>
        <v>Jul-2025</v>
      </c>
      <c r="E389" s="2">
        <v>45867</v>
      </c>
      <c r="F389" t="s">
        <v>1017</v>
      </c>
      <c r="G389" t="s">
        <v>1038</v>
      </c>
      <c r="H389" t="s">
        <v>1269</v>
      </c>
      <c r="I389" t="s">
        <v>1287</v>
      </c>
      <c r="J389" t="s">
        <v>1299</v>
      </c>
      <c r="K389" t="s">
        <v>1304</v>
      </c>
      <c r="L389" t="s">
        <v>1309</v>
      </c>
      <c r="M389" t="s">
        <v>1325</v>
      </c>
      <c r="N389">
        <v>1</v>
      </c>
      <c r="O389">
        <v>0.15</v>
      </c>
      <c r="P389">
        <v>1119.05</v>
      </c>
      <c r="Q389">
        <v>281.49</v>
      </c>
      <c r="R389" t="s">
        <v>1334</v>
      </c>
      <c r="S389" t="b">
        <f t="shared" si="24"/>
        <v>0</v>
      </c>
      <c r="T389" t="b">
        <f t="shared" si="25"/>
        <v>0</v>
      </c>
      <c r="U389" t="b">
        <f t="shared" si="26"/>
        <v>0</v>
      </c>
    </row>
    <row r="390" spans="1:21" x14ac:dyDescent="0.3">
      <c r="A390">
        <v>389</v>
      </c>
      <c r="B390" t="s">
        <v>405</v>
      </c>
      <c r="C390" s="2">
        <v>45673</v>
      </c>
      <c r="D390" s="2" t="str">
        <f t="shared" si="27"/>
        <v>Jan-2025</v>
      </c>
      <c r="E390" s="2">
        <v>45677</v>
      </c>
      <c r="F390" t="s">
        <v>1017</v>
      </c>
      <c r="G390" t="s">
        <v>1076</v>
      </c>
      <c r="H390" t="s">
        <v>1277</v>
      </c>
      <c r="I390" t="s">
        <v>1289</v>
      </c>
      <c r="J390" t="s">
        <v>1299</v>
      </c>
      <c r="K390" t="s">
        <v>1304</v>
      </c>
      <c r="L390" t="s">
        <v>1306</v>
      </c>
      <c r="M390" t="s">
        <v>1310</v>
      </c>
      <c r="N390">
        <v>5</v>
      </c>
      <c r="O390">
        <v>0</v>
      </c>
      <c r="P390">
        <v>3230.52</v>
      </c>
      <c r="Q390">
        <v>901.67</v>
      </c>
      <c r="R390" t="s">
        <v>1333</v>
      </c>
      <c r="S390" t="b">
        <f t="shared" si="24"/>
        <v>0</v>
      </c>
      <c r="T390" t="b">
        <f t="shared" si="25"/>
        <v>0</v>
      </c>
      <c r="U390" t="b">
        <f t="shared" si="26"/>
        <v>0</v>
      </c>
    </row>
    <row r="391" spans="1:21" x14ac:dyDescent="0.3">
      <c r="A391">
        <v>390</v>
      </c>
      <c r="B391" t="s">
        <v>406</v>
      </c>
      <c r="C391" s="2">
        <v>45765</v>
      </c>
      <c r="D391" s="2" t="str">
        <f t="shared" si="27"/>
        <v>Apr-2025</v>
      </c>
      <c r="E391" s="2">
        <v>45767</v>
      </c>
      <c r="F391" t="s">
        <v>1017</v>
      </c>
      <c r="G391" t="s">
        <v>1028</v>
      </c>
      <c r="H391" t="s">
        <v>1272</v>
      </c>
      <c r="I391" t="s">
        <v>1288</v>
      </c>
      <c r="J391" t="s">
        <v>1292</v>
      </c>
      <c r="K391" t="s">
        <v>1303</v>
      </c>
      <c r="L391" t="s">
        <v>1309</v>
      </c>
      <c r="M391" t="s">
        <v>1329</v>
      </c>
      <c r="N391">
        <v>5</v>
      </c>
      <c r="O391">
        <v>0.1</v>
      </c>
      <c r="P391">
        <v>8440.44</v>
      </c>
      <c r="Q391">
        <v>1806.62</v>
      </c>
      <c r="R391" t="s">
        <v>1331</v>
      </c>
      <c r="S391" t="b">
        <f t="shared" si="24"/>
        <v>0</v>
      </c>
      <c r="T391" t="b">
        <f t="shared" si="25"/>
        <v>0</v>
      </c>
      <c r="U391" t="b">
        <f t="shared" si="26"/>
        <v>0</v>
      </c>
    </row>
    <row r="392" spans="1:21" x14ac:dyDescent="0.3">
      <c r="A392">
        <v>391</v>
      </c>
      <c r="B392" t="s">
        <v>407</v>
      </c>
      <c r="C392" s="2">
        <v>45786</v>
      </c>
      <c r="D392" s="2" t="str">
        <f t="shared" si="27"/>
        <v>May-2025</v>
      </c>
      <c r="E392" s="2">
        <v>45791</v>
      </c>
      <c r="F392" t="s">
        <v>1017</v>
      </c>
      <c r="G392" t="s">
        <v>1214</v>
      </c>
      <c r="H392" t="s">
        <v>1280</v>
      </c>
      <c r="I392" t="s">
        <v>1289</v>
      </c>
      <c r="J392" t="s">
        <v>1301</v>
      </c>
      <c r="K392" t="s">
        <v>1303</v>
      </c>
      <c r="L392" t="s">
        <v>1306</v>
      </c>
      <c r="M392" t="s">
        <v>1324</v>
      </c>
      <c r="N392">
        <v>3</v>
      </c>
      <c r="O392">
        <v>0.1</v>
      </c>
      <c r="P392">
        <v>240.61</v>
      </c>
      <c r="Q392">
        <v>30.38</v>
      </c>
      <c r="R392" t="s">
        <v>1330</v>
      </c>
      <c r="S392" t="b">
        <f t="shared" si="24"/>
        <v>0</v>
      </c>
      <c r="T392" t="b">
        <f t="shared" si="25"/>
        <v>0</v>
      </c>
      <c r="U392" t="b">
        <f t="shared" si="26"/>
        <v>0</v>
      </c>
    </row>
    <row r="393" spans="1:21" x14ac:dyDescent="0.3">
      <c r="A393">
        <v>392</v>
      </c>
      <c r="B393" t="s">
        <v>408</v>
      </c>
      <c r="C393" s="2">
        <v>45974</v>
      </c>
      <c r="D393" s="2" t="str">
        <f t="shared" si="27"/>
        <v>Nov-2025</v>
      </c>
      <c r="E393" s="2">
        <v>45976</v>
      </c>
      <c r="F393" t="s">
        <v>1019</v>
      </c>
      <c r="G393" t="s">
        <v>1109</v>
      </c>
      <c r="H393" t="s">
        <v>1268</v>
      </c>
      <c r="I393" t="s">
        <v>1288</v>
      </c>
      <c r="J393" t="s">
        <v>1292</v>
      </c>
      <c r="K393" t="s">
        <v>1303</v>
      </c>
      <c r="L393" t="s">
        <v>1306</v>
      </c>
      <c r="M393" t="s">
        <v>1324</v>
      </c>
      <c r="N393">
        <v>2</v>
      </c>
      <c r="O393">
        <v>0.2</v>
      </c>
      <c r="P393">
        <v>147.79</v>
      </c>
      <c r="Q393">
        <v>32.28</v>
      </c>
      <c r="R393" t="s">
        <v>1331</v>
      </c>
      <c r="S393" t="b">
        <f t="shared" si="24"/>
        <v>0</v>
      </c>
      <c r="T393" t="b">
        <f t="shared" si="25"/>
        <v>0</v>
      </c>
      <c r="U393" t="b">
        <f t="shared" si="26"/>
        <v>0</v>
      </c>
    </row>
    <row r="394" spans="1:21" x14ac:dyDescent="0.3">
      <c r="A394">
        <v>393</v>
      </c>
      <c r="B394" t="s">
        <v>409</v>
      </c>
      <c r="C394" s="2">
        <v>45728</v>
      </c>
      <c r="D394" s="2" t="str">
        <f t="shared" si="27"/>
        <v>Mar-2025</v>
      </c>
      <c r="E394" s="2">
        <v>45731</v>
      </c>
      <c r="F394" t="s">
        <v>1019</v>
      </c>
      <c r="G394" t="s">
        <v>1102</v>
      </c>
      <c r="H394" t="s">
        <v>1277</v>
      </c>
      <c r="I394" t="s">
        <v>1288</v>
      </c>
      <c r="J394" t="s">
        <v>1293</v>
      </c>
      <c r="K394" t="s">
        <v>1304</v>
      </c>
      <c r="L394" t="s">
        <v>1308</v>
      </c>
      <c r="M394" t="s">
        <v>1327</v>
      </c>
      <c r="N394">
        <v>2</v>
      </c>
      <c r="O394">
        <v>0.1</v>
      </c>
      <c r="P394">
        <v>3343.75</v>
      </c>
      <c r="Q394">
        <v>611.74</v>
      </c>
      <c r="R394" t="s">
        <v>1332</v>
      </c>
      <c r="S394" t="b">
        <f t="shared" si="24"/>
        <v>0</v>
      </c>
      <c r="T394" t="b">
        <f t="shared" si="25"/>
        <v>0</v>
      </c>
      <c r="U394" t="b">
        <f t="shared" si="26"/>
        <v>0</v>
      </c>
    </row>
    <row r="395" spans="1:21" x14ac:dyDescent="0.3">
      <c r="A395">
        <v>394</v>
      </c>
      <c r="B395" t="s">
        <v>410</v>
      </c>
      <c r="C395" s="2">
        <v>45783</v>
      </c>
      <c r="D395" s="2" t="str">
        <f t="shared" si="27"/>
        <v>May-2025</v>
      </c>
      <c r="E395" s="2">
        <v>45787</v>
      </c>
      <c r="F395" t="s">
        <v>1017</v>
      </c>
      <c r="G395" t="s">
        <v>1021</v>
      </c>
      <c r="H395" t="s">
        <v>1272</v>
      </c>
      <c r="I395" t="s">
        <v>1288</v>
      </c>
      <c r="J395" t="s">
        <v>1292</v>
      </c>
      <c r="K395" t="s">
        <v>1303</v>
      </c>
      <c r="L395" t="s">
        <v>1307</v>
      </c>
      <c r="M395" t="s">
        <v>1311</v>
      </c>
      <c r="N395">
        <v>3</v>
      </c>
      <c r="O395">
        <v>0.15</v>
      </c>
      <c r="P395">
        <v>734.41</v>
      </c>
      <c r="Q395">
        <v>142.97999999999999</v>
      </c>
      <c r="R395" t="s">
        <v>1332</v>
      </c>
      <c r="S395" t="b">
        <f t="shared" si="24"/>
        <v>0</v>
      </c>
      <c r="T395" t="b">
        <f t="shared" si="25"/>
        <v>0</v>
      </c>
      <c r="U395" t="b">
        <f t="shared" si="26"/>
        <v>0</v>
      </c>
    </row>
    <row r="396" spans="1:21" x14ac:dyDescent="0.3">
      <c r="A396">
        <v>395</v>
      </c>
      <c r="B396" t="s">
        <v>411</v>
      </c>
      <c r="C396" s="2">
        <v>45787</v>
      </c>
      <c r="D396" s="2" t="str">
        <f t="shared" si="27"/>
        <v>May-2025</v>
      </c>
      <c r="E396" s="2">
        <v>45791</v>
      </c>
      <c r="F396" t="s">
        <v>1017</v>
      </c>
      <c r="G396" t="s">
        <v>1112</v>
      </c>
      <c r="H396" t="s">
        <v>1277</v>
      </c>
      <c r="I396" t="s">
        <v>1289</v>
      </c>
      <c r="J396" t="s">
        <v>1291</v>
      </c>
      <c r="K396" t="s">
        <v>1302</v>
      </c>
      <c r="L396" t="s">
        <v>1308</v>
      </c>
      <c r="M396" t="s">
        <v>1319</v>
      </c>
      <c r="N396">
        <v>1</v>
      </c>
      <c r="O396">
        <v>0.1</v>
      </c>
      <c r="P396">
        <v>4146.26</v>
      </c>
      <c r="Q396">
        <v>914.9</v>
      </c>
      <c r="R396" t="s">
        <v>1332</v>
      </c>
      <c r="S396" t="b">
        <f t="shared" si="24"/>
        <v>0</v>
      </c>
      <c r="T396" t="b">
        <f t="shared" si="25"/>
        <v>0</v>
      </c>
      <c r="U396" t="b">
        <f t="shared" si="26"/>
        <v>0</v>
      </c>
    </row>
    <row r="397" spans="1:21" x14ac:dyDescent="0.3">
      <c r="A397">
        <v>396</v>
      </c>
      <c r="B397" t="s">
        <v>412</v>
      </c>
      <c r="C397" s="2">
        <v>45777</v>
      </c>
      <c r="D397" s="2" t="str">
        <f t="shared" si="27"/>
        <v>Apr-2025</v>
      </c>
      <c r="E397" s="2">
        <v>45778</v>
      </c>
      <c r="F397" t="s">
        <v>1017</v>
      </c>
      <c r="G397" t="s">
        <v>1215</v>
      </c>
      <c r="H397" t="s">
        <v>1279</v>
      </c>
      <c r="I397" t="s">
        <v>1287</v>
      </c>
      <c r="J397" t="s">
        <v>1301</v>
      </c>
      <c r="K397" t="s">
        <v>1303</v>
      </c>
      <c r="L397" t="s">
        <v>1306</v>
      </c>
      <c r="M397" t="s">
        <v>1310</v>
      </c>
      <c r="N397">
        <v>1</v>
      </c>
      <c r="O397">
        <v>0.1</v>
      </c>
      <c r="P397">
        <v>561</v>
      </c>
      <c r="Q397">
        <v>39.590000000000003</v>
      </c>
      <c r="R397" t="s">
        <v>1331</v>
      </c>
      <c r="S397" t="b">
        <f t="shared" si="24"/>
        <v>0</v>
      </c>
      <c r="T397" t="b">
        <f t="shared" si="25"/>
        <v>0</v>
      </c>
      <c r="U397" t="b">
        <f t="shared" si="26"/>
        <v>0</v>
      </c>
    </row>
    <row r="398" spans="1:21" x14ac:dyDescent="0.3">
      <c r="A398">
        <v>397</v>
      </c>
      <c r="B398" t="s">
        <v>413</v>
      </c>
      <c r="C398" s="2">
        <v>45809</v>
      </c>
      <c r="D398" s="2" t="str">
        <f t="shared" si="27"/>
        <v>Jun-2025</v>
      </c>
      <c r="E398" s="2">
        <v>45811</v>
      </c>
      <c r="F398" t="s">
        <v>1017</v>
      </c>
      <c r="G398" t="s">
        <v>1147</v>
      </c>
      <c r="H398" t="s">
        <v>1280</v>
      </c>
      <c r="I398" t="s">
        <v>1287</v>
      </c>
      <c r="J398" t="s">
        <v>1290</v>
      </c>
      <c r="K398" t="s">
        <v>1302</v>
      </c>
      <c r="L398" t="s">
        <v>1308</v>
      </c>
      <c r="M398" t="s">
        <v>1326</v>
      </c>
      <c r="N398">
        <v>1</v>
      </c>
      <c r="O398">
        <v>0.1</v>
      </c>
      <c r="P398">
        <v>6320.87</v>
      </c>
      <c r="Q398">
        <v>1707.89</v>
      </c>
      <c r="R398" t="s">
        <v>1331</v>
      </c>
      <c r="S398" t="b">
        <f t="shared" si="24"/>
        <v>0</v>
      </c>
      <c r="T398" t="b">
        <f t="shared" si="25"/>
        <v>0</v>
      </c>
      <c r="U398" t="b">
        <f t="shared" si="26"/>
        <v>0</v>
      </c>
    </row>
    <row r="399" spans="1:21" x14ac:dyDescent="0.3">
      <c r="A399">
        <v>398</v>
      </c>
      <c r="B399" t="s">
        <v>414</v>
      </c>
      <c r="C399" s="2">
        <v>45704</v>
      </c>
      <c r="D399" s="2" t="str">
        <f t="shared" si="27"/>
        <v>Feb-2025</v>
      </c>
      <c r="E399" s="2">
        <v>45707</v>
      </c>
      <c r="F399" t="s">
        <v>1017</v>
      </c>
      <c r="G399" t="s">
        <v>1076</v>
      </c>
      <c r="H399" t="s">
        <v>1273</v>
      </c>
      <c r="I399" t="s">
        <v>1289</v>
      </c>
      <c r="J399" t="s">
        <v>1293</v>
      </c>
      <c r="K399" t="s">
        <v>1304</v>
      </c>
      <c r="L399" t="s">
        <v>1307</v>
      </c>
      <c r="M399" t="s">
        <v>1314</v>
      </c>
      <c r="N399">
        <v>2</v>
      </c>
      <c r="O399">
        <v>0.1</v>
      </c>
      <c r="P399">
        <v>1546.11</v>
      </c>
      <c r="Q399">
        <v>318.42</v>
      </c>
      <c r="R399" t="s">
        <v>1331</v>
      </c>
      <c r="S399" t="b">
        <f t="shared" si="24"/>
        <v>0</v>
      </c>
      <c r="T399" t="b">
        <f t="shared" si="25"/>
        <v>0</v>
      </c>
      <c r="U399" t="b">
        <f t="shared" si="26"/>
        <v>0</v>
      </c>
    </row>
    <row r="400" spans="1:21" x14ac:dyDescent="0.3">
      <c r="A400">
        <v>399</v>
      </c>
      <c r="B400" t="s">
        <v>415</v>
      </c>
      <c r="C400" s="2">
        <v>45838</v>
      </c>
      <c r="D400" s="2" t="str">
        <f t="shared" si="27"/>
        <v>Jun-2025</v>
      </c>
      <c r="E400" s="2">
        <v>45841</v>
      </c>
      <c r="F400" t="s">
        <v>1017</v>
      </c>
      <c r="G400" t="s">
        <v>1216</v>
      </c>
      <c r="H400" t="s">
        <v>1285</v>
      </c>
      <c r="I400" t="s">
        <v>1289</v>
      </c>
      <c r="J400" t="s">
        <v>1295</v>
      </c>
      <c r="K400" t="s">
        <v>1305</v>
      </c>
      <c r="L400" t="s">
        <v>1306</v>
      </c>
      <c r="M400" t="s">
        <v>1328</v>
      </c>
      <c r="N400">
        <v>1</v>
      </c>
      <c r="O400">
        <v>0.1</v>
      </c>
      <c r="P400">
        <v>106.4</v>
      </c>
      <c r="Q400">
        <v>10.17</v>
      </c>
      <c r="R400" t="s">
        <v>1331</v>
      </c>
      <c r="S400" t="b">
        <f t="shared" si="24"/>
        <v>0</v>
      </c>
      <c r="T400" t="b">
        <f t="shared" si="25"/>
        <v>0</v>
      </c>
      <c r="U400" t="b">
        <f t="shared" si="26"/>
        <v>0</v>
      </c>
    </row>
    <row r="401" spans="1:21" x14ac:dyDescent="0.3">
      <c r="A401">
        <v>400</v>
      </c>
      <c r="B401" t="s">
        <v>416</v>
      </c>
      <c r="C401" s="2">
        <v>45775</v>
      </c>
      <c r="D401" s="2" t="str">
        <f t="shared" si="27"/>
        <v>Apr-2025</v>
      </c>
      <c r="E401" s="2">
        <v>45779</v>
      </c>
      <c r="F401" t="s">
        <v>1017</v>
      </c>
      <c r="G401" t="s">
        <v>1217</v>
      </c>
      <c r="H401" t="s">
        <v>1270</v>
      </c>
      <c r="I401" t="s">
        <v>1287</v>
      </c>
      <c r="J401" t="s">
        <v>1296</v>
      </c>
      <c r="K401" t="s">
        <v>1304</v>
      </c>
      <c r="L401" t="s">
        <v>1306</v>
      </c>
      <c r="M401" t="s">
        <v>1328</v>
      </c>
      <c r="N401">
        <v>5</v>
      </c>
      <c r="O401">
        <v>0.15</v>
      </c>
      <c r="P401">
        <v>525.55999999999995</v>
      </c>
      <c r="Q401">
        <v>52.16</v>
      </c>
      <c r="R401" t="s">
        <v>1331</v>
      </c>
      <c r="S401" t="b">
        <f t="shared" si="24"/>
        <v>0</v>
      </c>
      <c r="T401" t="b">
        <f t="shared" si="25"/>
        <v>0</v>
      </c>
      <c r="U401" t="b">
        <f t="shared" si="26"/>
        <v>0</v>
      </c>
    </row>
    <row r="402" spans="1:21" x14ac:dyDescent="0.3">
      <c r="A402">
        <v>401</v>
      </c>
      <c r="B402" t="s">
        <v>417</v>
      </c>
      <c r="C402" s="2">
        <v>45890</v>
      </c>
      <c r="D402" s="2" t="str">
        <f t="shared" si="27"/>
        <v>Aug-2025</v>
      </c>
      <c r="E402" s="2">
        <v>45893</v>
      </c>
      <c r="F402" t="s">
        <v>1017</v>
      </c>
      <c r="G402" t="s">
        <v>1215</v>
      </c>
      <c r="H402" t="s">
        <v>1280</v>
      </c>
      <c r="I402" t="s">
        <v>1287</v>
      </c>
      <c r="J402" t="s">
        <v>1301</v>
      </c>
      <c r="K402" t="s">
        <v>1303</v>
      </c>
      <c r="L402" t="s">
        <v>1308</v>
      </c>
      <c r="M402" t="s">
        <v>1312</v>
      </c>
      <c r="N402">
        <v>2</v>
      </c>
      <c r="O402">
        <v>0</v>
      </c>
      <c r="P402">
        <v>2497.42</v>
      </c>
      <c r="Q402">
        <v>576.75</v>
      </c>
      <c r="R402" t="s">
        <v>1331</v>
      </c>
      <c r="S402" t="b">
        <f t="shared" si="24"/>
        <v>0</v>
      </c>
      <c r="T402" t="b">
        <f t="shared" si="25"/>
        <v>0</v>
      </c>
      <c r="U402" t="b">
        <f t="shared" si="26"/>
        <v>0</v>
      </c>
    </row>
    <row r="403" spans="1:21" x14ac:dyDescent="0.3">
      <c r="A403">
        <v>402</v>
      </c>
      <c r="B403" t="s">
        <v>418</v>
      </c>
      <c r="C403" s="2">
        <v>45706</v>
      </c>
      <c r="D403" s="2" t="str">
        <f t="shared" si="27"/>
        <v>Feb-2025</v>
      </c>
      <c r="E403" s="2">
        <v>45710</v>
      </c>
      <c r="F403" t="s">
        <v>1018</v>
      </c>
      <c r="G403" t="s">
        <v>1169</v>
      </c>
      <c r="H403" t="s">
        <v>1278</v>
      </c>
      <c r="I403" t="s">
        <v>1288</v>
      </c>
      <c r="J403" t="s">
        <v>1290</v>
      </c>
      <c r="K403" t="s">
        <v>1302</v>
      </c>
      <c r="L403" t="s">
        <v>1306</v>
      </c>
      <c r="M403" t="s">
        <v>1328</v>
      </c>
      <c r="N403">
        <v>2</v>
      </c>
      <c r="O403">
        <v>0.2</v>
      </c>
      <c r="P403">
        <v>200.87</v>
      </c>
      <c r="Q403">
        <v>26.36</v>
      </c>
      <c r="R403" t="s">
        <v>1333</v>
      </c>
      <c r="S403" t="b">
        <f t="shared" si="24"/>
        <v>0</v>
      </c>
      <c r="T403" t="b">
        <f t="shared" si="25"/>
        <v>0</v>
      </c>
      <c r="U403" t="b">
        <f t="shared" si="26"/>
        <v>0</v>
      </c>
    </row>
    <row r="404" spans="1:21" x14ac:dyDescent="0.3">
      <c r="A404">
        <v>403</v>
      </c>
      <c r="B404" t="s">
        <v>419</v>
      </c>
      <c r="C404" s="2">
        <v>45936</v>
      </c>
      <c r="D404" s="2" t="str">
        <f t="shared" si="27"/>
        <v>Oct-2025</v>
      </c>
      <c r="E404" s="2">
        <v>45937</v>
      </c>
      <c r="F404" t="s">
        <v>1017</v>
      </c>
      <c r="G404" t="s">
        <v>1031</v>
      </c>
      <c r="H404" t="s">
        <v>1284</v>
      </c>
      <c r="I404" t="s">
        <v>1288</v>
      </c>
      <c r="J404" t="s">
        <v>1295</v>
      </c>
      <c r="K404" t="s">
        <v>1305</v>
      </c>
      <c r="L404" t="s">
        <v>1306</v>
      </c>
      <c r="M404" t="s">
        <v>1328</v>
      </c>
      <c r="N404">
        <v>5</v>
      </c>
      <c r="O404">
        <v>0</v>
      </c>
      <c r="P404">
        <v>620.35</v>
      </c>
      <c r="Q404">
        <v>182.27</v>
      </c>
      <c r="R404" t="s">
        <v>1332</v>
      </c>
      <c r="S404" t="b">
        <f t="shared" si="24"/>
        <v>0</v>
      </c>
      <c r="T404" t="b">
        <f t="shared" si="25"/>
        <v>0</v>
      </c>
      <c r="U404" t="b">
        <f t="shared" si="26"/>
        <v>0</v>
      </c>
    </row>
    <row r="405" spans="1:21" x14ac:dyDescent="0.3">
      <c r="A405">
        <v>404</v>
      </c>
      <c r="B405" t="s">
        <v>420</v>
      </c>
      <c r="C405" s="2">
        <v>45791</v>
      </c>
      <c r="D405" s="2" t="str">
        <f t="shared" si="27"/>
        <v>May-2025</v>
      </c>
      <c r="E405" s="2">
        <v>45796</v>
      </c>
      <c r="F405" t="s">
        <v>1017</v>
      </c>
      <c r="G405" t="s">
        <v>1202</v>
      </c>
      <c r="H405" t="s">
        <v>1272</v>
      </c>
      <c r="I405" t="s">
        <v>1287</v>
      </c>
      <c r="J405" t="s">
        <v>1296</v>
      </c>
      <c r="K405" t="s">
        <v>1304</v>
      </c>
      <c r="L405" t="s">
        <v>1307</v>
      </c>
      <c r="M405" t="s">
        <v>1314</v>
      </c>
      <c r="N405">
        <v>1</v>
      </c>
      <c r="O405">
        <v>0.1</v>
      </c>
      <c r="P405">
        <v>841.25</v>
      </c>
      <c r="Q405">
        <v>262.41000000000003</v>
      </c>
      <c r="R405" t="s">
        <v>1333</v>
      </c>
      <c r="S405" t="b">
        <f t="shared" si="24"/>
        <v>0</v>
      </c>
      <c r="T405" t="b">
        <f t="shared" si="25"/>
        <v>0</v>
      </c>
      <c r="U405" t="b">
        <f t="shared" si="26"/>
        <v>0</v>
      </c>
    </row>
    <row r="406" spans="1:21" x14ac:dyDescent="0.3">
      <c r="A406">
        <v>405</v>
      </c>
      <c r="B406" t="s">
        <v>421</v>
      </c>
      <c r="C406" s="2">
        <v>45792</v>
      </c>
      <c r="D406" s="2" t="str">
        <f t="shared" si="27"/>
        <v>May-2025</v>
      </c>
      <c r="E406" s="2">
        <v>45795</v>
      </c>
      <c r="F406" t="s">
        <v>1018</v>
      </c>
      <c r="G406" t="s">
        <v>1047</v>
      </c>
      <c r="H406" t="s">
        <v>1273</v>
      </c>
      <c r="I406" t="s">
        <v>1287</v>
      </c>
      <c r="J406" t="s">
        <v>1290</v>
      </c>
      <c r="K406" t="s">
        <v>1302</v>
      </c>
      <c r="L406" t="s">
        <v>1308</v>
      </c>
      <c r="M406" t="s">
        <v>1312</v>
      </c>
      <c r="N406">
        <v>4</v>
      </c>
      <c r="O406">
        <v>0</v>
      </c>
      <c r="P406">
        <v>5289.73</v>
      </c>
      <c r="Q406">
        <v>1783.34</v>
      </c>
      <c r="R406" t="s">
        <v>1331</v>
      </c>
      <c r="S406" t="b">
        <f t="shared" si="24"/>
        <v>0</v>
      </c>
      <c r="T406" t="b">
        <f t="shared" si="25"/>
        <v>0</v>
      </c>
      <c r="U406" t="b">
        <f t="shared" si="26"/>
        <v>0</v>
      </c>
    </row>
    <row r="407" spans="1:21" x14ac:dyDescent="0.3">
      <c r="A407">
        <v>406</v>
      </c>
      <c r="B407" t="s">
        <v>422</v>
      </c>
      <c r="C407" s="2">
        <v>45985</v>
      </c>
      <c r="D407" s="2" t="str">
        <f t="shared" si="27"/>
        <v>Nov-2025</v>
      </c>
      <c r="E407" s="2">
        <v>45987</v>
      </c>
      <c r="F407" t="s">
        <v>1019</v>
      </c>
      <c r="G407" t="s">
        <v>1022</v>
      </c>
      <c r="H407" t="s">
        <v>1270</v>
      </c>
      <c r="I407" t="s">
        <v>1289</v>
      </c>
      <c r="J407" t="s">
        <v>1298</v>
      </c>
      <c r="K407" t="s">
        <v>1303</v>
      </c>
      <c r="L407" t="s">
        <v>1309</v>
      </c>
      <c r="M407" t="s">
        <v>1325</v>
      </c>
      <c r="N407">
        <v>3</v>
      </c>
      <c r="O407">
        <v>0.2</v>
      </c>
      <c r="P407">
        <v>3169.64</v>
      </c>
      <c r="Q407">
        <v>414.15</v>
      </c>
      <c r="R407" t="s">
        <v>1333</v>
      </c>
      <c r="S407" t="b">
        <f t="shared" si="24"/>
        <v>0</v>
      </c>
      <c r="T407" t="b">
        <f t="shared" si="25"/>
        <v>0</v>
      </c>
      <c r="U407" t="b">
        <f t="shared" si="26"/>
        <v>0</v>
      </c>
    </row>
    <row r="408" spans="1:21" x14ac:dyDescent="0.3">
      <c r="A408">
        <v>407</v>
      </c>
      <c r="B408" t="s">
        <v>423</v>
      </c>
      <c r="C408" s="2">
        <v>45880</v>
      </c>
      <c r="D408" s="2" t="str">
        <f t="shared" si="27"/>
        <v>Aug-2025</v>
      </c>
      <c r="E408" s="2">
        <v>45883</v>
      </c>
      <c r="F408" t="s">
        <v>1017</v>
      </c>
      <c r="G408" t="s">
        <v>1113</v>
      </c>
      <c r="H408" t="s">
        <v>1270</v>
      </c>
      <c r="I408" t="s">
        <v>1288</v>
      </c>
      <c r="J408" t="s">
        <v>1295</v>
      </c>
      <c r="K408" t="s">
        <v>1305</v>
      </c>
      <c r="L408" t="s">
        <v>1309</v>
      </c>
      <c r="M408" t="s">
        <v>1317</v>
      </c>
      <c r="N408">
        <v>3</v>
      </c>
      <c r="O408">
        <v>0</v>
      </c>
      <c r="P408">
        <v>2392.75</v>
      </c>
      <c r="Q408">
        <v>879.14</v>
      </c>
      <c r="R408" t="s">
        <v>1330</v>
      </c>
      <c r="S408" t="b">
        <f t="shared" si="24"/>
        <v>0</v>
      </c>
      <c r="T408" t="b">
        <f t="shared" si="25"/>
        <v>0</v>
      </c>
      <c r="U408" t="b">
        <f t="shared" si="26"/>
        <v>0</v>
      </c>
    </row>
    <row r="409" spans="1:21" x14ac:dyDescent="0.3">
      <c r="A409">
        <v>408</v>
      </c>
      <c r="B409" t="s">
        <v>424</v>
      </c>
      <c r="C409" s="2">
        <v>45919</v>
      </c>
      <c r="D409" s="2" t="str">
        <f t="shared" si="27"/>
        <v>Sep-2025</v>
      </c>
      <c r="E409" s="2">
        <v>45924</v>
      </c>
      <c r="F409" t="s">
        <v>1018</v>
      </c>
      <c r="G409" t="s">
        <v>1099</v>
      </c>
      <c r="H409" t="s">
        <v>1278</v>
      </c>
      <c r="I409" t="s">
        <v>1287</v>
      </c>
      <c r="J409" t="s">
        <v>1293</v>
      </c>
      <c r="K409" t="s">
        <v>1304</v>
      </c>
      <c r="L409" t="s">
        <v>1308</v>
      </c>
      <c r="M409" t="s">
        <v>1319</v>
      </c>
      <c r="N409">
        <v>1</v>
      </c>
      <c r="O409">
        <v>0.15</v>
      </c>
      <c r="P409">
        <v>3974.31</v>
      </c>
      <c r="Q409">
        <v>549.54999999999995</v>
      </c>
      <c r="R409" t="s">
        <v>1331</v>
      </c>
      <c r="S409" t="b">
        <f t="shared" si="24"/>
        <v>0</v>
      </c>
      <c r="T409" t="b">
        <f t="shared" si="25"/>
        <v>0</v>
      </c>
      <c r="U409" t="b">
        <f t="shared" si="26"/>
        <v>0</v>
      </c>
    </row>
    <row r="410" spans="1:21" x14ac:dyDescent="0.3">
      <c r="A410">
        <v>409</v>
      </c>
      <c r="B410" t="s">
        <v>425</v>
      </c>
      <c r="C410" s="2">
        <v>46019</v>
      </c>
      <c r="D410" s="2" t="str">
        <f t="shared" si="27"/>
        <v>Dec-2025</v>
      </c>
      <c r="E410" s="2">
        <v>46023</v>
      </c>
      <c r="F410" t="s">
        <v>1018</v>
      </c>
      <c r="G410" t="s">
        <v>1040</v>
      </c>
      <c r="H410" t="s">
        <v>1285</v>
      </c>
      <c r="I410" t="s">
        <v>1287</v>
      </c>
      <c r="J410" t="s">
        <v>1298</v>
      </c>
      <c r="K410" t="s">
        <v>1303</v>
      </c>
      <c r="L410" t="s">
        <v>1306</v>
      </c>
      <c r="M410" t="s">
        <v>1328</v>
      </c>
      <c r="N410">
        <v>3</v>
      </c>
      <c r="O410">
        <v>0</v>
      </c>
      <c r="P410">
        <v>360.24</v>
      </c>
      <c r="Q410">
        <v>75.41</v>
      </c>
      <c r="R410" t="s">
        <v>1330</v>
      </c>
      <c r="S410" t="b">
        <f t="shared" si="24"/>
        <v>0</v>
      </c>
      <c r="T410" t="b">
        <f t="shared" si="25"/>
        <v>0</v>
      </c>
      <c r="U410" t="b">
        <f t="shared" si="26"/>
        <v>0</v>
      </c>
    </row>
    <row r="411" spans="1:21" x14ac:dyDescent="0.3">
      <c r="A411">
        <v>410</v>
      </c>
      <c r="B411" t="s">
        <v>426</v>
      </c>
      <c r="C411" s="2">
        <v>45846</v>
      </c>
      <c r="D411" s="2" t="str">
        <f t="shared" si="27"/>
        <v>Jul-2025</v>
      </c>
      <c r="E411" s="2">
        <v>45850</v>
      </c>
      <c r="F411" t="s">
        <v>1017</v>
      </c>
      <c r="G411" t="s">
        <v>1023</v>
      </c>
      <c r="H411" t="s">
        <v>1275</v>
      </c>
      <c r="I411" t="s">
        <v>1288</v>
      </c>
      <c r="J411" t="s">
        <v>1299</v>
      </c>
      <c r="K411" t="s">
        <v>1304</v>
      </c>
      <c r="L411" t="s">
        <v>1307</v>
      </c>
      <c r="M411" t="s">
        <v>1316</v>
      </c>
      <c r="N411">
        <v>3</v>
      </c>
      <c r="O411">
        <v>0.2</v>
      </c>
      <c r="P411">
        <v>1175.56</v>
      </c>
      <c r="Q411">
        <v>-7.73</v>
      </c>
      <c r="R411" t="s">
        <v>1331</v>
      </c>
      <c r="S411" t="b">
        <f t="shared" si="24"/>
        <v>0</v>
      </c>
      <c r="T411" t="b">
        <f t="shared" si="25"/>
        <v>0</v>
      </c>
      <c r="U411" t="b">
        <f t="shared" si="26"/>
        <v>0</v>
      </c>
    </row>
    <row r="412" spans="1:21" x14ac:dyDescent="0.3">
      <c r="A412">
        <v>411</v>
      </c>
      <c r="B412" t="s">
        <v>427</v>
      </c>
      <c r="C412" s="2">
        <v>45696</v>
      </c>
      <c r="D412" s="2" t="str">
        <f t="shared" si="27"/>
        <v>Feb-2025</v>
      </c>
      <c r="E412" s="2">
        <v>45697</v>
      </c>
      <c r="F412" t="s">
        <v>1017</v>
      </c>
      <c r="G412" t="s">
        <v>1218</v>
      </c>
      <c r="H412" t="s">
        <v>1285</v>
      </c>
      <c r="I412" t="s">
        <v>1287</v>
      </c>
      <c r="J412" t="s">
        <v>1300</v>
      </c>
      <c r="K412" t="s">
        <v>1305</v>
      </c>
      <c r="L412" t="s">
        <v>1306</v>
      </c>
      <c r="M412" t="s">
        <v>1310</v>
      </c>
      <c r="N412">
        <v>1</v>
      </c>
      <c r="O412">
        <v>0.05</v>
      </c>
      <c r="P412">
        <v>613.12</v>
      </c>
      <c r="Q412">
        <v>200.38</v>
      </c>
      <c r="R412" t="s">
        <v>1331</v>
      </c>
      <c r="S412" t="b">
        <f t="shared" si="24"/>
        <v>0</v>
      </c>
      <c r="T412" t="b">
        <f t="shared" si="25"/>
        <v>0</v>
      </c>
      <c r="U412" t="b">
        <f t="shared" si="26"/>
        <v>0</v>
      </c>
    </row>
    <row r="413" spans="1:21" x14ac:dyDescent="0.3">
      <c r="A413">
        <v>412</v>
      </c>
      <c r="B413" t="s">
        <v>428</v>
      </c>
      <c r="C413" s="2">
        <v>45988</v>
      </c>
      <c r="D413" s="2" t="str">
        <f t="shared" si="27"/>
        <v>Nov-2025</v>
      </c>
      <c r="E413" s="2">
        <v>45990</v>
      </c>
      <c r="F413" t="s">
        <v>1017</v>
      </c>
      <c r="G413" t="s">
        <v>1119</v>
      </c>
      <c r="H413" t="s">
        <v>1274</v>
      </c>
      <c r="I413" t="s">
        <v>1287</v>
      </c>
      <c r="J413" t="s">
        <v>1295</v>
      </c>
      <c r="K413" t="s">
        <v>1305</v>
      </c>
      <c r="L413" t="s">
        <v>1306</v>
      </c>
      <c r="M413" t="s">
        <v>1324</v>
      </c>
      <c r="N413">
        <v>1</v>
      </c>
      <c r="O413">
        <v>0.1</v>
      </c>
      <c r="P413">
        <v>80.209999999999994</v>
      </c>
      <c r="Q413">
        <v>-250</v>
      </c>
      <c r="R413" t="s">
        <v>1334</v>
      </c>
      <c r="S413" t="b">
        <f t="shared" si="24"/>
        <v>0</v>
      </c>
      <c r="T413" t="b">
        <f t="shared" si="25"/>
        <v>0</v>
      </c>
      <c r="U413" t="b">
        <f t="shared" si="26"/>
        <v>0</v>
      </c>
    </row>
    <row r="414" spans="1:21" x14ac:dyDescent="0.3">
      <c r="A414">
        <v>413</v>
      </c>
      <c r="B414" t="s">
        <v>429</v>
      </c>
      <c r="C414" s="2">
        <v>45903</v>
      </c>
      <c r="D414" s="2" t="str">
        <f t="shared" si="27"/>
        <v>Sep-2025</v>
      </c>
      <c r="E414" s="2">
        <v>45905</v>
      </c>
      <c r="F414" t="s">
        <v>1017</v>
      </c>
      <c r="G414" t="s">
        <v>1030</v>
      </c>
      <c r="H414" t="s">
        <v>1270</v>
      </c>
      <c r="I414" t="s">
        <v>1287</v>
      </c>
      <c r="J414" t="s">
        <v>1298</v>
      </c>
      <c r="K414" t="s">
        <v>1303</v>
      </c>
      <c r="L414" t="s">
        <v>1309</v>
      </c>
      <c r="M414" t="s">
        <v>1317</v>
      </c>
      <c r="N414">
        <v>1</v>
      </c>
      <c r="O414">
        <v>0.1</v>
      </c>
      <c r="P414">
        <v>707.05</v>
      </c>
      <c r="Q414">
        <v>161.25</v>
      </c>
      <c r="R414" t="s">
        <v>1330</v>
      </c>
      <c r="S414" t="b">
        <f t="shared" si="24"/>
        <v>0</v>
      </c>
      <c r="T414" t="b">
        <f t="shared" si="25"/>
        <v>0</v>
      </c>
      <c r="U414" t="b">
        <f t="shared" si="26"/>
        <v>0</v>
      </c>
    </row>
    <row r="415" spans="1:21" x14ac:dyDescent="0.3">
      <c r="A415">
        <v>414</v>
      </c>
      <c r="B415" t="s">
        <v>430</v>
      </c>
      <c r="C415" s="2">
        <v>45746</v>
      </c>
      <c r="D415" s="2" t="str">
        <f t="shared" si="27"/>
        <v>Mar-2025</v>
      </c>
      <c r="E415" s="2">
        <v>45750</v>
      </c>
      <c r="F415" t="s">
        <v>1017</v>
      </c>
      <c r="G415" t="s">
        <v>1130</v>
      </c>
      <c r="H415" t="s">
        <v>1268</v>
      </c>
      <c r="I415" t="s">
        <v>1287</v>
      </c>
      <c r="J415" t="s">
        <v>1297</v>
      </c>
      <c r="K415" t="s">
        <v>1304</v>
      </c>
      <c r="L415" t="s">
        <v>1307</v>
      </c>
      <c r="M415" t="s">
        <v>1311</v>
      </c>
      <c r="N415">
        <v>2</v>
      </c>
      <c r="O415">
        <v>0.05</v>
      </c>
      <c r="P415">
        <v>587.88</v>
      </c>
      <c r="Q415">
        <v>135.16999999999999</v>
      </c>
      <c r="R415" t="s">
        <v>1330</v>
      </c>
      <c r="S415" t="b">
        <f t="shared" si="24"/>
        <v>0</v>
      </c>
      <c r="T415" t="b">
        <f t="shared" si="25"/>
        <v>0</v>
      </c>
      <c r="U415" t="b">
        <f t="shared" si="26"/>
        <v>0</v>
      </c>
    </row>
    <row r="416" spans="1:21" x14ac:dyDescent="0.3">
      <c r="A416">
        <v>415</v>
      </c>
      <c r="B416" t="s">
        <v>431</v>
      </c>
      <c r="C416" s="2">
        <v>45839</v>
      </c>
      <c r="D416" s="2" t="str">
        <f t="shared" si="27"/>
        <v>Jul-2025</v>
      </c>
      <c r="E416" s="2">
        <v>45844</v>
      </c>
      <c r="F416" t="s">
        <v>1017</v>
      </c>
      <c r="G416" t="s">
        <v>1130</v>
      </c>
      <c r="H416" t="s">
        <v>1285</v>
      </c>
      <c r="I416" t="s">
        <v>1289</v>
      </c>
      <c r="J416" t="s">
        <v>1294</v>
      </c>
      <c r="K416" t="s">
        <v>1305</v>
      </c>
      <c r="L416" t="s">
        <v>1309</v>
      </c>
      <c r="M416" t="s">
        <v>1325</v>
      </c>
      <c r="N416">
        <v>2</v>
      </c>
      <c r="O416">
        <v>0</v>
      </c>
      <c r="P416">
        <v>2550.56</v>
      </c>
      <c r="Q416">
        <v>825.32</v>
      </c>
      <c r="R416" t="s">
        <v>1332</v>
      </c>
      <c r="S416" t="b">
        <f t="shared" si="24"/>
        <v>0</v>
      </c>
      <c r="T416" t="b">
        <f t="shared" si="25"/>
        <v>0</v>
      </c>
      <c r="U416" t="b">
        <f t="shared" si="26"/>
        <v>0</v>
      </c>
    </row>
    <row r="417" spans="1:21" x14ac:dyDescent="0.3">
      <c r="A417">
        <v>416</v>
      </c>
      <c r="B417" t="s">
        <v>432</v>
      </c>
      <c r="C417" s="2">
        <v>45939</v>
      </c>
      <c r="D417" s="2" t="str">
        <f t="shared" si="27"/>
        <v>Oct-2025</v>
      </c>
      <c r="E417" s="2">
        <v>45941</v>
      </c>
      <c r="F417" t="s">
        <v>1017</v>
      </c>
      <c r="G417" t="s">
        <v>1112</v>
      </c>
      <c r="H417" t="s">
        <v>1279</v>
      </c>
      <c r="I417" t="s">
        <v>1287</v>
      </c>
      <c r="J417" t="s">
        <v>1301</v>
      </c>
      <c r="K417" t="s">
        <v>1303</v>
      </c>
      <c r="L417" t="s">
        <v>1306</v>
      </c>
      <c r="M417" t="s">
        <v>1310</v>
      </c>
      <c r="N417">
        <v>3</v>
      </c>
      <c r="O417">
        <v>0</v>
      </c>
      <c r="P417">
        <v>1964.75</v>
      </c>
      <c r="Q417">
        <v>706.57</v>
      </c>
      <c r="R417" t="s">
        <v>1334</v>
      </c>
      <c r="S417" t="b">
        <f t="shared" si="24"/>
        <v>0</v>
      </c>
      <c r="T417" t="b">
        <f t="shared" si="25"/>
        <v>0</v>
      </c>
      <c r="U417" t="b">
        <f t="shared" si="26"/>
        <v>0</v>
      </c>
    </row>
    <row r="418" spans="1:21" x14ac:dyDescent="0.3">
      <c r="A418">
        <v>417</v>
      </c>
      <c r="B418" t="s">
        <v>433</v>
      </c>
      <c r="C418" s="2">
        <v>45835</v>
      </c>
      <c r="D418" s="2" t="str">
        <f t="shared" si="27"/>
        <v>Jun-2025</v>
      </c>
      <c r="E418" s="2">
        <v>45837</v>
      </c>
      <c r="F418" t="s">
        <v>1017</v>
      </c>
      <c r="G418" t="s">
        <v>1050</v>
      </c>
      <c r="H418" t="s">
        <v>1271</v>
      </c>
      <c r="I418" t="s">
        <v>1287</v>
      </c>
      <c r="J418" t="s">
        <v>1297</v>
      </c>
      <c r="K418" t="s">
        <v>1304</v>
      </c>
      <c r="L418" t="s">
        <v>1308</v>
      </c>
      <c r="M418" t="s">
        <v>1326</v>
      </c>
      <c r="N418">
        <v>2</v>
      </c>
      <c r="O418">
        <v>0</v>
      </c>
      <c r="P418">
        <v>13964.86</v>
      </c>
      <c r="Q418">
        <v>3411.06</v>
      </c>
      <c r="R418" t="s">
        <v>1332</v>
      </c>
      <c r="S418" t="b">
        <f t="shared" si="24"/>
        <v>0</v>
      </c>
      <c r="T418" t="b">
        <f t="shared" si="25"/>
        <v>0</v>
      </c>
      <c r="U418" t="b">
        <f t="shared" si="26"/>
        <v>0</v>
      </c>
    </row>
    <row r="419" spans="1:21" x14ac:dyDescent="0.3">
      <c r="A419">
        <v>418</v>
      </c>
      <c r="B419" t="s">
        <v>434</v>
      </c>
      <c r="C419" s="2">
        <v>45878</v>
      </c>
      <c r="D419" s="2" t="str">
        <f t="shared" si="27"/>
        <v>Aug-2025</v>
      </c>
      <c r="E419" s="2">
        <v>45883</v>
      </c>
      <c r="F419" t="s">
        <v>1019</v>
      </c>
      <c r="G419" t="s">
        <v>1070</v>
      </c>
      <c r="H419" t="s">
        <v>1280</v>
      </c>
      <c r="I419" t="s">
        <v>1287</v>
      </c>
      <c r="J419" t="s">
        <v>1291</v>
      </c>
      <c r="K419" t="s">
        <v>1302</v>
      </c>
      <c r="L419" t="s">
        <v>1306</v>
      </c>
      <c r="M419" t="s">
        <v>1321</v>
      </c>
      <c r="N419">
        <v>2</v>
      </c>
      <c r="O419">
        <v>0</v>
      </c>
      <c r="P419">
        <v>897.17</v>
      </c>
      <c r="Q419">
        <v>312.54000000000002</v>
      </c>
      <c r="R419" t="s">
        <v>1331</v>
      </c>
      <c r="S419" t="b">
        <f t="shared" si="24"/>
        <v>0</v>
      </c>
      <c r="T419" t="b">
        <f t="shared" si="25"/>
        <v>0</v>
      </c>
      <c r="U419" t="b">
        <f t="shared" si="26"/>
        <v>0</v>
      </c>
    </row>
    <row r="420" spans="1:21" x14ac:dyDescent="0.3">
      <c r="A420">
        <v>419</v>
      </c>
      <c r="B420" t="s">
        <v>435</v>
      </c>
      <c r="C420" s="2">
        <v>45957</v>
      </c>
      <c r="D420" s="2" t="str">
        <f t="shared" si="27"/>
        <v>Oct-2025</v>
      </c>
      <c r="E420" s="2">
        <v>45961</v>
      </c>
      <c r="F420" t="s">
        <v>1017</v>
      </c>
      <c r="G420" t="s">
        <v>1219</v>
      </c>
      <c r="H420" t="s">
        <v>1285</v>
      </c>
      <c r="I420" t="s">
        <v>1287</v>
      </c>
      <c r="J420" t="s">
        <v>1300</v>
      </c>
      <c r="K420" t="s">
        <v>1305</v>
      </c>
      <c r="L420" t="s">
        <v>1307</v>
      </c>
      <c r="M420" t="s">
        <v>1314</v>
      </c>
      <c r="N420">
        <v>2</v>
      </c>
      <c r="O420">
        <v>0</v>
      </c>
      <c r="P420">
        <v>1776.81</v>
      </c>
      <c r="Q420">
        <v>553.52</v>
      </c>
      <c r="R420" t="s">
        <v>1332</v>
      </c>
      <c r="S420" t="b">
        <f t="shared" si="24"/>
        <v>0</v>
      </c>
      <c r="T420" t="b">
        <f t="shared" si="25"/>
        <v>0</v>
      </c>
      <c r="U420" t="b">
        <f t="shared" si="26"/>
        <v>0</v>
      </c>
    </row>
    <row r="421" spans="1:21" x14ac:dyDescent="0.3">
      <c r="A421">
        <v>420</v>
      </c>
      <c r="B421" t="s">
        <v>436</v>
      </c>
      <c r="C421" s="2">
        <v>45760</v>
      </c>
      <c r="D421" s="2" t="str">
        <f t="shared" si="27"/>
        <v>Apr-2025</v>
      </c>
      <c r="E421" s="2">
        <v>45762</v>
      </c>
      <c r="F421" t="s">
        <v>1017</v>
      </c>
      <c r="G421" t="s">
        <v>1061</v>
      </c>
      <c r="H421" t="s">
        <v>1283</v>
      </c>
      <c r="I421" t="s">
        <v>1288</v>
      </c>
      <c r="J421" t="s">
        <v>1298</v>
      </c>
      <c r="K421" t="s">
        <v>1303</v>
      </c>
      <c r="L421" t="s">
        <v>1308</v>
      </c>
      <c r="M421" t="s">
        <v>1319</v>
      </c>
      <c r="N421">
        <v>5</v>
      </c>
      <c r="O421">
        <v>0</v>
      </c>
      <c r="P421">
        <v>22967.68</v>
      </c>
      <c r="Q421">
        <v>4971.5</v>
      </c>
      <c r="R421" t="s">
        <v>1331</v>
      </c>
      <c r="S421" t="b">
        <f t="shared" si="24"/>
        <v>0</v>
      </c>
      <c r="T421" t="b">
        <f t="shared" si="25"/>
        <v>0</v>
      </c>
      <c r="U421" t="b">
        <f t="shared" si="26"/>
        <v>0</v>
      </c>
    </row>
    <row r="422" spans="1:21" x14ac:dyDescent="0.3">
      <c r="A422">
        <v>421</v>
      </c>
      <c r="B422" t="s">
        <v>437</v>
      </c>
      <c r="C422" s="2">
        <v>45823</v>
      </c>
      <c r="D422" s="2" t="str">
        <f t="shared" si="27"/>
        <v>Jun-2025</v>
      </c>
      <c r="E422" s="2">
        <v>45828</v>
      </c>
      <c r="F422" t="s">
        <v>1017</v>
      </c>
      <c r="G422" t="s">
        <v>1220</v>
      </c>
      <c r="H422" t="s">
        <v>1283</v>
      </c>
      <c r="I422" t="s">
        <v>1289</v>
      </c>
      <c r="J422" t="s">
        <v>1296</v>
      </c>
      <c r="K422" t="s">
        <v>1304</v>
      </c>
      <c r="L422" t="s">
        <v>1308</v>
      </c>
      <c r="M422" t="s">
        <v>1327</v>
      </c>
      <c r="N422">
        <v>1</v>
      </c>
      <c r="O422">
        <v>0.15</v>
      </c>
      <c r="P422">
        <v>1513.72</v>
      </c>
      <c r="Q422">
        <v>311.18</v>
      </c>
      <c r="R422" t="s">
        <v>1331</v>
      </c>
      <c r="S422" t="b">
        <f t="shared" si="24"/>
        <v>0</v>
      </c>
      <c r="T422" t="b">
        <f t="shared" si="25"/>
        <v>0</v>
      </c>
      <c r="U422" t="b">
        <f t="shared" si="26"/>
        <v>0</v>
      </c>
    </row>
    <row r="423" spans="1:21" x14ac:dyDescent="0.3">
      <c r="A423">
        <v>422</v>
      </c>
      <c r="B423" t="s">
        <v>438</v>
      </c>
      <c r="C423" s="2">
        <v>45718</v>
      </c>
      <c r="D423" s="2" t="str">
        <f t="shared" si="27"/>
        <v>Mar-2025</v>
      </c>
      <c r="E423" s="2">
        <v>45723</v>
      </c>
      <c r="F423" t="s">
        <v>1017</v>
      </c>
      <c r="G423" t="s">
        <v>1045</v>
      </c>
      <c r="H423" t="s">
        <v>1278</v>
      </c>
      <c r="I423" t="s">
        <v>1288</v>
      </c>
      <c r="J423" t="s">
        <v>1293</v>
      </c>
      <c r="K423" t="s">
        <v>1304</v>
      </c>
      <c r="L423" t="s">
        <v>1306</v>
      </c>
      <c r="M423" t="s">
        <v>1324</v>
      </c>
      <c r="N423">
        <v>3</v>
      </c>
      <c r="O423">
        <v>0.1</v>
      </c>
      <c r="P423">
        <v>235.24</v>
      </c>
      <c r="Q423">
        <v>16.66</v>
      </c>
      <c r="R423" t="s">
        <v>1331</v>
      </c>
      <c r="S423" t="b">
        <f t="shared" si="24"/>
        <v>0</v>
      </c>
      <c r="T423" t="b">
        <f t="shared" si="25"/>
        <v>0</v>
      </c>
      <c r="U423" t="b">
        <f t="shared" si="26"/>
        <v>0</v>
      </c>
    </row>
    <row r="424" spans="1:21" x14ac:dyDescent="0.3">
      <c r="A424">
        <v>423</v>
      </c>
      <c r="B424" t="s">
        <v>439</v>
      </c>
      <c r="C424" s="2">
        <v>45733</v>
      </c>
      <c r="D424" s="2" t="str">
        <f t="shared" si="27"/>
        <v>Mar-2025</v>
      </c>
      <c r="E424" s="2">
        <v>45737</v>
      </c>
      <c r="F424" t="s">
        <v>1017</v>
      </c>
      <c r="G424" t="s">
        <v>1135</v>
      </c>
      <c r="H424" t="s">
        <v>1275</v>
      </c>
      <c r="I424" t="s">
        <v>1287</v>
      </c>
      <c r="J424" t="s">
        <v>1293</v>
      </c>
      <c r="K424" t="s">
        <v>1304</v>
      </c>
      <c r="L424" t="s">
        <v>1308</v>
      </c>
      <c r="M424" t="s">
        <v>1327</v>
      </c>
      <c r="N424">
        <v>3</v>
      </c>
      <c r="O424">
        <v>0</v>
      </c>
      <c r="P424">
        <v>5289.02</v>
      </c>
      <c r="Q424">
        <v>1430.91</v>
      </c>
      <c r="R424" t="s">
        <v>1331</v>
      </c>
      <c r="S424" t="b">
        <f t="shared" si="24"/>
        <v>0</v>
      </c>
      <c r="T424" t="b">
        <f t="shared" si="25"/>
        <v>0</v>
      </c>
      <c r="U424" t="b">
        <f t="shared" si="26"/>
        <v>0</v>
      </c>
    </row>
    <row r="425" spans="1:21" x14ac:dyDescent="0.3">
      <c r="A425">
        <v>424</v>
      </c>
      <c r="B425" t="s">
        <v>440</v>
      </c>
      <c r="C425" s="2">
        <v>45951</v>
      </c>
      <c r="D425" s="2" t="str">
        <f t="shared" si="27"/>
        <v>Oct-2025</v>
      </c>
      <c r="E425" s="2">
        <v>45955</v>
      </c>
      <c r="F425" t="s">
        <v>1017</v>
      </c>
      <c r="G425" t="s">
        <v>1183</v>
      </c>
      <c r="H425" t="s">
        <v>1275</v>
      </c>
      <c r="I425" t="s">
        <v>1288</v>
      </c>
      <c r="J425" t="s">
        <v>1301</v>
      </c>
      <c r="K425" t="s">
        <v>1303</v>
      </c>
      <c r="L425" t="s">
        <v>1308</v>
      </c>
      <c r="M425" t="s">
        <v>1326</v>
      </c>
      <c r="N425">
        <v>1</v>
      </c>
      <c r="O425">
        <v>0.1</v>
      </c>
      <c r="P425">
        <v>6425.77</v>
      </c>
      <c r="Q425">
        <v>1511.45</v>
      </c>
      <c r="R425" t="s">
        <v>1332</v>
      </c>
      <c r="S425" t="b">
        <f t="shared" si="24"/>
        <v>0</v>
      </c>
      <c r="T425" t="b">
        <f t="shared" si="25"/>
        <v>0</v>
      </c>
      <c r="U425" t="b">
        <f t="shared" si="26"/>
        <v>0</v>
      </c>
    </row>
    <row r="426" spans="1:21" x14ac:dyDescent="0.3">
      <c r="A426">
        <v>425</v>
      </c>
      <c r="B426" t="s">
        <v>441</v>
      </c>
      <c r="C426" s="2">
        <v>45737</v>
      </c>
      <c r="D426" s="2" t="str">
        <f t="shared" si="27"/>
        <v>Mar-2025</v>
      </c>
      <c r="E426" s="2">
        <v>45738</v>
      </c>
      <c r="F426" t="s">
        <v>1017</v>
      </c>
      <c r="G426" t="s">
        <v>1221</v>
      </c>
      <c r="H426" t="s">
        <v>1285</v>
      </c>
      <c r="I426" t="s">
        <v>1287</v>
      </c>
      <c r="J426" t="s">
        <v>1290</v>
      </c>
      <c r="K426" t="s">
        <v>1302</v>
      </c>
      <c r="L426" t="s">
        <v>1309</v>
      </c>
      <c r="M426" t="s">
        <v>1329</v>
      </c>
      <c r="N426">
        <v>2</v>
      </c>
      <c r="O426">
        <v>0.2</v>
      </c>
      <c r="P426">
        <v>3128.88</v>
      </c>
      <c r="Q426">
        <v>117.55</v>
      </c>
      <c r="R426" t="s">
        <v>1332</v>
      </c>
      <c r="S426" t="b">
        <f t="shared" si="24"/>
        <v>0</v>
      </c>
      <c r="T426" t="b">
        <f t="shared" si="25"/>
        <v>0</v>
      </c>
      <c r="U426" t="b">
        <f t="shared" si="26"/>
        <v>0</v>
      </c>
    </row>
    <row r="427" spans="1:21" x14ac:dyDescent="0.3">
      <c r="A427">
        <v>426</v>
      </c>
      <c r="B427" t="s">
        <v>442</v>
      </c>
      <c r="C427" s="2">
        <v>45733</v>
      </c>
      <c r="D427" s="2" t="str">
        <f t="shared" si="27"/>
        <v>Mar-2025</v>
      </c>
      <c r="E427" s="2">
        <v>45738</v>
      </c>
      <c r="F427" t="s">
        <v>1017</v>
      </c>
      <c r="G427" t="s">
        <v>1159</v>
      </c>
      <c r="H427" t="s">
        <v>1276</v>
      </c>
      <c r="I427" t="s">
        <v>1287</v>
      </c>
      <c r="J427" t="s">
        <v>1294</v>
      </c>
      <c r="K427" t="s">
        <v>1305</v>
      </c>
      <c r="L427" t="s">
        <v>1308</v>
      </c>
      <c r="M427" t="s">
        <v>1326</v>
      </c>
      <c r="N427">
        <v>5</v>
      </c>
      <c r="O427">
        <v>0.1</v>
      </c>
      <c r="P427">
        <v>31234.6</v>
      </c>
      <c r="Q427">
        <v>3394.33</v>
      </c>
      <c r="R427" t="s">
        <v>1330</v>
      </c>
      <c r="S427" t="b">
        <f t="shared" si="24"/>
        <v>0</v>
      </c>
      <c r="T427" t="b">
        <f t="shared" si="25"/>
        <v>0</v>
      </c>
      <c r="U427" t="b">
        <f t="shared" si="26"/>
        <v>0</v>
      </c>
    </row>
    <row r="428" spans="1:21" x14ac:dyDescent="0.3">
      <c r="A428">
        <v>427</v>
      </c>
      <c r="B428" t="s">
        <v>443</v>
      </c>
      <c r="C428" s="2">
        <v>45702</v>
      </c>
      <c r="D428" s="2" t="str">
        <f t="shared" si="27"/>
        <v>Feb-2025</v>
      </c>
      <c r="E428" s="2">
        <v>45704</v>
      </c>
      <c r="F428" t="s">
        <v>1018</v>
      </c>
      <c r="G428" t="s">
        <v>1054</v>
      </c>
      <c r="H428" t="s">
        <v>1280</v>
      </c>
      <c r="I428" t="s">
        <v>1287</v>
      </c>
      <c r="J428" t="s">
        <v>1293</v>
      </c>
      <c r="K428" t="s">
        <v>1304</v>
      </c>
      <c r="L428" t="s">
        <v>1306</v>
      </c>
      <c r="M428" t="s">
        <v>1323</v>
      </c>
      <c r="N428">
        <v>4</v>
      </c>
      <c r="O428">
        <v>0.15</v>
      </c>
      <c r="P428">
        <v>592.15</v>
      </c>
      <c r="Q428">
        <v>71.849999999999994</v>
      </c>
      <c r="R428" t="s">
        <v>1331</v>
      </c>
      <c r="S428" t="b">
        <f t="shared" si="24"/>
        <v>0</v>
      </c>
      <c r="T428" t="b">
        <f t="shared" si="25"/>
        <v>0</v>
      </c>
      <c r="U428" t="b">
        <f t="shared" si="26"/>
        <v>0</v>
      </c>
    </row>
    <row r="429" spans="1:21" x14ac:dyDescent="0.3">
      <c r="A429">
        <v>428</v>
      </c>
      <c r="B429" t="s">
        <v>444</v>
      </c>
      <c r="C429" s="2">
        <v>45699</v>
      </c>
      <c r="D429" s="2" t="str">
        <f t="shared" si="27"/>
        <v>Feb-2025</v>
      </c>
      <c r="E429" s="2">
        <v>45700</v>
      </c>
      <c r="F429" t="s">
        <v>1017</v>
      </c>
      <c r="G429" t="s">
        <v>1056</v>
      </c>
      <c r="H429" t="s">
        <v>1272</v>
      </c>
      <c r="I429" t="s">
        <v>1287</v>
      </c>
      <c r="J429" t="s">
        <v>1293</v>
      </c>
      <c r="K429" t="s">
        <v>1304</v>
      </c>
      <c r="L429" t="s">
        <v>1309</v>
      </c>
      <c r="M429" t="s">
        <v>1329</v>
      </c>
      <c r="N429">
        <v>3</v>
      </c>
      <c r="O429">
        <v>0</v>
      </c>
      <c r="P429">
        <v>5514.22</v>
      </c>
      <c r="Q429">
        <v>966.71</v>
      </c>
      <c r="R429" t="s">
        <v>1331</v>
      </c>
      <c r="S429" t="b">
        <f t="shared" si="24"/>
        <v>0</v>
      </c>
      <c r="T429" t="b">
        <f t="shared" si="25"/>
        <v>0</v>
      </c>
      <c r="U429" t="b">
        <f t="shared" si="26"/>
        <v>0</v>
      </c>
    </row>
    <row r="430" spans="1:21" x14ac:dyDescent="0.3">
      <c r="A430">
        <v>429</v>
      </c>
      <c r="B430" t="s">
        <v>445</v>
      </c>
      <c r="C430" s="2">
        <v>45715</v>
      </c>
      <c r="D430" s="2" t="str">
        <f t="shared" si="27"/>
        <v>Feb-2025</v>
      </c>
      <c r="E430" s="2">
        <v>45716</v>
      </c>
      <c r="F430" t="s">
        <v>1019</v>
      </c>
      <c r="G430" t="s">
        <v>1164</v>
      </c>
      <c r="H430" t="s">
        <v>1272</v>
      </c>
      <c r="I430" t="s">
        <v>1288</v>
      </c>
      <c r="J430" t="s">
        <v>1298</v>
      </c>
      <c r="K430" t="s">
        <v>1303</v>
      </c>
      <c r="L430" t="s">
        <v>1307</v>
      </c>
      <c r="M430" t="s">
        <v>1315</v>
      </c>
      <c r="N430">
        <v>1</v>
      </c>
      <c r="O430">
        <v>0</v>
      </c>
      <c r="P430">
        <v>1743.01</v>
      </c>
      <c r="Q430">
        <v>478.53</v>
      </c>
      <c r="R430" t="s">
        <v>1331</v>
      </c>
      <c r="S430" t="b">
        <f t="shared" si="24"/>
        <v>0</v>
      </c>
      <c r="T430" t="b">
        <f t="shared" si="25"/>
        <v>0</v>
      </c>
      <c r="U430" t="b">
        <f t="shared" si="26"/>
        <v>0</v>
      </c>
    </row>
    <row r="431" spans="1:21" x14ac:dyDescent="0.3">
      <c r="A431">
        <v>430</v>
      </c>
      <c r="B431" t="s">
        <v>446</v>
      </c>
      <c r="C431" s="2">
        <v>45923</v>
      </c>
      <c r="D431" s="2" t="str">
        <f t="shared" si="27"/>
        <v>Sep-2025</v>
      </c>
      <c r="E431" s="2">
        <v>45924</v>
      </c>
      <c r="F431" t="s">
        <v>1018</v>
      </c>
      <c r="G431" t="s">
        <v>1154</v>
      </c>
      <c r="H431" t="s">
        <v>1268</v>
      </c>
      <c r="I431" t="s">
        <v>1289</v>
      </c>
      <c r="J431" t="s">
        <v>1290</v>
      </c>
      <c r="K431" t="s">
        <v>1302</v>
      </c>
      <c r="L431" t="s">
        <v>1307</v>
      </c>
      <c r="M431" t="s">
        <v>1316</v>
      </c>
      <c r="N431">
        <v>2</v>
      </c>
      <c r="O431">
        <v>0.1</v>
      </c>
      <c r="P431">
        <v>933.58</v>
      </c>
      <c r="Q431">
        <v>247.79</v>
      </c>
      <c r="R431" t="s">
        <v>1333</v>
      </c>
      <c r="S431" t="b">
        <f t="shared" si="24"/>
        <v>0</v>
      </c>
      <c r="T431" t="b">
        <f t="shared" si="25"/>
        <v>0</v>
      </c>
      <c r="U431" t="b">
        <f t="shared" si="26"/>
        <v>0</v>
      </c>
    </row>
    <row r="432" spans="1:21" x14ac:dyDescent="0.3">
      <c r="A432">
        <v>431</v>
      </c>
      <c r="B432" t="s">
        <v>447</v>
      </c>
      <c r="C432" s="2">
        <v>45855</v>
      </c>
      <c r="D432" s="2" t="str">
        <f t="shared" si="27"/>
        <v>Jul-2025</v>
      </c>
      <c r="E432" s="2">
        <v>45856</v>
      </c>
      <c r="F432" t="s">
        <v>1019</v>
      </c>
      <c r="G432" t="s">
        <v>1222</v>
      </c>
      <c r="H432" t="s">
        <v>1270</v>
      </c>
      <c r="I432" t="s">
        <v>1288</v>
      </c>
      <c r="J432" t="s">
        <v>1291</v>
      </c>
      <c r="K432" t="s">
        <v>1302</v>
      </c>
      <c r="L432" t="s">
        <v>1306</v>
      </c>
      <c r="M432" t="s">
        <v>1323</v>
      </c>
      <c r="N432">
        <v>1</v>
      </c>
      <c r="O432">
        <v>0.1</v>
      </c>
      <c r="P432">
        <v>158.41999999999999</v>
      </c>
      <c r="Q432">
        <v>32.24</v>
      </c>
      <c r="R432" t="s">
        <v>1331</v>
      </c>
      <c r="S432" t="b">
        <f t="shared" si="24"/>
        <v>0</v>
      </c>
      <c r="T432" t="b">
        <f t="shared" si="25"/>
        <v>0</v>
      </c>
      <c r="U432" t="b">
        <f t="shared" si="26"/>
        <v>0</v>
      </c>
    </row>
    <row r="433" spans="1:21" x14ac:dyDescent="0.3">
      <c r="A433">
        <v>432</v>
      </c>
      <c r="B433" t="s">
        <v>448</v>
      </c>
      <c r="C433" s="2">
        <v>45829</v>
      </c>
      <c r="D433" s="2" t="str">
        <f t="shared" si="27"/>
        <v>Jun-2025</v>
      </c>
      <c r="E433" s="2">
        <v>45834</v>
      </c>
      <c r="F433" t="s">
        <v>1018</v>
      </c>
      <c r="G433" t="s">
        <v>1223</v>
      </c>
      <c r="H433" t="s">
        <v>1272</v>
      </c>
      <c r="I433" t="s">
        <v>1287</v>
      </c>
      <c r="J433" t="s">
        <v>1301</v>
      </c>
      <c r="K433" t="s">
        <v>1303</v>
      </c>
      <c r="L433" t="s">
        <v>1309</v>
      </c>
      <c r="M433" t="s">
        <v>1320</v>
      </c>
      <c r="N433">
        <v>1</v>
      </c>
      <c r="O433">
        <v>0</v>
      </c>
      <c r="P433">
        <v>1243.32</v>
      </c>
      <c r="Q433">
        <v>386.7</v>
      </c>
      <c r="R433" t="s">
        <v>1331</v>
      </c>
      <c r="S433" t="b">
        <f t="shared" si="24"/>
        <v>0</v>
      </c>
      <c r="T433" t="b">
        <f t="shared" si="25"/>
        <v>0</v>
      </c>
      <c r="U433" t="b">
        <f t="shared" si="26"/>
        <v>0</v>
      </c>
    </row>
    <row r="434" spans="1:21" x14ac:dyDescent="0.3">
      <c r="A434">
        <v>433</v>
      </c>
      <c r="B434" t="s">
        <v>449</v>
      </c>
      <c r="C434" s="2">
        <v>45775</v>
      </c>
      <c r="D434" s="2" t="str">
        <f t="shared" si="27"/>
        <v>Apr-2025</v>
      </c>
      <c r="E434" s="2">
        <v>45777</v>
      </c>
      <c r="F434" t="s">
        <v>1017</v>
      </c>
      <c r="G434" t="s">
        <v>1093</v>
      </c>
      <c r="H434" t="s">
        <v>1278</v>
      </c>
      <c r="I434" t="s">
        <v>1287</v>
      </c>
      <c r="J434" t="s">
        <v>1293</v>
      </c>
      <c r="K434" t="s">
        <v>1304</v>
      </c>
      <c r="L434" t="s">
        <v>1307</v>
      </c>
      <c r="M434" t="s">
        <v>1315</v>
      </c>
      <c r="N434">
        <v>4</v>
      </c>
      <c r="O434">
        <v>0.15</v>
      </c>
      <c r="P434">
        <v>6398.42</v>
      </c>
      <c r="Q434">
        <v>1163.27</v>
      </c>
      <c r="R434" t="s">
        <v>1332</v>
      </c>
      <c r="S434" t="b">
        <f t="shared" si="24"/>
        <v>0</v>
      </c>
      <c r="T434" t="b">
        <f t="shared" si="25"/>
        <v>0</v>
      </c>
      <c r="U434" t="b">
        <f t="shared" si="26"/>
        <v>0</v>
      </c>
    </row>
    <row r="435" spans="1:21" x14ac:dyDescent="0.3">
      <c r="A435">
        <v>434</v>
      </c>
      <c r="B435" t="s">
        <v>450</v>
      </c>
      <c r="C435" s="2">
        <v>45696</v>
      </c>
      <c r="D435" s="2" t="str">
        <f t="shared" si="27"/>
        <v>Feb-2025</v>
      </c>
      <c r="E435" s="2">
        <v>45700</v>
      </c>
      <c r="F435" t="s">
        <v>1017</v>
      </c>
      <c r="G435" t="s">
        <v>1224</v>
      </c>
      <c r="H435" t="s">
        <v>1285</v>
      </c>
      <c r="I435" t="s">
        <v>1289</v>
      </c>
      <c r="J435" t="s">
        <v>1298</v>
      </c>
      <c r="K435" t="s">
        <v>1303</v>
      </c>
      <c r="L435" t="s">
        <v>1308</v>
      </c>
      <c r="M435" t="s">
        <v>1326</v>
      </c>
      <c r="N435">
        <v>5</v>
      </c>
      <c r="O435">
        <v>0</v>
      </c>
      <c r="P435">
        <v>33584.629999999997</v>
      </c>
      <c r="Q435">
        <v>11497.84</v>
      </c>
      <c r="R435" t="s">
        <v>1331</v>
      </c>
      <c r="S435" t="b">
        <f t="shared" si="24"/>
        <v>0</v>
      </c>
      <c r="T435" t="b">
        <f t="shared" si="25"/>
        <v>0</v>
      </c>
      <c r="U435" t="b">
        <f t="shared" si="26"/>
        <v>0</v>
      </c>
    </row>
    <row r="436" spans="1:21" x14ac:dyDescent="0.3">
      <c r="A436">
        <v>435</v>
      </c>
      <c r="B436" t="s">
        <v>451</v>
      </c>
      <c r="C436" s="2">
        <v>45867</v>
      </c>
      <c r="D436" s="2" t="str">
        <f t="shared" si="27"/>
        <v>Jul-2025</v>
      </c>
      <c r="E436" s="2">
        <v>45868</v>
      </c>
      <c r="F436" t="s">
        <v>1017</v>
      </c>
      <c r="G436" t="s">
        <v>1178</v>
      </c>
      <c r="H436" t="s">
        <v>1271</v>
      </c>
      <c r="I436" t="s">
        <v>1287</v>
      </c>
      <c r="J436" t="s">
        <v>1293</v>
      </c>
      <c r="K436" t="s">
        <v>1304</v>
      </c>
      <c r="L436" t="s">
        <v>1309</v>
      </c>
      <c r="M436" t="s">
        <v>1320</v>
      </c>
      <c r="N436">
        <v>1</v>
      </c>
      <c r="O436">
        <v>0.15</v>
      </c>
      <c r="P436">
        <v>1055.01</v>
      </c>
      <c r="Q436">
        <v>115.67</v>
      </c>
      <c r="R436" t="s">
        <v>1331</v>
      </c>
      <c r="S436" t="b">
        <f t="shared" si="24"/>
        <v>0</v>
      </c>
      <c r="T436" t="b">
        <f t="shared" si="25"/>
        <v>0</v>
      </c>
      <c r="U436" t="b">
        <f t="shared" si="26"/>
        <v>0</v>
      </c>
    </row>
    <row r="437" spans="1:21" x14ac:dyDescent="0.3">
      <c r="A437">
        <v>436</v>
      </c>
      <c r="B437" t="s">
        <v>452</v>
      </c>
      <c r="C437" s="2">
        <v>45733</v>
      </c>
      <c r="D437" s="2" t="str">
        <f t="shared" si="27"/>
        <v>Mar-2025</v>
      </c>
      <c r="E437" s="2">
        <v>45737</v>
      </c>
      <c r="F437" t="s">
        <v>1017</v>
      </c>
      <c r="G437" t="s">
        <v>1069</v>
      </c>
      <c r="H437" t="s">
        <v>1274</v>
      </c>
      <c r="I437" t="s">
        <v>1287</v>
      </c>
      <c r="J437" t="s">
        <v>1296</v>
      </c>
      <c r="K437" t="s">
        <v>1304</v>
      </c>
      <c r="L437" t="s">
        <v>1309</v>
      </c>
      <c r="M437" t="s">
        <v>1313</v>
      </c>
      <c r="N437">
        <v>2</v>
      </c>
      <c r="O437">
        <v>0.05</v>
      </c>
      <c r="P437">
        <v>2773.56</v>
      </c>
      <c r="Q437">
        <v>780.26</v>
      </c>
      <c r="R437" t="s">
        <v>1333</v>
      </c>
      <c r="S437" t="b">
        <f t="shared" si="24"/>
        <v>0</v>
      </c>
      <c r="T437" t="b">
        <f t="shared" si="25"/>
        <v>0</v>
      </c>
      <c r="U437" t="b">
        <f t="shared" si="26"/>
        <v>0</v>
      </c>
    </row>
    <row r="438" spans="1:21" x14ac:dyDescent="0.3">
      <c r="A438">
        <v>437</v>
      </c>
      <c r="B438" t="s">
        <v>453</v>
      </c>
      <c r="C438" s="2">
        <v>45739</v>
      </c>
      <c r="D438" s="2" t="str">
        <f t="shared" si="27"/>
        <v>Mar-2025</v>
      </c>
      <c r="E438" s="2">
        <v>45743</v>
      </c>
      <c r="F438" t="s">
        <v>1018</v>
      </c>
      <c r="G438" t="s">
        <v>1055</v>
      </c>
      <c r="H438" t="s">
        <v>1269</v>
      </c>
      <c r="I438" t="s">
        <v>1287</v>
      </c>
      <c r="J438" t="s">
        <v>1291</v>
      </c>
      <c r="K438" t="s">
        <v>1302</v>
      </c>
      <c r="L438" t="s">
        <v>1307</v>
      </c>
      <c r="M438" t="s">
        <v>1322</v>
      </c>
      <c r="N438">
        <v>4</v>
      </c>
      <c r="O438">
        <v>0</v>
      </c>
      <c r="P438">
        <v>2782.05</v>
      </c>
      <c r="Q438">
        <v>530.80999999999995</v>
      </c>
      <c r="R438" t="s">
        <v>1331</v>
      </c>
      <c r="S438" t="b">
        <f t="shared" si="24"/>
        <v>0</v>
      </c>
      <c r="T438" t="b">
        <f t="shared" si="25"/>
        <v>0</v>
      </c>
      <c r="U438" t="b">
        <f t="shared" si="26"/>
        <v>0</v>
      </c>
    </row>
    <row r="439" spans="1:21" x14ac:dyDescent="0.3">
      <c r="A439">
        <v>438</v>
      </c>
      <c r="B439" t="s">
        <v>454</v>
      </c>
      <c r="C439" s="2">
        <v>45877</v>
      </c>
      <c r="D439" s="2" t="str">
        <f t="shared" si="27"/>
        <v>Aug-2025</v>
      </c>
      <c r="E439" s="2">
        <v>45881</v>
      </c>
      <c r="F439" t="s">
        <v>1018</v>
      </c>
      <c r="G439" t="s">
        <v>1053</v>
      </c>
      <c r="H439" t="s">
        <v>1281</v>
      </c>
      <c r="I439" t="s">
        <v>1287</v>
      </c>
      <c r="J439" t="s">
        <v>1300</v>
      </c>
      <c r="K439" t="s">
        <v>1305</v>
      </c>
      <c r="L439" t="s">
        <v>1308</v>
      </c>
      <c r="M439" t="s">
        <v>1318</v>
      </c>
      <c r="N439">
        <v>5</v>
      </c>
      <c r="O439">
        <v>0.25</v>
      </c>
      <c r="P439">
        <v>21317.11</v>
      </c>
      <c r="Q439">
        <v>2494.09</v>
      </c>
      <c r="R439" t="s">
        <v>1331</v>
      </c>
      <c r="S439" t="b">
        <f t="shared" si="24"/>
        <v>0</v>
      </c>
      <c r="T439" t="b">
        <f t="shared" si="25"/>
        <v>0</v>
      </c>
      <c r="U439" t="b">
        <f t="shared" si="26"/>
        <v>0</v>
      </c>
    </row>
    <row r="440" spans="1:21" x14ac:dyDescent="0.3">
      <c r="A440">
        <v>439</v>
      </c>
      <c r="B440" t="s">
        <v>455</v>
      </c>
      <c r="C440" s="2">
        <v>45874</v>
      </c>
      <c r="D440" s="2" t="str">
        <f t="shared" si="27"/>
        <v>Aug-2025</v>
      </c>
      <c r="E440" s="2">
        <v>45875</v>
      </c>
      <c r="F440" t="s">
        <v>1019</v>
      </c>
      <c r="G440" t="s">
        <v>1086</v>
      </c>
      <c r="H440" t="s">
        <v>1269</v>
      </c>
      <c r="I440" t="s">
        <v>1287</v>
      </c>
      <c r="J440" t="s">
        <v>1301</v>
      </c>
      <c r="K440" t="s">
        <v>1303</v>
      </c>
      <c r="L440" t="s">
        <v>1309</v>
      </c>
      <c r="M440" t="s">
        <v>1320</v>
      </c>
      <c r="N440">
        <v>1</v>
      </c>
      <c r="O440">
        <v>0.2</v>
      </c>
      <c r="P440">
        <v>982.92</v>
      </c>
      <c r="Q440">
        <v>228.05</v>
      </c>
      <c r="R440" t="s">
        <v>1332</v>
      </c>
      <c r="S440" t="b">
        <f t="shared" si="24"/>
        <v>0</v>
      </c>
      <c r="T440" t="b">
        <f t="shared" si="25"/>
        <v>0</v>
      </c>
      <c r="U440" t="b">
        <f t="shared" si="26"/>
        <v>0</v>
      </c>
    </row>
    <row r="441" spans="1:21" x14ac:dyDescent="0.3">
      <c r="A441">
        <v>440</v>
      </c>
      <c r="B441" t="s">
        <v>456</v>
      </c>
      <c r="C441" s="2">
        <v>45674</v>
      </c>
      <c r="D441" s="2" t="str">
        <f t="shared" si="27"/>
        <v>Jan-2025</v>
      </c>
      <c r="E441" s="2">
        <v>45678</v>
      </c>
      <c r="F441" t="s">
        <v>1018</v>
      </c>
      <c r="G441" t="s">
        <v>1045</v>
      </c>
      <c r="H441" t="s">
        <v>1274</v>
      </c>
      <c r="I441" t="s">
        <v>1288</v>
      </c>
      <c r="J441" t="s">
        <v>1295</v>
      </c>
      <c r="K441" t="s">
        <v>1305</v>
      </c>
      <c r="L441" t="s">
        <v>1306</v>
      </c>
      <c r="M441" t="s">
        <v>1328</v>
      </c>
      <c r="N441">
        <v>2</v>
      </c>
      <c r="O441">
        <v>0.1</v>
      </c>
      <c r="P441">
        <v>213.95</v>
      </c>
      <c r="Q441">
        <v>65.02</v>
      </c>
      <c r="R441" t="s">
        <v>1331</v>
      </c>
      <c r="S441" t="b">
        <f t="shared" si="24"/>
        <v>0</v>
      </c>
      <c r="T441" t="b">
        <f t="shared" si="25"/>
        <v>0</v>
      </c>
      <c r="U441" t="b">
        <f t="shared" si="26"/>
        <v>0</v>
      </c>
    </row>
    <row r="442" spans="1:21" x14ac:dyDescent="0.3">
      <c r="A442">
        <v>441</v>
      </c>
      <c r="B442" t="s">
        <v>457</v>
      </c>
      <c r="C442" s="2">
        <v>45735</v>
      </c>
      <c r="D442" s="2" t="str">
        <f t="shared" si="27"/>
        <v>Mar-2025</v>
      </c>
      <c r="E442" s="2">
        <v>45737</v>
      </c>
      <c r="F442" t="s">
        <v>1019</v>
      </c>
      <c r="G442" t="s">
        <v>1040</v>
      </c>
      <c r="H442" t="s">
        <v>1270</v>
      </c>
      <c r="I442" t="s">
        <v>1287</v>
      </c>
      <c r="J442" t="s">
        <v>1296</v>
      </c>
      <c r="K442" t="s">
        <v>1304</v>
      </c>
      <c r="L442" t="s">
        <v>1308</v>
      </c>
      <c r="M442" t="s">
        <v>1326</v>
      </c>
      <c r="N442">
        <v>1</v>
      </c>
      <c r="O442">
        <v>0.2</v>
      </c>
      <c r="P442">
        <v>5552.95</v>
      </c>
      <c r="Q442">
        <v>780.1</v>
      </c>
      <c r="R442" t="s">
        <v>1331</v>
      </c>
      <c r="S442" t="b">
        <f t="shared" si="24"/>
        <v>0</v>
      </c>
      <c r="T442" t="b">
        <f t="shared" si="25"/>
        <v>0</v>
      </c>
      <c r="U442" t="b">
        <f t="shared" si="26"/>
        <v>0</v>
      </c>
    </row>
    <row r="443" spans="1:21" x14ac:dyDescent="0.3">
      <c r="A443">
        <v>442</v>
      </c>
      <c r="B443" t="s">
        <v>458</v>
      </c>
      <c r="C443" s="2">
        <v>45795</v>
      </c>
      <c r="D443" s="2" t="str">
        <f t="shared" si="27"/>
        <v>May-2025</v>
      </c>
      <c r="E443" s="2">
        <v>45796</v>
      </c>
      <c r="F443" t="s">
        <v>1018</v>
      </c>
      <c r="G443" t="s">
        <v>1027</v>
      </c>
      <c r="H443" t="s">
        <v>1280</v>
      </c>
      <c r="I443" t="s">
        <v>1287</v>
      </c>
      <c r="J443" t="s">
        <v>1292</v>
      </c>
      <c r="K443" t="s">
        <v>1303</v>
      </c>
      <c r="L443" t="s">
        <v>1306</v>
      </c>
      <c r="M443" t="s">
        <v>1323</v>
      </c>
      <c r="N443">
        <v>1</v>
      </c>
      <c r="O443">
        <v>0.2</v>
      </c>
      <c r="P443">
        <v>140.69999999999999</v>
      </c>
      <c r="Q443">
        <v>1.73</v>
      </c>
      <c r="R443" t="s">
        <v>1331</v>
      </c>
      <c r="S443" t="b">
        <f t="shared" si="24"/>
        <v>0</v>
      </c>
      <c r="T443" t="b">
        <f t="shared" si="25"/>
        <v>0</v>
      </c>
      <c r="U443" t="b">
        <f t="shared" si="26"/>
        <v>0</v>
      </c>
    </row>
    <row r="444" spans="1:21" x14ac:dyDescent="0.3">
      <c r="A444">
        <v>443</v>
      </c>
      <c r="B444" t="s">
        <v>459</v>
      </c>
      <c r="C444" s="2">
        <v>45825</v>
      </c>
      <c r="D444" s="2" t="str">
        <f t="shared" si="27"/>
        <v>Jun-2025</v>
      </c>
      <c r="E444" s="2">
        <v>45828</v>
      </c>
      <c r="F444" t="s">
        <v>1018</v>
      </c>
      <c r="G444" t="s">
        <v>1225</v>
      </c>
      <c r="H444" t="s">
        <v>1284</v>
      </c>
      <c r="I444" t="s">
        <v>1289</v>
      </c>
      <c r="J444" t="s">
        <v>1296</v>
      </c>
      <c r="K444" t="s">
        <v>1304</v>
      </c>
      <c r="L444" t="s">
        <v>1307</v>
      </c>
      <c r="M444" t="s">
        <v>1322</v>
      </c>
      <c r="N444">
        <v>3</v>
      </c>
      <c r="O444">
        <v>0</v>
      </c>
      <c r="P444">
        <v>2048.1</v>
      </c>
      <c r="Q444">
        <v>535.77</v>
      </c>
      <c r="R444" t="s">
        <v>1331</v>
      </c>
      <c r="S444" t="b">
        <f t="shared" si="24"/>
        <v>0</v>
      </c>
      <c r="T444" t="b">
        <f t="shared" si="25"/>
        <v>0</v>
      </c>
      <c r="U444" t="b">
        <f t="shared" si="26"/>
        <v>0</v>
      </c>
    </row>
    <row r="445" spans="1:21" x14ac:dyDescent="0.3">
      <c r="A445">
        <v>444</v>
      </c>
      <c r="B445" t="s">
        <v>460</v>
      </c>
      <c r="C445" s="2">
        <v>45734</v>
      </c>
      <c r="D445" s="2" t="str">
        <f t="shared" si="27"/>
        <v>Mar-2025</v>
      </c>
      <c r="E445" s="2">
        <v>45738</v>
      </c>
      <c r="F445" t="s">
        <v>1018</v>
      </c>
      <c r="G445" t="s">
        <v>1167</v>
      </c>
      <c r="H445" t="s">
        <v>1271</v>
      </c>
      <c r="I445" t="s">
        <v>1287</v>
      </c>
      <c r="J445" t="s">
        <v>1296</v>
      </c>
      <c r="K445" t="s">
        <v>1304</v>
      </c>
      <c r="L445" t="s">
        <v>1308</v>
      </c>
      <c r="M445" t="s">
        <v>1318</v>
      </c>
      <c r="N445">
        <v>2</v>
      </c>
      <c r="O445">
        <v>0.25</v>
      </c>
      <c r="P445">
        <v>8022.36</v>
      </c>
      <c r="Q445">
        <v>816.42</v>
      </c>
      <c r="R445" t="s">
        <v>1334</v>
      </c>
      <c r="S445" t="b">
        <f t="shared" si="24"/>
        <v>0</v>
      </c>
      <c r="T445" t="b">
        <f t="shared" si="25"/>
        <v>0</v>
      </c>
      <c r="U445" t="b">
        <f t="shared" si="26"/>
        <v>0</v>
      </c>
    </row>
    <row r="446" spans="1:21" x14ac:dyDescent="0.3">
      <c r="A446">
        <v>445</v>
      </c>
      <c r="B446" t="s">
        <v>461</v>
      </c>
      <c r="C446" s="2">
        <v>45670</v>
      </c>
      <c r="D446" s="2" t="str">
        <f t="shared" si="27"/>
        <v>Jan-2025</v>
      </c>
      <c r="E446" s="2">
        <v>45671</v>
      </c>
      <c r="F446" t="s">
        <v>1017</v>
      </c>
      <c r="G446" t="s">
        <v>1226</v>
      </c>
      <c r="H446" t="s">
        <v>1277</v>
      </c>
      <c r="I446" t="s">
        <v>1287</v>
      </c>
      <c r="J446" t="s">
        <v>1300</v>
      </c>
      <c r="K446" t="s">
        <v>1305</v>
      </c>
      <c r="L446" t="s">
        <v>1307</v>
      </c>
      <c r="M446" t="s">
        <v>1314</v>
      </c>
      <c r="N446">
        <v>4</v>
      </c>
      <c r="O446">
        <v>0.2</v>
      </c>
      <c r="P446">
        <v>2763</v>
      </c>
      <c r="Q446">
        <v>124.27</v>
      </c>
      <c r="R446" t="s">
        <v>1333</v>
      </c>
      <c r="S446" t="b">
        <f t="shared" si="24"/>
        <v>0</v>
      </c>
      <c r="T446" t="b">
        <f t="shared" si="25"/>
        <v>0</v>
      </c>
      <c r="U446" t="b">
        <f t="shared" si="26"/>
        <v>0</v>
      </c>
    </row>
    <row r="447" spans="1:21" x14ac:dyDescent="0.3">
      <c r="A447">
        <v>446</v>
      </c>
      <c r="B447" t="s">
        <v>462</v>
      </c>
      <c r="C447" s="2">
        <v>45984</v>
      </c>
      <c r="D447" s="2" t="str">
        <f t="shared" si="27"/>
        <v>Nov-2025</v>
      </c>
      <c r="E447" s="2">
        <v>45989</v>
      </c>
      <c r="F447" t="s">
        <v>1017</v>
      </c>
      <c r="G447" t="s">
        <v>1192</v>
      </c>
      <c r="H447" t="s">
        <v>1281</v>
      </c>
      <c r="I447" t="s">
        <v>1287</v>
      </c>
      <c r="J447" t="s">
        <v>1296</v>
      </c>
      <c r="K447" t="s">
        <v>1304</v>
      </c>
      <c r="L447" t="s">
        <v>1308</v>
      </c>
      <c r="M447" t="s">
        <v>1319</v>
      </c>
      <c r="N447">
        <v>1</v>
      </c>
      <c r="O447">
        <v>0.1</v>
      </c>
      <c r="P447">
        <v>4167.79</v>
      </c>
      <c r="Q447">
        <v>735.35</v>
      </c>
      <c r="R447" t="s">
        <v>1331</v>
      </c>
      <c r="S447" t="b">
        <f t="shared" si="24"/>
        <v>0</v>
      </c>
      <c r="T447" t="b">
        <f t="shared" si="25"/>
        <v>0</v>
      </c>
      <c r="U447" t="b">
        <f t="shared" si="26"/>
        <v>0</v>
      </c>
    </row>
    <row r="448" spans="1:21" x14ac:dyDescent="0.3">
      <c r="A448">
        <v>447</v>
      </c>
      <c r="B448" t="s">
        <v>463</v>
      </c>
      <c r="C448" s="2">
        <v>45856</v>
      </c>
      <c r="D448" s="2" t="str">
        <f t="shared" si="27"/>
        <v>Jul-2025</v>
      </c>
      <c r="E448" s="2">
        <v>45857</v>
      </c>
      <c r="F448" t="s">
        <v>1017</v>
      </c>
      <c r="G448" t="s">
        <v>1193</v>
      </c>
      <c r="H448" t="s">
        <v>1286</v>
      </c>
      <c r="I448" t="s">
        <v>1287</v>
      </c>
      <c r="J448" t="s">
        <v>1294</v>
      </c>
      <c r="K448" t="s">
        <v>1305</v>
      </c>
      <c r="L448" t="s">
        <v>1307</v>
      </c>
      <c r="M448" t="s">
        <v>1314</v>
      </c>
      <c r="N448">
        <v>1</v>
      </c>
      <c r="O448">
        <v>0.1</v>
      </c>
      <c r="P448">
        <v>805.47</v>
      </c>
      <c r="Q448">
        <v>218.68</v>
      </c>
      <c r="R448" t="s">
        <v>1330</v>
      </c>
      <c r="S448" t="b">
        <f t="shared" si="24"/>
        <v>0</v>
      </c>
      <c r="T448" t="b">
        <f t="shared" si="25"/>
        <v>0</v>
      </c>
      <c r="U448" t="b">
        <f t="shared" si="26"/>
        <v>0</v>
      </c>
    </row>
    <row r="449" spans="1:21" x14ac:dyDescent="0.3">
      <c r="A449">
        <v>448</v>
      </c>
      <c r="B449" t="s">
        <v>464</v>
      </c>
      <c r="C449" s="2">
        <v>45709</v>
      </c>
      <c r="D449" s="2" t="str">
        <f t="shared" si="27"/>
        <v>Feb-2025</v>
      </c>
      <c r="E449" s="2">
        <v>45710</v>
      </c>
      <c r="F449" t="s">
        <v>1017</v>
      </c>
      <c r="G449" t="s">
        <v>1061</v>
      </c>
      <c r="H449" t="s">
        <v>1273</v>
      </c>
      <c r="I449" t="s">
        <v>1287</v>
      </c>
      <c r="J449" t="s">
        <v>1299</v>
      </c>
      <c r="K449" t="s">
        <v>1304</v>
      </c>
      <c r="L449" t="s">
        <v>1308</v>
      </c>
      <c r="M449" t="s">
        <v>1312</v>
      </c>
      <c r="N449">
        <v>4</v>
      </c>
      <c r="O449">
        <v>0.1</v>
      </c>
      <c r="P449">
        <v>4656.93</v>
      </c>
      <c r="Q449">
        <v>885.98</v>
      </c>
      <c r="R449" t="s">
        <v>1331</v>
      </c>
      <c r="S449" t="b">
        <f t="shared" si="24"/>
        <v>0</v>
      </c>
      <c r="T449" t="b">
        <f t="shared" si="25"/>
        <v>0</v>
      </c>
      <c r="U449" t="b">
        <f t="shared" si="26"/>
        <v>0</v>
      </c>
    </row>
    <row r="450" spans="1:21" x14ac:dyDescent="0.3">
      <c r="A450">
        <v>449</v>
      </c>
      <c r="B450" t="s">
        <v>465</v>
      </c>
      <c r="C450" s="2">
        <v>45882</v>
      </c>
      <c r="D450" s="2" t="str">
        <f t="shared" si="27"/>
        <v>Aug-2025</v>
      </c>
      <c r="E450" s="2">
        <v>45885</v>
      </c>
      <c r="F450" t="s">
        <v>1018</v>
      </c>
      <c r="G450" t="s">
        <v>1227</v>
      </c>
      <c r="H450" t="s">
        <v>1273</v>
      </c>
      <c r="I450" t="s">
        <v>1288</v>
      </c>
      <c r="J450" t="s">
        <v>1290</v>
      </c>
      <c r="K450" t="s">
        <v>1302</v>
      </c>
      <c r="L450" t="s">
        <v>1306</v>
      </c>
      <c r="M450" t="s">
        <v>1328</v>
      </c>
      <c r="N450">
        <v>3</v>
      </c>
      <c r="O450">
        <v>0.15</v>
      </c>
      <c r="P450">
        <v>305.64999999999998</v>
      </c>
      <c r="Q450">
        <v>44.71</v>
      </c>
      <c r="R450" t="s">
        <v>1334</v>
      </c>
      <c r="S450" t="b">
        <f t="shared" ref="S450:S513" si="28">E450&lt;C450</f>
        <v>0</v>
      </c>
      <c r="T450" t="b">
        <f t="shared" ref="T450:T513" si="29">N450&lt;=0</f>
        <v>0</v>
      </c>
      <c r="U450" t="b">
        <f t="shared" ref="U450:U513" si="30">OR(O450&lt;0,O450&gt;1)</f>
        <v>0</v>
      </c>
    </row>
    <row r="451" spans="1:21" x14ac:dyDescent="0.3">
      <c r="A451">
        <v>450</v>
      </c>
      <c r="B451" t="s">
        <v>466</v>
      </c>
      <c r="C451" s="2">
        <v>45785</v>
      </c>
      <c r="D451" s="2" t="str">
        <f t="shared" ref="D451:D514" si="31">TEXT(C451,"mmm-yyyy")</f>
        <v>May-2025</v>
      </c>
      <c r="E451" s="2">
        <v>45787</v>
      </c>
      <c r="F451" t="s">
        <v>1017</v>
      </c>
      <c r="G451" t="s">
        <v>1076</v>
      </c>
      <c r="H451" t="s">
        <v>1278</v>
      </c>
      <c r="I451" t="s">
        <v>1289</v>
      </c>
      <c r="J451" t="s">
        <v>1290</v>
      </c>
      <c r="K451" t="s">
        <v>1302</v>
      </c>
      <c r="L451" t="s">
        <v>1307</v>
      </c>
      <c r="M451" t="s">
        <v>1315</v>
      </c>
      <c r="N451">
        <v>1</v>
      </c>
      <c r="O451">
        <v>0.1</v>
      </c>
      <c r="P451">
        <v>1683.77</v>
      </c>
      <c r="Q451">
        <v>520.34</v>
      </c>
      <c r="R451" t="s">
        <v>1333</v>
      </c>
      <c r="S451" t="b">
        <f t="shared" si="28"/>
        <v>0</v>
      </c>
      <c r="T451" t="b">
        <f t="shared" si="29"/>
        <v>0</v>
      </c>
      <c r="U451" t="b">
        <f t="shared" si="30"/>
        <v>0</v>
      </c>
    </row>
    <row r="452" spans="1:21" x14ac:dyDescent="0.3">
      <c r="A452">
        <v>451</v>
      </c>
      <c r="B452" t="s">
        <v>467</v>
      </c>
      <c r="C452" s="2">
        <v>45836</v>
      </c>
      <c r="D452" s="2" t="str">
        <f t="shared" si="31"/>
        <v>Jun-2025</v>
      </c>
      <c r="E452" s="2">
        <v>45840</v>
      </c>
      <c r="F452" t="s">
        <v>1018</v>
      </c>
      <c r="G452" t="s">
        <v>1079</v>
      </c>
      <c r="H452" t="s">
        <v>1277</v>
      </c>
      <c r="I452" t="s">
        <v>1289</v>
      </c>
      <c r="J452" t="s">
        <v>1294</v>
      </c>
      <c r="K452" t="s">
        <v>1305</v>
      </c>
      <c r="L452" t="s">
        <v>1306</v>
      </c>
      <c r="M452" t="s">
        <v>1321</v>
      </c>
      <c r="N452">
        <v>4</v>
      </c>
      <c r="O452">
        <v>0.2</v>
      </c>
      <c r="P452">
        <v>1434.82</v>
      </c>
      <c r="Q452">
        <v>34.75</v>
      </c>
      <c r="R452" t="s">
        <v>1331</v>
      </c>
      <c r="S452" t="b">
        <f t="shared" si="28"/>
        <v>0</v>
      </c>
      <c r="T452" t="b">
        <f t="shared" si="29"/>
        <v>0</v>
      </c>
      <c r="U452" t="b">
        <f t="shared" si="30"/>
        <v>0</v>
      </c>
    </row>
    <row r="453" spans="1:21" x14ac:dyDescent="0.3">
      <c r="A453">
        <v>452</v>
      </c>
      <c r="B453" t="s">
        <v>468</v>
      </c>
      <c r="C453" s="2">
        <v>45780</v>
      </c>
      <c r="D453" s="2" t="str">
        <f t="shared" si="31"/>
        <v>May-2025</v>
      </c>
      <c r="E453" s="2">
        <v>45781</v>
      </c>
      <c r="F453" t="s">
        <v>1017</v>
      </c>
      <c r="G453" t="s">
        <v>1178</v>
      </c>
      <c r="H453" t="s">
        <v>1281</v>
      </c>
      <c r="I453" t="s">
        <v>1287</v>
      </c>
      <c r="J453" t="s">
        <v>1290</v>
      </c>
      <c r="K453" t="s">
        <v>1302</v>
      </c>
      <c r="L453" t="s">
        <v>1309</v>
      </c>
      <c r="M453" t="s">
        <v>1325</v>
      </c>
      <c r="N453">
        <v>1</v>
      </c>
      <c r="O453">
        <v>0.15</v>
      </c>
      <c r="P453">
        <v>1105.72</v>
      </c>
      <c r="Q453">
        <v>160.26</v>
      </c>
      <c r="R453" t="s">
        <v>1331</v>
      </c>
      <c r="S453" t="b">
        <f t="shared" si="28"/>
        <v>0</v>
      </c>
      <c r="T453" t="b">
        <f t="shared" si="29"/>
        <v>0</v>
      </c>
      <c r="U453" t="b">
        <f t="shared" si="30"/>
        <v>0</v>
      </c>
    </row>
    <row r="454" spans="1:21" x14ac:dyDescent="0.3">
      <c r="A454">
        <v>453</v>
      </c>
      <c r="B454" t="s">
        <v>469</v>
      </c>
      <c r="C454" s="2">
        <v>45922</v>
      </c>
      <c r="D454" s="2" t="str">
        <f t="shared" si="31"/>
        <v>Sep-2025</v>
      </c>
      <c r="E454" s="2">
        <v>45924</v>
      </c>
      <c r="F454" t="s">
        <v>1019</v>
      </c>
      <c r="G454" t="s">
        <v>1177</v>
      </c>
      <c r="H454" t="s">
        <v>1285</v>
      </c>
      <c r="I454" t="s">
        <v>1287</v>
      </c>
      <c r="J454" t="s">
        <v>1291</v>
      </c>
      <c r="K454" t="s">
        <v>1302</v>
      </c>
      <c r="L454" t="s">
        <v>1306</v>
      </c>
      <c r="M454" t="s">
        <v>1328</v>
      </c>
      <c r="N454">
        <v>2</v>
      </c>
      <c r="O454">
        <v>0.2</v>
      </c>
      <c r="P454">
        <v>191.3</v>
      </c>
      <c r="Q454">
        <v>4.8499999999999996</v>
      </c>
      <c r="R454" t="s">
        <v>1330</v>
      </c>
      <c r="S454" t="b">
        <f t="shared" si="28"/>
        <v>0</v>
      </c>
      <c r="T454" t="b">
        <f t="shared" si="29"/>
        <v>0</v>
      </c>
      <c r="U454" t="b">
        <f t="shared" si="30"/>
        <v>0</v>
      </c>
    </row>
    <row r="455" spans="1:21" x14ac:dyDescent="0.3">
      <c r="A455">
        <v>454</v>
      </c>
      <c r="B455" t="s">
        <v>470</v>
      </c>
      <c r="C455" s="2">
        <v>45846</v>
      </c>
      <c r="D455" s="2" t="str">
        <f t="shared" si="31"/>
        <v>Jul-2025</v>
      </c>
      <c r="E455" s="2">
        <v>45851</v>
      </c>
      <c r="F455" t="s">
        <v>1017</v>
      </c>
      <c r="G455" t="s">
        <v>1110</v>
      </c>
      <c r="H455" t="s">
        <v>1273</v>
      </c>
      <c r="I455" t="s">
        <v>1287</v>
      </c>
      <c r="J455" t="s">
        <v>1296</v>
      </c>
      <c r="K455" t="s">
        <v>1304</v>
      </c>
      <c r="L455" t="s">
        <v>1306</v>
      </c>
      <c r="M455" t="s">
        <v>1323</v>
      </c>
      <c r="N455">
        <v>2</v>
      </c>
      <c r="O455">
        <v>0.05</v>
      </c>
      <c r="P455">
        <v>347.55</v>
      </c>
      <c r="Q455">
        <v>72.849999999999994</v>
      </c>
      <c r="R455" t="s">
        <v>1332</v>
      </c>
      <c r="S455" t="b">
        <f t="shared" si="28"/>
        <v>0</v>
      </c>
      <c r="T455" t="b">
        <f t="shared" si="29"/>
        <v>0</v>
      </c>
      <c r="U455" t="b">
        <f t="shared" si="30"/>
        <v>0</v>
      </c>
    </row>
    <row r="456" spans="1:21" x14ac:dyDescent="0.3">
      <c r="A456">
        <v>455</v>
      </c>
      <c r="B456" t="s">
        <v>471</v>
      </c>
      <c r="C456" s="2">
        <v>45865</v>
      </c>
      <c r="D456" s="2" t="str">
        <f t="shared" si="31"/>
        <v>Jul-2025</v>
      </c>
      <c r="E456" s="2">
        <v>45868</v>
      </c>
      <c r="F456" t="s">
        <v>1018</v>
      </c>
      <c r="G456" t="s">
        <v>1130</v>
      </c>
      <c r="H456" t="s">
        <v>1286</v>
      </c>
      <c r="I456" t="s">
        <v>1289</v>
      </c>
      <c r="J456" t="s">
        <v>1296</v>
      </c>
      <c r="K456" t="s">
        <v>1304</v>
      </c>
      <c r="L456" t="s">
        <v>1309</v>
      </c>
      <c r="M456" t="s">
        <v>1320</v>
      </c>
      <c r="N456">
        <v>4</v>
      </c>
      <c r="O456">
        <v>0.2</v>
      </c>
      <c r="P456">
        <v>3674.49</v>
      </c>
      <c r="Q456">
        <v>57.57</v>
      </c>
      <c r="R456" t="s">
        <v>1334</v>
      </c>
      <c r="S456" t="b">
        <f t="shared" si="28"/>
        <v>0</v>
      </c>
      <c r="T456" t="b">
        <f t="shared" si="29"/>
        <v>0</v>
      </c>
      <c r="U456" t="b">
        <f t="shared" si="30"/>
        <v>0</v>
      </c>
    </row>
    <row r="457" spans="1:21" x14ac:dyDescent="0.3">
      <c r="A457">
        <v>456</v>
      </c>
      <c r="B457" t="s">
        <v>472</v>
      </c>
      <c r="C457" s="2">
        <v>45998</v>
      </c>
      <c r="D457" s="2" t="str">
        <f t="shared" si="31"/>
        <v>Dec-2025</v>
      </c>
      <c r="E457" s="2">
        <v>46002</v>
      </c>
      <c r="F457" t="s">
        <v>1018</v>
      </c>
      <c r="G457" t="s">
        <v>1207</v>
      </c>
      <c r="H457" t="s">
        <v>1268</v>
      </c>
      <c r="I457" t="s">
        <v>1288</v>
      </c>
      <c r="J457" t="s">
        <v>1292</v>
      </c>
      <c r="K457" t="s">
        <v>1303</v>
      </c>
      <c r="L457" t="s">
        <v>1309</v>
      </c>
      <c r="M457" t="s">
        <v>1320</v>
      </c>
      <c r="N457">
        <v>1</v>
      </c>
      <c r="O457">
        <v>0</v>
      </c>
      <c r="P457">
        <v>1200.68</v>
      </c>
      <c r="Q457">
        <v>312.04000000000002</v>
      </c>
      <c r="R457" t="s">
        <v>1332</v>
      </c>
      <c r="S457" t="b">
        <f t="shared" si="28"/>
        <v>0</v>
      </c>
      <c r="T457" t="b">
        <f t="shared" si="29"/>
        <v>0</v>
      </c>
      <c r="U457" t="b">
        <f t="shared" si="30"/>
        <v>0</v>
      </c>
    </row>
    <row r="458" spans="1:21" x14ac:dyDescent="0.3">
      <c r="A458">
        <v>457</v>
      </c>
      <c r="B458" t="s">
        <v>473</v>
      </c>
      <c r="C458" s="2">
        <v>45984</v>
      </c>
      <c r="D458" s="2" t="str">
        <f t="shared" si="31"/>
        <v>Nov-2025</v>
      </c>
      <c r="E458" s="2">
        <v>45985</v>
      </c>
      <c r="F458" t="s">
        <v>1017</v>
      </c>
      <c r="G458" t="s">
        <v>1061</v>
      </c>
      <c r="H458" t="s">
        <v>1284</v>
      </c>
      <c r="I458" t="s">
        <v>1289</v>
      </c>
      <c r="J458" t="s">
        <v>1297</v>
      </c>
      <c r="K458" t="s">
        <v>1304</v>
      </c>
      <c r="L458" t="s">
        <v>1307</v>
      </c>
      <c r="M458" t="s">
        <v>1314</v>
      </c>
      <c r="N458">
        <v>1</v>
      </c>
      <c r="O458">
        <v>0.1</v>
      </c>
      <c r="P458">
        <v>836.64</v>
      </c>
      <c r="Q458">
        <v>276.11</v>
      </c>
      <c r="R458" t="s">
        <v>1333</v>
      </c>
      <c r="S458" t="b">
        <f t="shared" si="28"/>
        <v>0</v>
      </c>
      <c r="T458" t="b">
        <f t="shared" si="29"/>
        <v>0</v>
      </c>
      <c r="U458" t="b">
        <f t="shared" si="30"/>
        <v>0</v>
      </c>
    </row>
    <row r="459" spans="1:21" x14ac:dyDescent="0.3">
      <c r="A459">
        <v>458</v>
      </c>
      <c r="B459" t="s">
        <v>474</v>
      </c>
      <c r="C459" s="2">
        <v>45962</v>
      </c>
      <c r="D459" s="2" t="str">
        <f t="shared" si="31"/>
        <v>Nov-2025</v>
      </c>
      <c r="E459" s="2">
        <v>45965</v>
      </c>
      <c r="F459" t="s">
        <v>1018</v>
      </c>
      <c r="G459" t="s">
        <v>1117</v>
      </c>
      <c r="H459" t="s">
        <v>1274</v>
      </c>
      <c r="I459" t="s">
        <v>1288</v>
      </c>
      <c r="J459" t="s">
        <v>1300</v>
      </c>
      <c r="K459" t="s">
        <v>1305</v>
      </c>
      <c r="L459" t="s">
        <v>1309</v>
      </c>
      <c r="M459" t="s">
        <v>1329</v>
      </c>
      <c r="N459">
        <v>5</v>
      </c>
      <c r="O459">
        <v>0.1</v>
      </c>
      <c r="P459">
        <v>8834.68</v>
      </c>
      <c r="Q459">
        <v>1588.82</v>
      </c>
      <c r="R459" t="s">
        <v>1331</v>
      </c>
      <c r="S459" t="b">
        <f t="shared" si="28"/>
        <v>0</v>
      </c>
      <c r="T459" t="b">
        <f t="shared" si="29"/>
        <v>0</v>
      </c>
      <c r="U459" t="b">
        <f t="shared" si="30"/>
        <v>0</v>
      </c>
    </row>
    <row r="460" spans="1:21" x14ac:dyDescent="0.3">
      <c r="A460">
        <v>459</v>
      </c>
      <c r="B460" t="s">
        <v>475</v>
      </c>
      <c r="C460" s="2">
        <v>45744</v>
      </c>
      <c r="D460" s="2" t="str">
        <f t="shared" si="31"/>
        <v>Mar-2025</v>
      </c>
      <c r="E460" s="2">
        <v>45746</v>
      </c>
      <c r="F460" t="s">
        <v>1017</v>
      </c>
      <c r="G460" t="s">
        <v>1182</v>
      </c>
      <c r="H460" t="s">
        <v>1286</v>
      </c>
      <c r="I460" t="s">
        <v>1288</v>
      </c>
      <c r="J460" t="s">
        <v>1294</v>
      </c>
      <c r="K460" t="s">
        <v>1305</v>
      </c>
      <c r="L460" t="s">
        <v>1308</v>
      </c>
      <c r="M460" t="s">
        <v>1326</v>
      </c>
      <c r="N460">
        <v>3</v>
      </c>
      <c r="O460">
        <v>0.1</v>
      </c>
      <c r="P460">
        <v>18921.560000000001</v>
      </c>
      <c r="Q460">
        <v>4461.76</v>
      </c>
      <c r="R460" t="s">
        <v>1331</v>
      </c>
      <c r="S460" t="b">
        <f t="shared" si="28"/>
        <v>0</v>
      </c>
      <c r="T460" t="b">
        <f t="shared" si="29"/>
        <v>0</v>
      </c>
      <c r="U460" t="b">
        <f t="shared" si="30"/>
        <v>0</v>
      </c>
    </row>
    <row r="461" spans="1:21" x14ac:dyDescent="0.3">
      <c r="A461">
        <v>460</v>
      </c>
      <c r="B461" t="s">
        <v>476</v>
      </c>
      <c r="C461" s="2">
        <v>45681</v>
      </c>
      <c r="D461" s="2" t="str">
        <f t="shared" si="31"/>
        <v>Jan-2025</v>
      </c>
      <c r="E461" s="2">
        <v>45685</v>
      </c>
      <c r="F461" t="s">
        <v>1019</v>
      </c>
      <c r="G461" t="s">
        <v>1098</v>
      </c>
      <c r="H461" t="s">
        <v>1280</v>
      </c>
      <c r="I461" t="s">
        <v>1288</v>
      </c>
      <c r="J461" t="s">
        <v>1291</v>
      </c>
      <c r="K461" t="s">
        <v>1302</v>
      </c>
      <c r="L461" t="s">
        <v>1308</v>
      </c>
      <c r="M461" t="s">
        <v>1326</v>
      </c>
      <c r="N461">
        <v>3</v>
      </c>
      <c r="O461">
        <v>0.1</v>
      </c>
      <c r="P461">
        <v>19162.71</v>
      </c>
      <c r="Q461">
        <v>4825.28</v>
      </c>
      <c r="R461" t="s">
        <v>1331</v>
      </c>
      <c r="S461" t="b">
        <f t="shared" si="28"/>
        <v>0</v>
      </c>
      <c r="T461" t="b">
        <f t="shared" si="29"/>
        <v>0</v>
      </c>
      <c r="U461" t="b">
        <f t="shared" si="30"/>
        <v>0</v>
      </c>
    </row>
    <row r="462" spans="1:21" x14ac:dyDescent="0.3">
      <c r="A462">
        <v>461</v>
      </c>
      <c r="B462" t="s">
        <v>477</v>
      </c>
      <c r="C462" s="2">
        <v>45990</v>
      </c>
      <c r="D462" s="2" t="str">
        <f t="shared" si="31"/>
        <v>Nov-2025</v>
      </c>
      <c r="E462" s="2">
        <v>45991</v>
      </c>
      <c r="F462" t="s">
        <v>1019</v>
      </c>
      <c r="G462" t="s">
        <v>1073</v>
      </c>
      <c r="H462" t="s">
        <v>1268</v>
      </c>
      <c r="I462" t="s">
        <v>1287</v>
      </c>
      <c r="J462" t="s">
        <v>1300</v>
      </c>
      <c r="K462" t="s">
        <v>1305</v>
      </c>
      <c r="L462" t="s">
        <v>1308</v>
      </c>
      <c r="M462" t="s">
        <v>1319</v>
      </c>
      <c r="N462">
        <v>1</v>
      </c>
      <c r="O462">
        <v>0.1</v>
      </c>
      <c r="P462">
        <v>3938.21</v>
      </c>
      <c r="Q462">
        <v>239.56</v>
      </c>
      <c r="R462" t="s">
        <v>1332</v>
      </c>
      <c r="S462" t="b">
        <f t="shared" si="28"/>
        <v>0</v>
      </c>
      <c r="T462" t="b">
        <f t="shared" si="29"/>
        <v>0</v>
      </c>
      <c r="U462" t="b">
        <f t="shared" si="30"/>
        <v>0</v>
      </c>
    </row>
    <row r="463" spans="1:21" x14ac:dyDescent="0.3">
      <c r="A463">
        <v>462</v>
      </c>
      <c r="B463" t="s">
        <v>478</v>
      </c>
      <c r="C463" s="2">
        <v>45772</v>
      </c>
      <c r="D463" s="2" t="str">
        <f t="shared" si="31"/>
        <v>Apr-2025</v>
      </c>
      <c r="E463" s="2">
        <v>45776</v>
      </c>
      <c r="F463" t="s">
        <v>1019</v>
      </c>
      <c r="G463" t="s">
        <v>1118</v>
      </c>
      <c r="H463" t="s">
        <v>1278</v>
      </c>
      <c r="I463" t="s">
        <v>1287</v>
      </c>
      <c r="J463" t="s">
        <v>1293</v>
      </c>
      <c r="K463" t="s">
        <v>1304</v>
      </c>
      <c r="L463" t="s">
        <v>1309</v>
      </c>
      <c r="M463" t="s">
        <v>1317</v>
      </c>
      <c r="N463">
        <v>2</v>
      </c>
      <c r="O463">
        <v>0.15</v>
      </c>
      <c r="P463">
        <v>1351.23</v>
      </c>
      <c r="Q463">
        <v>230.88</v>
      </c>
      <c r="R463" t="s">
        <v>1331</v>
      </c>
      <c r="S463" t="b">
        <f t="shared" si="28"/>
        <v>0</v>
      </c>
      <c r="T463" t="b">
        <f t="shared" si="29"/>
        <v>0</v>
      </c>
      <c r="U463" t="b">
        <f t="shared" si="30"/>
        <v>0</v>
      </c>
    </row>
    <row r="464" spans="1:21" x14ac:dyDescent="0.3">
      <c r="A464">
        <v>463</v>
      </c>
      <c r="B464" t="s">
        <v>479</v>
      </c>
      <c r="C464" s="2">
        <v>45683</v>
      </c>
      <c r="D464" s="2" t="str">
        <f t="shared" si="31"/>
        <v>Jan-2025</v>
      </c>
      <c r="E464" s="2">
        <v>45684</v>
      </c>
      <c r="F464" t="s">
        <v>1019</v>
      </c>
      <c r="G464" t="s">
        <v>1228</v>
      </c>
      <c r="H464" t="s">
        <v>1283</v>
      </c>
      <c r="I464" t="s">
        <v>1287</v>
      </c>
      <c r="J464" t="s">
        <v>1292</v>
      </c>
      <c r="K464" t="s">
        <v>1303</v>
      </c>
      <c r="L464" t="s">
        <v>1308</v>
      </c>
      <c r="M464" t="s">
        <v>1319</v>
      </c>
      <c r="N464">
        <v>4</v>
      </c>
      <c r="O464">
        <v>0.05</v>
      </c>
      <c r="P464">
        <v>16783.23</v>
      </c>
      <c r="Q464">
        <v>2962.08</v>
      </c>
      <c r="R464" t="s">
        <v>1332</v>
      </c>
      <c r="S464" t="b">
        <f t="shared" si="28"/>
        <v>0</v>
      </c>
      <c r="T464" t="b">
        <f t="shared" si="29"/>
        <v>0</v>
      </c>
      <c r="U464" t="b">
        <f t="shared" si="30"/>
        <v>0</v>
      </c>
    </row>
    <row r="465" spans="1:21" x14ac:dyDescent="0.3">
      <c r="A465">
        <v>464</v>
      </c>
      <c r="B465" t="s">
        <v>480</v>
      </c>
      <c r="C465" s="2">
        <v>45943</v>
      </c>
      <c r="D465" s="2" t="str">
        <f t="shared" si="31"/>
        <v>Oct-2025</v>
      </c>
      <c r="E465" s="2">
        <v>45947</v>
      </c>
      <c r="F465" t="s">
        <v>1017</v>
      </c>
      <c r="G465" t="s">
        <v>1158</v>
      </c>
      <c r="H465" t="s">
        <v>1273</v>
      </c>
      <c r="I465" t="s">
        <v>1287</v>
      </c>
      <c r="J465" t="s">
        <v>1299</v>
      </c>
      <c r="K465" t="s">
        <v>1304</v>
      </c>
      <c r="L465" t="s">
        <v>1309</v>
      </c>
      <c r="M465" t="s">
        <v>1320</v>
      </c>
      <c r="N465">
        <v>2</v>
      </c>
      <c r="O465">
        <v>0</v>
      </c>
      <c r="P465">
        <v>2312.6</v>
      </c>
      <c r="Q465">
        <v>775.64</v>
      </c>
      <c r="R465" t="s">
        <v>1331</v>
      </c>
      <c r="S465" t="b">
        <f t="shared" si="28"/>
        <v>0</v>
      </c>
      <c r="T465" t="b">
        <f t="shared" si="29"/>
        <v>0</v>
      </c>
      <c r="U465" t="b">
        <f t="shared" si="30"/>
        <v>0</v>
      </c>
    </row>
    <row r="466" spans="1:21" x14ac:dyDescent="0.3">
      <c r="A466">
        <v>465</v>
      </c>
      <c r="B466" t="s">
        <v>481</v>
      </c>
      <c r="C466" s="2">
        <v>45949</v>
      </c>
      <c r="D466" s="2" t="str">
        <f t="shared" si="31"/>
        <v>Oct-2025</v>
      </c>
      <c r="E466" s="2">
        <v>45953</v>
      </c>
      <c r="F466" t="s">
        <v>1018</v>
      </c>
      <c r="G466" t="s">
        <v>1167</v>
      </c>
      <c r="H466" t="s">
        <v>1278</v>
      </c>
      <c r="I466" t="s">
        <v>1288</v>
      </c>
      <c r="J466" t="s">
        <v>1298</v>
      </c>
      <c r="K466" t="s">
        <v>1303</v>
      </c>
      <c r="L466" t="s">
        <v>1308</v>
      </c>
      <c r="M466" t="s">
        <v>1312</v>
      </c>
      <c r="N466">
        <v>1</v>
      </c>
      <c r="O466">
        <v>0</v>
      </c>
      <c r="P466">
        <v>1340.76</v>
      </c>
      <c r="Q466">
        <v>443.39</v>
      </c>
      <c r="R466" t="s">
        <v>1332</v>
      </c>
      <c r="S466" t="b">
        <f t="shared" si="28"/>
        <v>0</v>
      </c>
      <c r="T466" t="b">
        <f t="shared" si="29"/>
        <v>0</v>
      </c>
      <c r="U466" t="b">
        <f t="shared" si="30"/>
        <v>0</v>
      </c>
    </row>
    <row r="467" spans="1:21" x14ac:dyDescent="0.3">
      <c r="A467">
        <v>466</v>
      </c>
      <c r="B467" t="s">
        <v>482</v>
      </c>
      <c r="C467" s="2">
        <v>45845</v>
      </c>
      <c r="D467" s="2" t="str">
        <f t="shared" si="31"/>
        <v>Jul-2025</v>
      </c>
      <c r="E467" s="2">
        <v>45848</v>
      </c>
      <c r="F467" t="s">
        <v>1017</v>
      </c>
      <c r="G467" t="s">
        <v>1129</v>
      </c>
      <c r="H467" t="s">
        <v>1268</v>
      </c>
      <c r="I467" t="s">
        <v>1288</v>
      </c>
      <c r="J467" t="s">
        <v>1301</v>
      </c>
      <c r="K467" t="s">
        <v>1303</v>
      </c>
      <c r="L467" t="s">
        <v>1308</v>
      </c>
      <c r="M467" t="s">
        <v>1327</v>
      </c>
      <c r="N467">
        <v>1</v>
      </c>
      <c r="O467">
        <v>0.1</v>
      </c>
      <c r="P467">
        <v>1672.92</v>
      </c>
      <c r="Q467">
        <v>200.75</v>
      </c>
      <c r="R467" t="s">
        <v>1330</v>
      </c>
      <c r="S467" t="b">
        <f t="shared" si="28"/>
        <v>0</v>
      </c>
      <c r="T467" t="b">
        <f t="shared" si="29"/>
        <v>0</v>
      </c>
      <c r="U467" t="b">
        <f t="shared" si="30"/>
        <v>0</v>
      </c>
    </row>
    <row r="468" spans="1:21" x14ac:dyDescent="0.3">
      <c r="A468">
        <v>467</v>
      </c>
      <c r="B468" t="s">
        <v>483</v>
      </c>
      <c r="C468" s="2">
        <v>45868</v>
      </c>
      <c r="D468" s="2" t="str">
        <f t="shared" si="31"/>
        <v>Jul-2025</v>
      </c>
      <c r="E468" s="2">
        <v>45871</v>
      </c>
      <c r="F468" t="s">
        <v>1018</v>
      </c>
      <c r="G468" t="s">
        <v>1153</v>
      </c>
      <c r="H468" t="s">
        <v>1284</v>
      </c>
      <c r="I468" t="s">
        <v>1287</v>
      </c>
      <c r="J468" t="s">
        <v>1296</v>
      </c>
      <c r="K468" t="s">
        <v>1304</v>
      </c>
      <c r="L468" t="s">
        <v>1307</v>
      </c>
      <c r="M468" t="s">
        <v>1311</v>
      </c>
      <c r="N468">
        <v>3</v>
      </c>
      <c r="O468">
        <v>0</v>
      </c>
      <c r="P468">
        <v>933.79</v>
      </c>
      <c r="Q468">
        <v>308.97000000000003</v>
      </c>
      <c r="R468" t="s">
        <v>1331</v>
      </c>
      <c r="S468" t="b">
        <f t="shared" si="28"/>
        <v>0</v>
      </c>
      <c r="T468" t="b">
        <f t="shared" si="29"/>
        <v>0</v>
      </c>
      <c r="U468" t="b">
        <f t="shared" si="30"/>
        <v>0</v>
      </c>
    </row>
    <row r="469" spans="1:21" x14ac:dyDescent="0.3">
      <c r="A469">
        <v>468</v>
      </c>
      <c r="B469" t="s">
        <v>484</v>
      </c>
      <c r="C469" s="2">
        <v>46019</v>
      </c>
      <c r="D469" s="2" t="str">
        <f t="shared" si="31"/>
        <v>Dec-2025</v>
      </c>
      <c r="E469" s="2">
        <v>46020</v>
      </c>
      <c r="F469" t="s">
        <v>1018</v>
      </c>
      <c r="G469" t="s">
        <v>1163</v>
      </c>
      <c r="H469" t="s">
        <v>1269</v>
      </c>
      <c r="I469" t="s">
        <v>1288</v>
      </c>
      <c r="J469" t="s">
        <v>1295</v>
      </c>
      <c r="K469" t="s">
        <v>1305</v>
      </c>
      <c r="L469" t="s">
        <v>1307</v>
      </c>
      <c r="M469" t="s">
        <v>1311</v>
      </c>
      <c r="N469">
        <v>4</v>
      </c>
      <c r="O469">
        <v>0.25</v>
      </c>
      <c r="P469">
        <v>908.13</v>
      </c>
      <c r="Q469">
        <v>53.21</v>
      </c>
      <c r="R469" t="s">
        <v>1331</v>
      </c>
      <c r="S469" t="b">
        <f t="shared" si="28"/>
        <v>0</v>
      </c>
      <c r="T469" t="b">
        <f t="shared" si="29"/>
        <v>0</v>
      </c>
      <c r="U469" t="b">
        <f t="shared" si="30"/>
        <v>0</v>
      </c>
    </row>
    <row r="470" spans="1:21" x14ac:dyDescent="0.3">
      <c r="A470">
        <v>469</v>
      </c>
      <c r="B470" t="s">
        <v>485</v>
      </c>
      <c r="C470" s="2">
        <v>45829</v>
      </c>
      <c r="D470" s="2" t="str">
        <f t="shared" si="31"/>
        <v>Jun-2025</v>
      </c>
      <c r="E470" s="2">
        <v>45832</v>
      </c>
      <c r="F470" t="s">
        <v>1017</v>
      </c>
      <c r="G470" t="s">
        <v>1067</v>
      </c>
      <c r="H470" t="s">
        <v>1286</v>
      </c>
      <c r="I470" t="s">
        <v>1287</v>
      </c>
      <c r="J470" t="s">
        <v>1297</v>
      </c>
      <c r="K470" t="s">
        <v>1304</v>
      </c>
      <c r="L470" t="s">
        <v>1308</v>
      </c>
      <c r="M470" t="s">
        <v>1327</v>
      </c>
      <c r="N470">
        <v>2</v>
      </c>
      <c r="O470">
        <v>0</v>
      </c>
      <c r="P470">
        <v>3652.79</v>
      </c>
      <c r="Q470">
        <v>1130.45</v>
      </c>
      <c r="R470" t="s">
        <v>1330</v>
      </c>
      <c r="S470" t="b">
        <f t="shared" si="28"/>
        <v>0</v>
      </c>
      <c r="T470" t="b">
        <f t="shared" si="29"/>
        <v>0</v>
      </c>
      <c r="U470" t="b">
        <f t="shared" si="30"/>
        <v>0</v>
      </c>
    </row>
    <row r="471" spans="1:21" x14ac:dyDescent="0.3">
      <c r="A471">
        <v>470</v>
      </c>
      <c r="B471" t="s">
        <v>486</v>
      </c>
      <c r="C471" s="2">
        <v>46010</v>
      </c>
      <c r="D471" s="2" t="str">
        <f t="shared" si="31"/>
        <v>Dec-2025</v>
      </c>
      <c r="E471" s="2">
        <v>46014</v>
      </c>
      <c r="F471" t="s">
        <v>1018</v>
      </c>
      <c r="G471" t="s">
        <v>1179</v>
      </c>
      <c r="H471" t="s">
        <v>1273</v>
      </c>
      <c r="I471" t="s">
        <v>1289</v>
      </c>
      <c r="J471" t="s">
        <v>1294</v>
      </c>
      <c r="K471" t="s">
        <v>1305</v>
      </c>
      <c r="L471" t="s">
        <v>1309</v>
      </c>
      <c r="M471" t="s">
        <v>1325</v>
      </c>
      <c r="N471">
        <v>3</v>
      </c>
      <c r="O471">
        <v>0</v>
      </c>
      <c r="P471">
        <v>3794.43</v>
      </c>
      <c r="Q471">
        <v>1312.85</v>
      </c>
      <c r="R471" t="s">
        <v>1330</v>
      </c>
      <c r="S471" t="b">
        <f t="shared" si="28"/>
        <v>0</v>
      </c>
      <c r="T471" t="b">
        <f t="shared" si="29"/>
        <v>0</v>
      </c>
      <c r="U471" t="b">
        <f t="shared" si="30"/>
        <v>0</v>
      </c>
    </row>
    <row r="472" spans="1:21" x14ac:dyDescent="0.3">
      <c r="A472">
        <v>471</v>
      </c>
      <c r="B472" t="s">
        <v>487</v>
      </c>
      <c r="C472" s="2">
        <v>45842</v>
      </c>
      <c r="D472" s="2" t="str">
        <f t="shared" si="31"/>
        <v>Jul-2025</v>
      </c>
      <c r="E472" s="2">
        <v>45847</v>
      </c>
      <c r="F472" t="s">
        <v>1019</v>
      </c>
      <c r="G472" t="s">
        <v>1125</v>
      </c>
      <c r="H472" t="s">
        <v>1283</v>
      </c>
      <c r="I472" t="s">
        <v>1287</v>
      </c>
      <c r="J472" t="s">
        <v>1293</v>
      </c>
      <c r="K472" t="s">
        <v>1304</v>
      </c>
      <c r="L472" t="s">
        <v>1309</v>
      </c>
      <c r="M472" t="s">
        <v>1329</v>
      </c>
      <c r="N472">
        <v>1</v>
      </c>
      <c r="O472">
        <v>0.2</v>
      </c>
      <c r="P472">
        <v>1456.67</v>
      </c>
      <c r="Q472">
        <v>149.31</v>
      </c>
      <c r="R472" t="s">
        <v>1331</v>
      </c>
      <c r="S472" t="b">
        <f t="shared" si="28"/>
        <v>0</v>
      </c>
      <c r="T472" t="b">
        <f t="shared" si="29"/>
        <v>0</v>
      </c>
      <c r="U472" t="b">
        <f t="shared" si="30"/>
        <v>0</v>
      </c>
    </row>
    <row r="473" spans="1:21" x14ac:dyDescent="0.3">
      <c r="A473">
        <v>472</v>
      </c>
      <c r="B473" t="s">
        <v>488</v>
      </c>
      <c r="C473" s="2">
        <v>45721</v>
      </c>
      <c r="D473" s="2" t="str">
        <f t="shared" si="31"/>
        <v>Mar-2025</v>
      </c>
      <c r="E473" s="2">
        <v>45725</v>
      </c>
      <c r="F473" t="s">
        <v>1017</v>
      </c>
      <c r="G473" t="s">
        <v>1047</v>
      </c>
      <c r="H473" t="s">
        <v>1270</v>
      </c>
      <c r="I473" t="s">
        <v>1288</v>
      </c>
      <c r="J473" t="s">
        <v>1293</v>
      </c>
      <c r="K473" t="s">
        <v>1304</v>
      </c>
      <c r="L473" t="s">
        <v>1307</v>
      </c>
      <c r="M473" t="s">
        <v>1316</v>
      </c>
      <c r="N473">
        <v>1</v>
      </c>
      <c r="O473">
        <v>0</v>
      </c>
      <c r="P473">
        <v>513.29999999999995</v>
      </c>
      <c r="Q473">
        <v>179.6</v>
      </c>
      <c r="R473" t="s">
        <v>1332</v>
      </c>
      <c r="S473" t="b">
        <f t="shared" si="28"/>
        <v>0</v>
      </c>
      <c r="T473" t="b">
        <f t="shared" si="29"/>
        <v>0</v>
      </c>
      <c r="U473" t="b">
        <f t="shared" si="30"/>
        <v>0</v>
      </c>
    </row>
    <row r="474" spans="1:21" x14ac:dyDescent="0.3">
      <c r="A474">
        <v>473</v>
      </c>
      <c r="B474" t="s">
        <v>489</v>
      </c>
      <c r="C474" s="2">
        <v>45712</v>
      </c>
      <c r="D474" s="2" t="str">
        <f t="shared" si="31"/>
        <v>Feb-2025</v>
      </c>
      <c r="E474" s="2">
        <v>45715</v>
      </c>
      <c r="F474" t="s">
        <v>1018</v>
      </c>
      <c r="G474" t="s">
        <v>1156</v>
      </c>
      <c r="H474" t="s">
        <v>1286</v>
      </c>
      <c r="I474" t="s">
        <v>1288</v>
      </c>
      <c r="J474" t="s">
        <v>1293</v>
      </c>
      <c r="K474" t="s">
        <v>1304</v>
      </c>
      <c r="L474" t="s">
        <v>1309</v>
      </c>
      <c r="M474" t="s">
        <v>1317</v>
      </c>
      <c r="N474">
        <v>2</v>
      </c>
      <c r="O474">
        <v>0</v>
      </c>
      <c r="P474">
        <v>1677.3</v>
      </c>
      <c r="Q474">
        <v>534.88</v>
      </c>
      <c r="R474" t="s">
        <v>1333</v>
      </c>
      <c r="S474" t="b">
        <f t="shared" si="28"/>
        <v>0</v>
      </c>
      <c r="T474" t="b">
        <f t="shared" si="29"/>
        <v>0</v>
      </c>
      <c r="U474" t="b">
        <f t="shared" si="30"/>
        <v>0</v>
      </c>
    </row>
    <row r="475" spans="1:21" x14ac:dyDescent="0.3">
      <c r="A475">
        <v>474</v>
      </c>
      <c r="B475" t="s">
        <v>490</v>
      </c>
      <c r="C475" s="2">
        <v>45803</v>
      </c>
      <c r="D475" s="2" t="str">
        <f t="shared" si="31"/>
        <v>May-2025</v>
      </c>
      <c r="E475" s="2">
        <v>45808</v>
      </c>
      <c r="F475" t="s">
        <v>1018</v>
      </c>
      <c r="G475" t="s">
        <v>1095</v>
      </c>
      <c r="H475" t="s">
        <v>1269</v>
      </c>
      <c r="I475" t="s">
        <v>1287</v>
      </c>
      <c r="J475" t="s">
        <v>1297</v>
      </c>
      <c r="K475" t="s">
        <v>1304</v>
      </c>
      <c r="L475" t="s">
        <v>1307</v>
      </c>
      <c r="M475" t="s">
        <v>1316</v>
      </c>
      <c r="N475">
        <v>2</v>
      </c>
      <c r="O475">
        <v>0.1</v>
      </c>
      <c r="P475">
        <v>909.59</v>
      </c>
      <c r="Q475">
        <v>285.08</v>
      </c>
      <c r="R475" t="s">
        <v>1331</v>
      </c>
      <c r="S475" t="b">
        <f t="shared" si="28"/>
        <v>0</v>
      </c>
      <c r="T475" t="b">
        <f t="shared" si="29"/>
        <v>0</v>
      </c>
      <c r="U475" t="b">
        <f t="shared" si="30"/>
        <v>0</v>
      </c>
    </row>
    <row r="476" spans="1:21" x14ac:dyDescent="0.3">
      <c r="A476">
        <v>475</v>
      </c>
      <c r="B476" t="s">
        <v>491</v>
      </c>
      <c r="C476" s="2">
        <v>45938</v>
      </c>
      <c r="D476" s="2" t="str">
        <f t="shared" si="31"/>
        <v>Oct-2025</v>
      </c>
      <c r="E476" s="2">
        <v>45941</v>
      </c>
      <c r="F476" t="s">
        <v>1017</v>
      </c>
      <c r="G476" t="s">
        <v>1121</v>
      </c>
      <c r="H476" t="s">
        <v>1282</v>
      </c>
      <c r="I476" t="s">
        <v>1288</v>
      </c>
      <c r="J476" t="s">
        <v>1294</v>
      </c>
      <c r="K476" t="s">
        <v>1305</v>
      </c>
      <c r="L476" t="s">
        <v>1308</v>
      </c>
      <c r="M476" t="s">
        <v>1326</v>
      </c>
      <c r="N476">
        <v>5</v>
      </c>
      <c r="O476">
        <v>0</v>
      </c>
      <c r="P476">
        <v>34668.75</v>
      </c>
      <c r="Q476">
        <v>7636.08</v>
      </c>
      <c r="R476" t="s">
        <v>1333</v>
      </c>
      <c r="S476" t="b">
        <f t="shared" si="28"/>
        <v>0</v>
      </c>
      <c r="T476" t="b">
        <f t="shared" si="29"/>
        <v>0</v>
      </c>
      <c r="U476" t="b">
        <f t="shared" si="30"/>
        <v>0</v>
      </c>
    </row>
    <row r="477" spans="1:21" x14ac:dyDescent="0.3">
      <c r="A477">
        <v>476</v>
      </c>
      <c r="B477" t="s">
        <v>492</v>
      </c>
      <c r="C477" s="2">
        <v>45946</v>
      </c>
      <c r="D477" s="2" t="str">
        <f t="shared" si="31"/>
        <v>Oct-2025</v>
      </c>
      <c r="E477" s="2">
        <v>45949</v>
      </c>
      <c r="F477" t="s">
        <v>1019</v>
      </c>
      <c r="G477" t="s">
        <v>1153</v>
      </c>
      <c r="H477" t="s">
        <v>1285</v>
      </c>
      <c r="I477" t="s">
        <v>1287</v>
      </c>
      <c r="J477" t="s">
        <v>1295</v>
      </c>
      <c r="K477" t="s">
        <v>1305</v>
      </c>
      <c r="L477" t="s">
        <v>1306</v>
      </c>
      <c r="M477" t="s">
        <v>1328</v>
      </c>
      <c r="N477">
        <v>3</v>
      </c>
      <c r="O477">
        <v>0.15</v>
      </c>
      <c r="P477">
        <v>317.57</v>
      </c>
      <c r="Q477">
        <v>74.989999999999995</v>
      </c>
      <c r="R477" t="s">
        <v>1333</v>
      </c>
      <c r="S477" t="b">
        <f t="shared" si="28"/>
        <v>0</v>
      </c>
      <c r="T477" t="b">
        <f t="shared" si="29"/>
        <v>0</v>
      </c>
      <c r="U477" t="b">
        <f t="shared" si="30"/>
        <v>0</v>
      </c>
    </row>
    <row r="478" spans="1:21" x14ac:dyDescent="0.3">
      <c r="A478">
        <v>477</v>
      </c>
      <c r="B478" t="s">
        <v>493</v>
      </c>
      <c r="C478" s="2">
        <v>45818</v>
      </c>
      <c r="D478" s="2" t="str">
        <f t="shared" si="31"/>
        <v>Jun-2025</v>
      </c>
      <c r="E478" s="2">
        <v>45821</v>
      </c>
      <c r="F478" t="s">
        <v>1017</v>
      </c>
      <c r="G478" t="s">
        <v>1229</v>
      </c>
      <c r="H478" t="s">
        <v>1268</v>
      </c>
      <c r="I478" t="s">
        <v>1288</v>
      </c>
      <c r="J478" t="s">
        <v>1295</v>
      </c>
      <c r="K478" t="s">
        <v>1305</v>
      </c>
      <c r="L478" t="s">
        <v>1309</v>
      </c>
      <c r="M478" t="s">
        <v>1317</v>
      </c>
      <c r="N478">
        <v>2</v>
      </c>
      <c r="O478">
        <v>0.15</v>
      </c>
      <c r="P478">
        <v>1351.25</v>
      </c>
      <c r="Q478">
        <v>204.56</v>
      </c>
      <c r="R478" t="s">
        <v>1333</v>
      </c>
      <c r="S478" t="b">
        <f t="shared" si="28"/>
        <v>0</v>
      </c>
      <c r="T478" t="b">
        <f t="shared" si="29"/>
        <v>0</v>
      </c>
      <c r="U478" t="b">
        <f t="shared" si="30"/>
        <v>0</v>
      </c>
    </row>
    <row r="479" spans="1:21" x14ac:dyDescent="0.3">
      <c r="A479">
        <v>478</v>
      </c>
      <c r="B479" t="s">
        <v>494</v>
      </c>
      <c r="C479" s="2">
        <v>45707</v>
      </c>
      <c r="D479" s="2" t="str">
        <f t="shared" si="31"/>
        <v>Feb-2025</v>
      </c>
      <c r="E479" s="2">
        <v>45709</v>
      </c>
      <c r="F479" t="s">
        <v>1017</v>
      </c>
      <c r="G479" t="s">
        <v>1230</v>
      </c>
      <c r="H479" t="s">
        <v>1275</v>
      </c>
      <c r="I479" t="s">
        <v>1287</v>
      </c>
      <c r="J479" t="s">
        <v>1301</v>
      </c>
      <c r="K479" t="s">
        <v>1303</v>
      </c>
      <c r="L479" t="s">
        <v>1306</v>
      </c>
      <c r="M479" t="s">
        <v>1323</v>
      </c>
      <c r="N479">
        <v>1</v>
      </c>
      <c r="O479">
        <v>0.2</v>
      </c>
      <c r="P479">
        <v>147.15</v>
      </c>
      <c r="Q479">
        <v>14.45</v>
      </c>
      <c r="R479" t="s">
        <v>1331</v>
      </c>
      <c r="S479" t="b">
        <f t="shared" si="28"/>
        <v>0</v>
      </c>
      <c r="T479" t="b">
        <f t="shared" si="29"/>
        <v>0</v>
      </c>
      <c r="U479" t="b">
        <f t="shared" si="30"/>
        <v>0</v>
      </c>
    </row>
    <row r="480" spans="1:21" x14ac:dyDescent="0.3">
      <c r="A480">
        <v>479</v>
      </c>
      <c r="B480" t="s">
        <v>495</v>
      </c>
      <c r="C480" s="2">
        <v>45708</v>
      </c>
      <c r="D480" s="2" t="str">
        <f t="shared" si="31"/>
        <v>Feb-2025</v>
      </c>
      <c r="E480" s="2">
        <v>45710</v>
      </c>
      <c r="F480" t="s">
        <v>1017</v>
      </c>
      <c r="G480" t="s">
        <v>1132</v>
      </c>
      <c r="H480" t="s">
        <v>1279</v>
      </c>
      <c r="I480" t="s">
        <v>1287</v>
      </c>
      <c r="J480" t="s">
        <v>1292</v>
      </c>
      <c r="K480" t="s">
        <v>1303</v>
      </c>
      <c r="L480" t="s">
        <v>1307</v>
      </c>
      <c r="M480" t="s">
        <v>1311</v>
      </c>
      <c r="N480">
        <v>4</v>
      </c>
      <c r="O480">
        <v>0.1</v>
      </c>
      <c r="P480">
        <v>1122.68</v>
      </c>
      <c r="Q480">
        <v>271.44</v>
      </c>
      <c r="R480" t="s">
        <v>1333</v>
      </c>
      <c r="S480" t="b">
        <f t="shared" si="28"/>
        <v>0</v>
      </c>
      <c r="T480" t="b">
        <f t="shared" si="29"/>
        <v>0</v>
      </c>
      <c r="U480" t="b">
        <f t="shared" si="30"/>
        <v>0</v>
      </c>
    </row>
    <row r="481" spans="1:21" x14ac:dyDescent="0.3">
      <c r="A481">
        <v>480</v>
      </c>
      <c r="B481" t="s">
        <v>496</v>
      </c>
      <c r="C481" s="2">
        <v>45777</v>
      </c>
      <c r="D481" s="2" t="str">
        <f t="shared" si="31"/>
        <v>Apr-2025</v>
      </c>
      <c r="E481" s="2">
        <v>45780</v>
      </c>
      <c r="F481" t="s">
        <v>1017</v>
      </c>
      <c r="G481" t="s">
        <v>1231</v>
      </c>
      <c r="H481" t="s">
        <v>1269</v>
      </c>
      <c r="I481" t="s">
        <v>1289</v>
      </c>
      <c r="J481" t="s">
        <v>1295</v>
      </c>
      <c r="K481" t="s">
        <v>1305</v>
      </c>
      <c r="L481" t="s">
        <v>1307</v>
      </c>
      <c r="M481" t="s">
        <v>1322</v>
      </c>
      <c r="N481">
        <v>2</v>
      </c>
      <c r="O481">
        <v>0.1</v>
      </c>
      <c r="P481">
        <v>1279.1400000000001</v>
      </c>
      <c r="Q481">
        <v>332.58</v>
      </c>
      <c r="R481" t="s">
        <v>1331</v>
      </c>
      <c r="S481" t="b">
        <f t="shared" si="28"/>
        <v>0</v>
      </c>
      <c r="T481" t="b">
        <f t="shared" si="29"/>
        <v>0</v>
      </c>
      <c r="U481" t="b">
        <f t="shared" si="30"/>
        <v>0</v>
      </c>
    </row>
    <row r="482" spans="1:21" x14ac:dyDescent="0.3">
      <c r="A482">
        <v>481</v>
      </c>
      <c r="B482" t="s">
        <v>497</v>
      </c>
      <c r="C482" s="2">
        <v>45748</v>
      </c>
      <c r="D482" s="2" t="str">
        <f t="shared" si="31"/>
        <v>Apr-2025</v>
      </c>
      <c r="E482" s="2">
        <v>45752</v>
      </c>
      <c r="F482" t="s">
        <v>1017</v>
      </c>
      <c r="G482" t="s">
        <v>1183</v>
      </c>
      <c r="H482" t="s">
        <v>1273</v>
      </c>
      <c r="I482" t="s">
        <v>1287</v>
      </c>
      <c r="J482" t="s">
        <v>1294</v>
      </c>
      <c r="K482" t="s">
        <v>1305</v>
      </c>
      <c r="L482" t="s">
        <v>1308</v>
      </c>
      <c r="M482" t="s">
        <v>1319</v>
      </c>
      <c r="N482">
        <v>3</v>
      </c>
      <c r="O482">
        <v>0.15</v>
      </c>
      <c r="P482">
        <v>11861.73</v>
      </c>
      <c r="Q482">
        <v>844.91</v>
      </c>
      <c r="R482" t="s">
        <v>1330</v>
      </c>
      <c r="S482" t="b">
        <f t="shared" si="28"/>
        <v>0</v>
      </c>
      <c r="T482" t="b">
        <f t="shared" si="29"/>
        <v>0</v>
      </c>
      <c r="U482" t="b">
        <f t="shared" si="30"/>
        <v>0</v>
      </c>
    </row>
    <row r="483" spans="1:21" x14ac:dyDescent="0.3">
      <c r="A483">
        <v>482</v>
      </c>
      <c r="B483" t="s">
        <v>498</v>
      </c>
      <c r="C483" s="2">
        <v>45800</v>
      </c>
      <c r="D483" s="2" t="str">
        <f t="shared" si="31"/>
        <v>May-2025</v>
      </c>
      <c r="E483" s="2">
        <v>45804</v>
      </c>
      <c r="F483" t="s">
        <v>1017</v>
      </c>
      <c r="G483" t="s">
        <v>1209</v>
      </c>
      <c r="H483" t="s">
        <v>1272</v>
      </c>
      <c r="I483" t="s">
        <v>1287</v>
      </c>
      <c r="J483" t="s">
        <v>1290</v>
      </c>
      <c r="K483" t="s">
        <v>1302</v>
      </c>
      <c r="L483" t="s">
        <v>1306</v>
      </c>
      <c r="M483" t="s">
        <v>1324</v>
      </c>
      <c r="N483">
        <v>3</v>
      </c>
      <c r="O483">
        <v>0</v>
      </c>
      <c r="P483">
        <v>262.08</v>
      </c>
      <c r="Q483">
        <v>44.73</v>
      </c>
      <c r="R483" t="s">
        <v>1331</v>
      </c>
      <c r="S483" t="b">
        <f t="shared" si="28"/>
        <v>0</v>
      </c>
      <c r="T483" t="b">
        <f t="shared" si="29"/>
        <v>0</v>
      </c>
      <c r="U483" t="b">
        <f t="shared" si="30"/>
        <v>0</v>
      </c>
    </row>
    <row r="484" spans="1:21" x14ac:dyDescent="0.3">
      <c r="A484">
        <v>483</v>
      </c>
      <c r="B484" t="s">
        <v>499</v>
      </c>
      <c r="C484" s="2">
        <v>45991</v>
      </c>
      <c r="D484" s="2" t="str">
        <f t="shared" si="31"/>
        <v>Nov-2025</v>
      </c>
      <c r="E484" s="2">
        <v>45992</v>
      </c>
      <c r="F484" t="s">
        <v>1018</v>
      </c>
      <c r="G484" t="s">
        <v>1088</v>
      </c>
      <c r="H484" t="s">
        <v>1279</v>
      </c>
      <c r="I484" t="s">
        <v>1288</v>
      </c>
      <c r="J484" t="s">
        <v>1300</v>
      </c>
      <c r="K484" t="s">
        <v>1305</v>
      </c>
      <c r="L484" t="s">
        <v>1308</v>
      </c>
      <c r="M484" t="s">
        <v>1319</v>
      </c>
      <c r="N484">
        <v>1</v>
      </c>
      <c r="O484">
        <v>0</v>
      </c>
      <c r="P484">
        <v>4383.54</v>
      </c>
      <c r="Q484">
        <v>1420.31</v>
      </c>
      <c r="R484" t="s">
        <v>1331</v>
      </c>
      <c r="S484" t="b">
        <f t="shared" si="28"/>
        <v>0</v>
      </c>
      <c r="T484" t="b">
        <f t="shared" si="29"/>
        <v>0</v>
      </c>
      <c r="U484" t="b">
        <f t="shared" si="30"/>
        <v>0</v>
      </c>
    </row>
    <row r="485" spans="1:21" x14ac:dyDescent="0.3">
      <c r="A485">
        <v>484</v>
      </c>
      <c r="B485" t="s">
        <v>500</v>
      </c>
      <c r="C485" s="2">
        <v>45701</v>
      </c>
      <c r="D485" s="2" t="str">
        <f t="shared" si="31"/>
        <v>Feb-2025</v>
      </c>
      <c r="E485" s="2">
        <v>45705</v>
      </c>
      <c r="F485" t="s">
        <v>1018</v>
      </c>
      <c r="G485" t="s">
        <v>1041</v>
      </c>
      <c r="H485" t="s">
        <v>1276</v>
      </c>
      <c r="I485" t="s">
        <v>1287</v>
      </c>
      <c r="J485" t="s">
        <v>1295</v>
      </c>
      <c r="K485" t="s">
        <v>1305</v>
      </c>
      <c r="L485" t="s">
        <v>1309</v>
      </c>
      <c r="M485" t="s">
        <v>1329</v>
      </c>
      <c r="N485">
        <v>1</v>
      </c>
      <c r="O485">
        <v>0.1</v>
      </c>
      <c r="P485">
        <v>1637.43</v>
      </c>
      <c r="Q485">
        <v>204.69</v>
      </c>
      <c r="R485" t="s">
        <v>1334</v>
      </c>
      <c r="S485" t="b">
        <f t="shared" si="28"/>
        <v>0</v>
      </c>
      <c r="T485" t="b">
        <f t="shared" si="29"/>
        <v>0</v>
      </c>
      <c r="U485" t="b">
        <f t="shared" si="30"/>
        <v>0</v>
      </c>
    </row>
    <row r="486" spans="1:21" x14ac:dyDescent="0.3">
      <c r="A486">
        <v>485</v>
      </c>
      <c r="B486" t="s">
        <v>501</v>
      </c>
      <c r="C486" s="2">
        <v>46004</v>
      </c>
      <c r="D486" s="2" t="str">
        <f t="shared" si="31"/>
        <v>Dec-2025</v>
      </c>
      <c r="E486" s="2">
        <v>46005</v>
      </c>
      <c r="F486" t="s">
        <v>1017</v>
      </c>
      <c r="G486" t="s">
        <v>1125</v>
      </c>
      <c r="H486" t="s">
        <v>1273</v>
      </c>
      <c r="I486" t="s">
        <v>1289</v>
      </c>
      <c r="J486" t="s">
        <v>1294</v>
      </c>
      <c r="K486" t="s">
        <v>1305</v>
      </c>
      <c r="L486" t="s">
        <v>1309</v>
      </c>
      <c r="M486" t="s">
        <v>1320</v>
      </c>
      <c r="N486">
        <v>4</v>
      </c>
      <c r="O486">
        <v>0</v>
      </c>
      <c r="P486">
        <v>4737.01</v>
      </c>
      <c r="Q486">
        <v>837.93</v>
      </c>
      <c r="R486" t="s">
        <v>1333</v>
      </c>
      <c r="S486" t="b">
        <f t="shared" si="28"/>
        <v>0</v>
      </c>
      <c r="T486" t="b">
        <f t="shared" si="29"/>
        <v>0</v>
      </c>
      <c r="U486" t="b">
        <f t="shared" si="30"/>
        <v>0</v>
      </c>
    </row>
    <row r="487" spans="1:21" x14ac:dyDescent="0.3">
      <c r="A487">
        <v>486</v>
      </c>
      <c r="B487" t="s">
        <v>502</v>
      </c>
      <c r="C487" s="2">
        <v>45659</v>
      </c>
      <c r="D487" s="2" t="str">
        <f t="shared" si="31"/>
        <v>Jan-2025</v>
      </c>
      <c r="E487" s="2">
        <v>45664</v>
      </c>
      <c r="F487" t="s">
        <v>1017</v>
      </c>
      <c r="G487" t="s">
        <v>1207</v>
      </c>
      <c r="H487" t="s">
        <v>1276</v>
      </c>
      <c r="I487" t="s">
        <v>1287</v>
      </c>
      <c r="J487" t="s">
        <v>1293</v>
      </c>
      <c r="K487" t="s">
        <v>1304</v>
      </c>
      <c r="L487" t="s">
        <v>1306</v>
      </c>
      <c r="M487" t="s">
        <v>1323</v>
      </c>
      <c r="N487">
        <v>3</v>
      </c>
      <c r="O487">
        <v>0</v>
      </c>
      <c r="P487">
        <v>557.41999999999996</v>
      </c>
      <c r="Q487">
        <v>221.19</v>
      </c>
      <c r="R487" t="s">
        <v>1331</v>
      </c>
      <c r="S487" t="b">
        <f t="shared" si="28"/>
        <v>0</v>
      </c>
      <c r="T487" t="b">
        <f t="shared" si="29"/>
        <v>0</v>
      </c>
      <c r="U487" t="b">
        <f t="shared" si="30"/>
        <v>0</v>
      </c>
    </row>
    <row r="488" spans="1:21" x14ac:dyDescent="0.3">
      <c r="A488">
        <v>487</v>
      </c>
      <c r="B488" t="s">
        <v>503</v>
      </c>
      <c r="C488" s="2">
        <v>45980</v>
      </c>
      <c r="D488" s="2" t="str">
        <f t="shared" si="31"/>
        <v>Nov-2025</v>
      </c>
      <c r="E488" s="2">
        <v>45981</v>
      </c>
      <c r="F488" t="s">
        <v>1017</v>
      </c>
      <c r="G488" t="s">
        <v>1232</v>
      </c>
      <c r="H488" t="s">
        <v>1272</v>
      </c>
      <c r="I488" t="s">
        <v>1288</v>
      </c>
      <c r="J488" t="s">
        <v>1294</v>
      </c>
      <c r="K488" t="s">
        <v>1305</v>
      </c>
      <c r="L488" t="s">
        <v>1308</v>
      </c>
      <c r="M488" t="s">
        <v>1326</v>
      </c>
      <c r="N488">
        <v>3</v>
      </c>
      <c r="O488">
        <v>0.1</v>
      </c>
      <c r="P488">
        <v>18966.32</v>
      </c>
      <c r="Q488">
        <v>2336.94</v>
      </c>
      <c r="R488" t="s">
        <v>1332</v>
      </c>
      <c r="S488" t="b">
        <f t="shared" si="28"/>
        <v>0</v>
      </c>
      <c r="T488" t="b">
        <f t="shared" si="29"/>
        <v>0</v>
      </c>
      <c r="U488" t="b">
        <f t="shared" si="30"/>
        <v>0</v>
      </c>
    </row>
    <row r="489" spans="1:21" x14ac:dyDescent="0.3">
      <c r="A489">
        <v>488</v>
      </c>
      <c r="B489" t="s">
        <v>504</v>
      </c>
      <c r="C489" s="2">
        <v>45966</v>
      </c>
      <c r="D489" s="2" t="str">
        <f t="shared" si="31"/>
        <v>Nov-2025</v>
      </c>
      <c r="E489" s="2">
        <v>45970</v>
      </c>
      <c r="F489" t="s">
        <v>1018</v>
      </c>
      <c r="G489" t="s">
        <v>1192</v>
      </c>
      <c r="H489" t="s">
        <v>1269</v>
      </c>
      <c r="I489" t="s">
        <v>1288</v>
      </c>
      <c r="J489" t="s">
        <v>1294</v>
      </c>
      <c r="K489" t="s">
        <v>1305</v>
      </c>
      <c r="L489" t="s">
        <v>1308</v>
      </c>
      <c r="M489" t="s">
        <v>1327</v>
      </c>
      <c r="N489">
        <v>3</v>
      </c>
      <c r="O489">
        <v>0.2</v>
      </c>
      <c r="P489">
        <v>4318.41</v>
      </c>
      <c r="Q489">
        <v>481.19</v>
      </c>
      <c r="R489" t="s">
        <v>1334</v>
      </c>
      <c r="S489" t="b">
        <f t="shared" si="28"/>
        <v>0</v>
      </c>
      <c r="T489" t="b">
        <f t="shared" si="29"/>
        <v>0</v>
      </c>
      <c r="U489" t="b">
        <f t="shared" si="30"/>
        <v>0</v>
      </c>
    </row>
    <row r="490" spans="1:21" x14ac:dyDescent="0.3">
      <c r="A490">
        <v>489</v>
      </c>
      <c r="B490" t="s">
        <v>505</v>
      </c>
      <c r="C490" s="2">
        <v>45911</v>
      </c>
      <c r="D490" s="2" t="str">
        <f t="shared" si="31"/>
        <v>Sep-2025</v>
      </c>
      <c r="E490" s="2">
        <v>45915</v>
      </c>
      <c r="F490" t="s">
        <v>1017</v>
      </c>
      <c r="G490" t="s">
        <v>1188</v>
      </c>
      <c r="H490" t="s">
        <v>1269</v>
      </c>
      <c r="I490" t="s">
        <v>1288</v>
      </c>
      <c r="J490" t="s">
        <v>1295</v>
      </c>
      <c r="K490" t="s">
        <v>1305</v>
      </c>
      <c r="L490" t="s">
        <v>1309</v>
      </c>
      <c r="M490" t="s">
        <v>1320</v>
      </c>
      <c r="N490">
        <v>4</v>
      </c>
      <c r="O490">
        <v>0</v>
      </c>
      <c r="P490">
        <v>4618.0200000000004</v>
      </c>
      <c r="Q490">
        <v>953.88</v>
      </c>
      <c r="R490" t="s">
        <v>1331</v>
      </c>
      <c r="S490" t="b">
        <f t="shared" si="28"/>
        <v>0</v>
      </c>
      <c r="T490" t="b">
        <f t="shared" si="29"/>
        <v>0</v>
      </c>
      <c r="U490" t="b">
        <f t="shared" si="30"/>
        <v>0</v>
      </c>
    </row>
    <row r="491" spans="1:21" x14ac:dyDescent="0.3">
      <c r="A491">
        <v>490</v>
      </c>
      <c r="B491" t="s">
        <v>506</v>
      </c>
      <c r="C491" s="2">
        <v>45920</v>
      </c>
      <c r="D491" s="2" t="str">
        <f t="shared" si="31"/>
        <v>Sep-2025</v>
      </c>
      <c r="E491" s="2">
        <v>45924</v>
      </c>
      <c r="F491" t="s">
        <v>1017</v>
      </c>
      <c r="G491" t="s">
        <v>1135</v>
      </c>
      <c r="H491" t="s">
        <v>1269</v>
      </c>
      <c r="I491" t="s">
        <v>1287</v>
      </c>
      <c r="J491" t="s">
        <v>1295</v>
      </c>
      <c r="K491" t="s">
        <v>1305</v>
      </c>
      <c r="L491" t="s">
        <v>1309</v>
      </c>
      <c r="M491" t="s">
        <v>1317</v>
      </c>
      <c r="N491">
        <v>4</v>
      </c>
      <c r="O491">
        <v>0</v>
      </c>
      <c r="P491">
        <v>3225.91</v>
      </c>
      <c r="Q491">
        <v>1163.1400000000001</v>
      </c>
      <c r="R491" t="s">
        <v>1334</v>
      </c>
      <c r="S491" t="b">
        <f t="shared" si="28"/>
        <v>0</v>
      </c>
      <c r="T491" t="b">
        <f t="shared" si="29"/>
        <v>0</v>
      </c>
      <c r="U491" t="b">
        <f t="shared" si="30"/>
        <v>0</v>
      </c>
    </row>
    <row r="492" spans="1:21" x14ac:dyDescent="0.3">
      <c r="A492">
        <v>491</v>
      </c>
      <c r="B492" t="s">
        <v>507</v>
      </c>
      <c r="C492" s="2">
        <v>45843</v>
      </c>
      <c r="D492" s="2" t="str">
        <f t="shared" si="31"/>
        <v>Jul-2025</v>
      </c>
      <c r="E492" s="2">
        <v>45848</v>
      </c>
      <c r="F492" t="s">
        <v>1017</v>
      </c>
      <c r="G492" t="s">
        <v>1188</v>
      </c>
      <c r="H492" t="s">
        <v>1269</v>
      </c>
      <c r="I492" t="s">
        <v>1287</v>
      </c>
      <c r="J492" t="s">
        <v>1294</v>
      </c>
      <c r="K492" t="s">
        <v>1305</v>
      </c>
      <c r="L492" t="s">
        <v>1308</v>
      </c>
      <c r="M492" t="s">
        <v>1318</v>
      </c>
      <c r="N492">
        <v>1</v>
      </c>
      <c r="O492">
        <v>0.1</v>
      </c>
      <c r="P492">
        <v>4896.7299999999996</v>
      </c>
      <c r="Q492">
        <v>554.5</v>
      </c>
      <c r="R492" t="s">
        <v>1334</v>
      </c>
      <c r="S492" t="b">
        <f t="shared" si="28"/>
        <v>0</v>
      </c>
      <c r="T492" t="b">
        <f t="shared" si="29"/>
        <v>0</v>
      </c>
      <c r="U492" t="b">
        <f t="shared" si="30"/>
        <v>0</v>
      </c>
    </row>
    <row r="493" spans="1:21" x14ac:dyDescent="0.3">
      <c r="A493">
        <v>492</v>
      </c>
      <c r="B493" t="s">
        <v>508</v>
      </c>
      <c r="C493" s="2">
        <v>45674</v>
      </c>
      <c r="D493" s="2" t="str">
        <f t="shared" si="31"/>
        <v>Jan-2025</v>
      </c>
      <c r="E493" s="2">
        <v>45677</v>
      </c>
      <c r="F493" t="s">
        <v>1017</v>
      </c>
      <c r="G493" t="s">
        <v>1233</v>
      </c>
      <c r="H493" t="s">
        <v>1283</v>
      </c>
      <c r="I493" t="s">
        <v>1289</v>
      </c>
      <c r="J493" t="s">
        <v>1294</v>
      </c>
      <c r="K493" t="s">
        <v>1305</v>
      </c>
      <c r="L493" t="s">
        <v>1307</v>
      </c>
      <c r="M493" t="s">
        <v>1311</v>
      </c>
      <c r="N493">
        <v>1</v>
      </c>
      <c r="O493">
        <v>0.1</v>
      </c>
      <c r="P493">
        <v>262.06</v>
      </c>
      <c r="Q493">
        <v>29.2</v>
      </c>
      <c r="R493" t="s">
        <v>1332</v>
      </c>
      <c r="S493" t="b">
        <f t="shared" si="28"/>
        <v>0</v>
      </c>
      <c r="T493" t="b">
        <f t="shared" si="29"/>
        <v>0</v>
      </c>
      <c r="U493" t="b">
        <f t="shared" si="30"/>
        <v>0</v>
      </c>
    </row>
    <row r="494" spans="1:21" x14ac:dyDescent="0.3">
      <c r="A494">
        <v>493</v>
      </c>
      <c r="B494" t="s">
        <v>509</v>
      </c>
      <c r="C494" s="2">
        <v>45673</v>
      </c>
      <c r="D494" s="2" t="str">
        <f t="shared" si="31"/>
        <v>Jan-2025</v>
      </c>
      <c r="E494" s="2">
        <v>45677</v>
      </c>
      <c r="F494" t="s">
        <v>1017</v>
      </c>
      <c r="G494" t="s">
        <v>1234</v>
      </c>
      <c r="H494" t="s">
        <v>1275</v>
      </c>
      <c r="I494" t="s">
        <v>1287</v>
      </c>
      <c r="J494" t="s">
        <v>1299</v>
      </c>
      <c r="K494" t="s">
        <v>1304</v>
      </c>
      <c r="L494" t="s">
        <v>1309</v>
      </c>
      <c r="M494" t="s">
        <v>1325</v>
      </c>
      <c r="N494">
        <v>1</v>
      </c>
      <c r="O494">
        <v>0.05</v>
      </c>
      <c r="P494">
        <v>1209.18</v>
      </c>
      <c r="Q494">
        <v>229.12</v>
      </c>
      <c r="R494" t="s">
        <v>1333</v>
      </c>
      <c r="S494" t="b">
        <f t="shared" si="28"/>
        <v>0</v>
      </c>
      <c r="T494" t="b">
        <f t="shared" si="29"/>
        <v>0</v>
      </c>
      <c r="U494" t="b">
        <f t="shared" si="30"/>
        <v>0</v>
      </c>
    </row>
    <row r="495" spans="1:21" x14ac:dyDescent="0.3">
      <c r="A495">
        <v>494</v>
      </c>
      <c r="B495" t="s">
        <v>510</v>
      </c>
      <c r="C495" s="2">
        <v>45916</v>
      </c>
      <c r="D495" s="2" t="str">
        <f t="shared" si="31"/>
        <v>Sep-2025</v>
      </c>
      <c r="E495" s="2">
        <v>45920</v>
      </c>
      <c r="F495" t="s">
        <v>1017</v>
      </c>
      <c r="G495" t="s">
        <v>1223</v>
      </c>
      <c r="H495" t="s">
        <v>1280</v>
      </c>
      <c r="I495" t="s">
        <v>1288</v>
      </c>
      <c r="J495" t="s">
        <v>1293</v>
      </c>
      <c r="K495" t="s">
        <v>1304</v>
      </c>
      <c r="L495" t="s">
        <v>1309</v>
      </c>
      <c r="M495" t="s">
        <v>1317</v>
      </c>
      <c r="N495">
        <v>1</v>
      </c>
      <c r="O495">
        <v>0.15</v>
      </c>
      <c r="P495">
        <v>697.89</v>
      </c>
      <c r="Q495">
        <v>148.38</v>
      </c>
      <c r="R495" t="s">
        <v>1331</v>
      </c>
      <c r="S495" t="b">
        <f t="shared" si="28"/>
        <v>0</v>
      </c>
      <c r="T495" t="b">
        <f t="shared" si="29"/>
        <v>0</v>
      </c>
      <c r="U495" t="b">
        <f t="shared" si="30"/>
        <v>0</v>
      </c>
    </row>
    <row r="496" spans="1:21" x14ac:dyDescent="0.3">
      <c r="A496">
        <v>495</v>
      </c>
      <c r="B496" t="s">
        <v>511</v>
      </c>
      <c r="C496" s="2">
        <v>45688</v>
      </c>
      <c r="D496" s="2" t="str">
        <f t="shared" si="31"/>
        <v>Jan-2025</v>
      </c>
      <c r="E496" s="2">
        <v>45691</v>
      </c>
      <c r="F496" t="s">
        <v>1017</v>
      </c>
      <c r="G496" t="s">
        <v>1204</v>
      </c>
      <c r="H496" t="s">
        <v>1283</v>
      </c>
      <c r="I496" t="s">
        <v>1287</v>
      </c>
      <c r="J496" t="s">
        <v>1301</v>
      </c>
      <c r="K496" t="s">
        <v>1303</v>
      </c>
      <c r="L496" t="s">
        <v>1307</v>
      </c>
      <c r="M496" t="s">
        <v>1311</v>
      </c>
      <c r="N496">
        <v>1</v>
      </c>
      <c r="O496">
        <v>0.2</v>
      </c>
      <c r="P496">
        <v>248.91</v>
      </c>
      <c r="Q496">
        <v>55.96</v>
      </c>
      <c r="R496" t="s">
        <v>1331</v>
      </c>
      <c r="S496" t="b">
        <f t="shared" si="28"/>
        <v>0</v>
      </c>
      <c r="T496" t="b">
        <f t="shared" si="29"/>
        <v>0</v>
      </c>
      <c r="U496" t="b">
        <f t="shared" si="30"/>
        <v>0</v>
      </c>
    </row>
    <row r="497" spans="1:21" x14ac:dyDescent="0.3">
      <c r="A497">
        <v>496</v>
      </c>
      <c r="B497" t="s">
        <v>512</v>
      </c>
      <c r="C497" s="2">
        <v>45694</v>
      </c>
      <c r="D497" s="2" t="str">
        <f t="shared" si="31"/>
        <v>Feb-2025</v>
      </c>
      <c r="E497" s="2">
        <v>45696</v>
      </c>
      <c r="F497" t="s">
        <v>1017</v>
      </c>
      <c r="G497" t="s">
        <v>1199</v>
      </c>
      <c r="H497" t="s">
        <v>1270</v>
      </c>
      <c r="I497" t="s">
        <v>1287</v>
      </c>
      <c r="J497" t="s">
        <v>1294</v>
      </c>
      <c r="K497" t="s">
        <v>1305</v>
      </c>
      <c r="L497" t="s">
        <v>1307</v>
      </c>
      <c r="M497" t="s">
        <v>1322</v>
      </c>
      <c r="N497">
        <v>1</v>
      </c>
      <c r="O497">
        <v>0</v>
      </c>
      <c r="P497">
        <v>698.55</v>
      </c>
      <c r="Q497">
        <v>201.76</v>
      </c>
      <c r="R497" t="s">
        <v>1331</v>
      </c>
      <c r="S497" t="b">
        <f t="shared" si="28"/>
        <v>0</v>
      </c>
      <c r="T497" t="b">
        <f t="shared" si="29"/>
        <v>0</v>
      </c>
      <c r="U497" t="b">
        <f t="shared" si="30"/>
        <v>0</v>
      </c>
    </row>
    <row r="498" spans="1:21" x14ac:dyDescent="0.3">
      <c r="A498">
        <v>497</v>
      </c>
      <c r="B498" t="s">
        <v>513</v>
      </c>
      <c r="C498" s="2">
        <v>45757</v>
      </c>
      <c r="D498" s="2" t="str">
        <f t="shared" si="31"/>
        <v>Apr-2025</v>
      </c>
      <c r="E498" s="2">
        <v>45760</v>
      </c>
      <c r="F498" t="s">
        <v>1017</v>
      </c>
      <c r="G498" t="s">
        <v>1235</v>
      </c>
      <c r="H498" t="s">
        <v>1269</v>
      </c>
      <c r="I498" t="s">
        <v>1287</v>
      </c>
      <c r="J498" t="s">
        <v>1290</v>
      </c>
      <c r="K498" t="s">
        <v>1302</v>
      </c>
      <c r="L498" t="s">
        <v>1309</v>
      </c>
      <c r="M498" t="s">
        <v>1329</v>
      </c>
      <c r="N498">
        <v>3</v>
      </c>
      <c r="O498">
        <v>0.15</v>
      </c>
      <c r="P498">
        <v>4673.58</v>
      </c>
      <c r="Q498">
        <v>817.08</v>
      </c>
      <c r="R498" t="s">
        <v>1331</v>
      </c>
      <c r="S498" t="b">
        <f t="shared" si="28"/>
        <v>0</v>
      </c>
      <c r="T498" t="b">
        <f t="shared" si="29"/>
        <v>0</v>
      </c>
      <c r="U498" t="b">
        <f t="shared" si="30"/>
        <v>0</v>
      </c>
    </row>
    <row r="499" spans="1:21" x14ac:dyDescent="0.3">
      <c r="A499">
        <v>498</v>
      </c>
      <c r="B499" t="s">
        <v>514</v>
      </c>
      <c r="C499" s="2">
        <v>45716</v>
      </c>
      <c r="D499" s="2" t="str">
        <f t="shared" si="31"/>
        <v>Feb-2025</v>
      </c>
      <c r="E499" s="2">
        <v>45718</v>
      </c>
      <c r="F499" t="s">
        <v>1019</v>
      </c>
      <c r="G499" t="s">
        <v>1114</v>
      </c>
      <c r="H499" t="s">
        <v>1281</v>
      </c>
      <c r="I499" t="s">
        <v>1288</v>
      </c>
      <c r="J499" t="s">
        <v>1297</v>
      </c>
      <c r="K499" t="s">
        <v>1304</v>
      </c>
      <c r="L499" t="s">
        <v>1308</v>
      </c>
      <c r="M499" t="s">
        <v>1312</v>
      </c>
      <c r="N499">
        <v>3</v>
      </c>
      <c r="O499">
        <v>0</v>
      </c>
      <c r="P499">
        <v>3909.8</v>
      </c>
      <c r="Q499">
        <v>1126.31</v>
      </c>
      <c r="R499" t="s">
        <v>1331</v>
      </c>
      <c r="S499" t="b">
        <f t="shared" si="28"/>
        <v>0</v>
      </c>
      <c r="T499" t="b">
        <f t="shared" si="29"/>
        <v>0</v>
      </c>
      <c r="U499" t="b">
        <f t="shared" si="30"/>
        <v>0</v>
      </c>
    </row>
    <row r="500" spans="1:21" x14ac:dyDescent="0.3">
      <c r="A500">
        <v>499</v>
      </c>
      <c r="B500" t="s">
        <v>515</v>
      </c>
      <c r="C500" s="2">
        <v>46021</v>
      </c>
      <c r="D500" s="2" t="str">
        <f t="shared" si="31"/>
        <v>Dec-2025</v>
      </c>
      <c r="E500" s="2">
        <v>46025</v>
      </c>
      <c r="F500" t="s">
        <v>1017</v>
      </c>
      <c r="G500" t="s">
        <v>1191</v>
      </c>
      <c r="H500" t="s">
        <v>1274</v>
      </c>
      <c r="I500" t="s">
        <v>1287</v>
      </c>
      <c r="J500" t="s">
        <v>1296</v>
      </c>
      <c r="K500" t="s">
        <v>1304</v>
      </c>
      <c r="L500" t="s">
        <v>1306</v>
      </c>
      <c r="M500" t="s">
        <v>1328</v>
      </c>
      <c r="N500">
        <v>5</v>
      </c>
      <c r="O500">
        <v>0</v>
      </c>
      <c r="P500">
        <v>580.4</v>
      </c>
      <c r="Q500">
        <v>121.43</v>
      </c>
      <c r="R500" t="s">
        <v>1332</v>
      </c>
      <c r="S500" t="b">
        <f t="shared" si="28"/>
        <v>0</v>
      </c>
      <c r="T500" t="b">
        <f t="shared" si="29"/>
        <v>0</v>
      </c>
      <c r="U500" t="b">
        <f t="shared" si="30"/>
        <v>0</v>
      </c>
    </row>
    <row r="501" spans="1:21" x14ac:dyDescent="0.3">
      <c r="A501">
        <v>500</v>
      </c>
      <c r="B501" t="s">
        <v>516</v>
      </c>
      <c r="C501" s="2">
        <v>45808</v>
      </c>
      <c r="D501" s="2" t="str">
        <f t="shared" si="31"/>
        <v>May-2025</v>
      </c>
      <c r="E501" s="2">
        <v>45813</v>
      </c>
      <c r="F501" t="s">
        <v>1017</v>
      </c>
      <c r="G501" t="s">
        <v>1215</v>
      </c>
      <c r="H501" t="s">
        <v>1272</v>
      </c>
      <c r="I501" t="s">
        <v>1288</v>
      </c>
      <c r="J501" t="s">
        <v>1291</v>
      </c>
      <c r="K501" t="s">
        <v>1302</v>
      </c>
      <c r="L501" t="s">
        <v>1307</v>
      </c>
      <c r="M501" t="s">
        <v>1315</v>
      </c>
      <c r="N501">
        <v>4</v>
      </c>
      <c r="O501">
        <v>0</v>
      </c>
      <c r="P501">
        <v>7475.74</v>
      </c>
      <c r="Q501">
        <v>2925.46</v>
      </c>
      <c r="R501" t="s">
        <v>1332</v>
      </c>
      <c r="S501" t="b">
        <f t="shared" si="28"/>
        <v>0</v>
      </c>
      <c r="T501" t="b">
        <f t="shared" si="29"/>
        <v>0</v>
      </c>
      <c r="U501" t="b">
        <f t="shared" si="30"/>
        <v>0</v>
      </c>
    </row>
    <row r="502" spans="1:21" x14ac:dyDescent="0.3">
      <c r="A502">
        <v>501</v>
      </c>
      <c r="B502" t="s">
        <v>517</v>
      </c>
      <c r="C502" s="2">
        <v>45883</v>
      </c>
      <c r="D502" s="2" t="str">
        <f t="shared" si="31"/>
        <v>Aug-2025</v>
      </c>
      <c r="E502" s="2">
        <v>45886</v>
      </c>
      <c r="F502" t="s">
        <v>1017</v>
      </c>
      <c r="G502" t="s">
        <v>1103</v>
      </c>
      <c r="H502" t="s">
        <v>1275</v>
      </c>
      <c r="I502" t="s">
        <v>1287</v>
      </c>
      <c r="J502" t="s">
        <v>1299</v>
      </c>
      <c r="K502" t="s">
        <v>1304</v>
      </c>
      <c r="L502" t="s">
        <v>1306</v>
      </c>
      <c r="M502" t="s">
        <v>1321</v>
      </c>
      <c r="N502">
        <v>1</v>
      </c>
      <c r="O502">
        <v>0.2</v>
      </c>
      <c r="P502">
        <v>373.77</v>
      </c>
      <c r="Q502">
        <v>43.32</v>
      </c>
      <c r="R502" t="s">
        <v>1331</v>
      </c>
      <c r="S502" t="b">
        <f t="shared" si="28"/>
        <v>0</v>
      </c>
      <c r="T502" t="b">
        <f t="shared" si="29"/>
        <v>0</v>
      </c>
      <c r="U502" t="b">
        <f t="shared" si="30"/>
        <v>0</v>
      </c>
    </row>
    <row r="503" spans="1:21" x14ac:dyDescent="0.3">
      <c r="A503">
        <v>502</v>
      </c>
      <c r="B503" t="s">
        <v>518</v>
      </c>
      <c r="C503" s="2">
        <v>45995</v>
      </c>
      <c r="D503" s="2" t="str">
        <f t="shared" si="31"/>
        <v>Dec-2025</v>
      </c>
      <c r="E503" s="2">
        <v>46000</v>
      </c>
      <c r="F503" t="s">
        <v>1019</v>
      </c>
      <c r="G503" t="s">
        <v>1235</v>
      </c>
      <c r="H503" t="s">
        <v>1281</v>
      </c>
      <c r="I503" t="s">
        <v>1288</v>
      </c>
      <c r="J503" t="s">
        <v>1301</v>
      </c>
      <c r="K503" t="s">
        <v>1303</v>
      </c>
      <c r="L503" t="s">
        <v>1306</v>
      </c>
      <c r="M503" t="s">
        <v>1323</v>
      </c>
      <c r="N503">
        <v>1</v>
      </c>
      <c r="O503">
        <v>0</v>
      </c>
      <c r="P503">
        <v>172.82</v>
      </c>
      <c r="Q503">
        <v>54.06</v>
      </c>
      <c r="R503" t="s">
        <v>1331</v>
      </c>
      <c r="S503" t="b">
        <f t="shared" si="28"/>
        <v>0</v>
      </c>
      <c r="T503" t="b">
        <f t="shared" si="29"/>
        <v>0</v>
      </c>
      <c r="U503" t="b">
        <f t="shared" si="30"/>
        <v>0</v>
      </c>
    </row>
    <row r="504" spans="1:21" x14ac:dyDescent="0.3">
      <c r="A504">
        <v>503</v>
      </c>
      <c r="B504" t="s">
        <v>519</v>
      </c>
      <c r="C504" s="2">
        <v>45856</v>
      </c>
      <c r="D504" s="2" t="str">
        <f t="shared" si="31"/>
        <v>Jul-2025</v>
      </c>
      <c r="E504" s="2">
        <v>45861</v>
      </c>
      <c r="F504" t="s">
        <v>1017</v>
      </c>
      <c r="G504" t="s">
        <v>1207</v>
      </c>
      <c r="H504" t="s">
        <v>1270</v>
      </c>
      <c r="I504" t="s">
        <v>1287</v>
      </c>
      <c r="J504" t="s">
        <v>1294</v>
      </c>
      <c r="K504" t="s">
        <v>1305</v>
      </c>
      <c r="L504" t="s">
        <v>1307</v>
      </c>
      <c r="M504" t="s">
        <v>1314</v>
      </c>
      <c r="N504">
        <v>5</v>
      </c>
      <c r="O504">
        <v>0.1</v>
      </c>
      <c r="P504">
        <v>4215.43</v>
      </c>
      <c r="Q504">
        <v>843.95</v>
      </c>
      <c r="R504" t="s">
        <v>1331</v>
      </c>
      <c r="S504" t="b">
        <f t="shared" si="28"/>
        <v>0</v>
      </c>
      <c r="T504" t="b">
        <f t="shared" si="29"/>
        <v>0</v>
      </c>
      <c r="U504" t="b">
        <f t="shared" si="30"/>
        <v>0</v>
      </c>
    </row>
    <row r="505" spans="1:21" x14ac:dyDescent="0.3">
      <c r="A505">
        <v>504</v>
      </c>
      <c r="B505" t="s">
        <v>520</v>
      </c>
      <c r="C505" s="2">
        <v>45757</v>
      </c>
      <c r="D505" s="2" t="str">
        <f t="shared" si="31"/>
        <v>Apr-2025</v>
      </c>
      <c r="E505" s="2">
        <v>45762</v>
      </c>
      <c r="F505" t="s">
        <v>1017</v>
      </c>
      <c r="G505" t="s">
        <v>1175</v>
      </c>
      <c r="H505" t="s">
        <v>1271</v>
      </c>
      <c r="I505" t="s">
        <v>1287</v>
      </c>
      <c r="J505" t="s">
        <v>1301</v>
      </c>
      <c r="K505" t="s">
        <v>1303</v>
      </c>
      <c r="L505" t="s">
        <v>1306</v>
      </c>
      <c r="M505" t="s">
        <v>1328</v>
      </c>
      <c r="N505">
        <v>1</v>
      </c>
      <c r="O505">
        <v>0.1</v>
      </c>
      <c r="P505">
        <v>103.73</v>
      </c>
      <c r="Q505">
        <v>22.9</v>
      </c>
      <c r="R505" t="s">
        <v>1332</v>
      </c>
      <c r="S505" t="b">
        <f t="shared" si="28"/>
        <v>0</v>
      </c>
      <c r="T505" t="b">
        <f t="shared" si="29"/>
        <v>0</v>
      </c>
      <c r="U505" t="b">
        <f t="shared" si="30"/>
        <v>0</v>
      </c>
    </row>
    <row r="506" spans="1:21" x14ac:dyDescent="0.3">
      <c r="A506">
        <v>505</v>
      </c>
      <c r="B506" t="s">
        <v>521</v>
      </c>
      <c r="C506" s="2">
        <v>45710</v>
      </c>
      <c r="D506" s="2" t="str">
        <f t="shared" si="31"/>
        <v>Feb-2025</v>
      </c>
      <c r="E506" s="2">
        <v>45712</v>
      </c>
      <c r="F506" t="s">
        <v>1017</v>
      </c>
      <c r="G506" t="s">
        <v>1111</v>
      </c>
      <c r="H506" t="s">
        <v>1274</v>
      </c>
      <c r="I506" t="s">
        <v>1287</v>
      </c>
      <c r="J506" t="s">
        <v>1292</v>
      </c>
      <c r="K506" t="s">
        <v>1303</v>
      </c>
      <c r="L506" t="s">
        <v>1306</v>
      </c>
      <c r="M506" t="s">
        <v>1324</v>
      </c>
      <c r="N506">
        <v>2</v>
      </c>
      <c r="O506">
        <v>0</v>
      </c>
      <c r="P506">
        <v>188.21</v>
      </c>
      <c r="Q506">
        <v>74.08</v>
      </c>
      <c r="R506" t="s">
        <v>1331</v>
      </c>
      <c r="S506" t="b">
        <f t="shared" si="28"/>
        <v>0</v>
      </c>
      <c r="T506" t="b">
        <f t="shared" si="29"/>
        <v>0</v>
      </c>
      <c r="U506" t="b">
        <f t="shared" si="30"/>
        <v>0</v>
      </c>
    </row>
    <row r="507" spans="1:21" x14ac:dyDescent="0.3">
      <c r="A507">
        <v>506</v>
      </c>
      <c r="B507" t="s">
        <v>522</v>
      </c>
      <c r="C507" s="2">
        <v>46017</v>
      </c>
      <c r="D507" s="2" t="str">
        <f t="shared" si="31"/>
        <v>Dec-2025</v>
      </c>
      <c r="E507" s="2">
        <v>46020</v>
      </c>
      <c r="F507" t="s">
        <v>1017</v>
      </c>
      <c r="G507" t="s">
        <v>1236</v>
      </c>
      <c r="H507" t="s">
        <v>1270</v>
      </c>
      <c r="I507" t="s">
        <v>1288</v>
      </c>
      <c r="J507" t="s">
        <v>1295</v>
      </c>
      <c r="K507" t="s">
        <v>1305</v>
      </c>
      <c r="L507" t="s">
        <v>1306</v>
      </c>
      <c r="M507" t="s">
        <v>1328</v>
      </c>
      <c r="N507">
        <v>4</v>
      </c>
      <c r="O507">
        <v>0.1</v>
      </c>
      <c r="P507">
        <v>427.28</v>
      </c>
      <c r="Q507">
        <v>65.760000000000005</v>
      </c>
      <c r="R507" t="s">
        <v>1333</v>
      </c>
      <c r="S507" t="b">
        <f t="shared" si="28"/>
        <v>0</v>
      </c>
      <c r="T507" t="b">
        <f t="shared" si="29"/>
        <v>0</v>
      </c>
      <c r="U507" t="b">
        <f t="shared" si="30"/>
        <v>0</v>
      </c>
    </row>
    <row r="508" spans="1:21" x14ac:dyDescent="0.3">
      <c r="A508">
        <v>507</v>
      </c>
      <c r="B508" t="s">
        <v>523</v>
      </c>
      <c r="C508" s="2">
        <v>45938</v>
      </c>
      <c r="D508" s="2" t="str">
        <f t="shared" si="31"/>
        <v>Oct-2025</v>
      </c>
      <c r="E508" s="2">
        <v>45941</v>
      </c>
      <c r="F508" t="s">
        <v>1017</v>
      </c>
      <c r="G508" t="s">
        <v>1230</v>
      </c>
      <c r="H508" t="s">
        <v>1283</v>
      </c>
      <c r="I508" t="s">
        <v>1287</v>
      </c>
      <c r="J508" t="s">
        <v>1295</v>
      </c>
      <c r="K508" t="s">
        <v>1305</v>
      </c>
      <c r="L508" t="s">
        <v>1306</v>
      </c>
      <c r="M508" t="s">
        <v>1323</v>
      </c>
      <c r="N508">
        <v>1</v>
      </c>
      <c r="O508">
        <v>0</v>
      </c>
      <c r="P508">
        <v>187.05</v>
      </c>
      <c r="Q508">
        <v>65.11</v>
      </c>
      <c r="R508" t="s">
        <v>1332</v>
      </c>
      <c r="S508" t="b">
        <f t="shared" si="28"/>
        <v>0</v>
      </c>
      <c r="T508" t="b">
        <f t="shared" si="29"/>
        <v>0</v>
      </c>
      <c r="U508" t="b">
        <f t="shared" si="30"/>
        <v>0</v>
      </c>
    </row>
    <row r="509" spans="1:21" x14ac:dyDescent="0.3">
      <c r="A509">
        <v>508</v>
      </c>
      <c r="B509" t="s">
        <v>524</v>
      </c>
      <c r="C509" s="2">
        <v>46014</v>
      </c>
      <c r="D509" s="2" t="str">
        <f t="shared" si="31"/>
        <v>Dec-2025</v>
      </c>
      <c r="E509" s="2">
        <v>46015</v>
      </c>
      <c r="F509" t="s">
        <v>1017</v>
      </c>
      <c r="G509" t="s">
        <v>1182</v>
      </c>
      <c r="H509" t="s">
        <v>1281</v>
      </c>
      <c r="I509" t="s">
        <v>1287</v>
      </c>
      <c r="J509" t="s">
        <v>1295</v>
      </c>
      <c r="K509" t="s">
        <v>1305</v>
      </c>
      <c r="L509" t="s">
        <v>1308</v>
      </c>
      <c r="M509" t="s">
        <v>1318</v>
      </c>
      <c r="N509">
        <v>2</v>
      </c>
      <c r="O509">
        <v>0.1</v>
      </c>
      <c r="P509">
        <v>9860.6299999999992</v>
      </c>
      <c r="Q509">
        <v>1055.57</v>
      </c>
      <c r="R509" t="s">
        <v>1330</v>
      </c>
      <c r="S509" t="b">
        <f t="shared" si="28"/>
        <v>0</v>
      </c>
      <c r="T509" t="b">
        <f t="shared" si="29"/>
        <v>0</v>
      </c>
      <c r="U509" t="b">
        <f t="shared" si="30"/>
        <v>0</v>
      </c>
    </row>
    <row r="510" spans="1:21" x14ac:dyDescent="0.3">
      <c r="A510">
        <v>509</v>
      </c>
      <c r="B510" t="s">
        <v>525</v>
      </c>
      <c r="C510" s="2">
        <v>45859</v>
      </c>
      <c r="D510" s="2" t="str">
        <f t="shared" si="31"/>
        <v>Jul-2025</v>
      </c>
      <c r="E510" s="2">
        <v>45861</v>
      </c>
      <c r="F510" t="s">
        <v>1018</v>
      </c>
      <c r="G510" t="s">
        <v>1214</v>
      </c>
      <c r="H510" t="s">
        <v>1271</v>
      </c>
      <c r="I510" t="s">
        <v>1289</v>
      </c>
      <c r="J510" t="s">
        <v>1294</v>
      </c>
      <c r="K510" t="s">
        <v>1305</v>
      </c>
      <c r="L510" t="s">
        <v>1307</v>
      </c>
      <c r="M510" t="s">
        <v>1311</v>
      </c>
      <c r="N510">
        <v>3</v>
      </c>
      <c r="O510">
        <v>0.1</v>
      </c>
      <c r="P510">
        <v>844.57</v>
      </c>
      <c r="Q510">
        <v>149.38</v>
      </c>
      <c r="R510" t="s">
        <v>1333</v>
      </c>
      <c r="S510" t="b">
        <f t="shared" si="28"/>
        <v>0</v>
      </c>
      <c r="T510" t="b">
        <f t="shared" si="29"/>
        <v>0</v>
      </c>
      <c r="U510" t="b">
        <f t="shared" si="30"/>
        <v>0</v>
      </c>
    </row>
    <row r="511" spans="1:21" x14ac:dyDescent="0.3">
      <c r="A511">
        <v>510</v>
      </c>
      <c r="B511" t="s">
        <v>526</v>
      </c>
      <c r="C511" s="2">
        <v>45697</v>
      </c>
      <c r="D511" s="2" t="str">
        <f t="shared" si="31"/>
        <v>Feb-2025</v>
      </c>
      <c r="E511" s="2">
        <v>45702</v>
      </c>
      <c r="F511" t="s">
        <v>1017</v>
      </c>
      <c r="G511" t="s">
        <v>1027</v>
      </c>
      <c r="H511" t="s">
        <v>1267</v>
      </c>
      <c r="I511" t="s">
        <v>1289</v>
      </c>
      <c r="J511" t="s">
        <v>1299</v>
      </c>
      <c r="K511" t="s">
        <v>1304</v>
      </c>
      <c r="L511" t="s">
        <v>1307</v>
      </c>
      <c r="M511" t="s">
        <v>1322</v>
      </c>
      <c r="N511">
        <v>3</v>
      </c>
      <c r="O511">
        <v>0</v>
      </c>
      <c r="P511">
        <v>2013.64</v>
      </c>
      <c r="Q511">
        <v>488.93</v>
      </c>
      <c r="R511" t="s">
        <v>1332</v>
      </c>
      <c r="S511" t="b">
        <f t="shared" si="28"/>
        <v>0</v>
      </c>
      <c r="T511" t="b">
        <f t="shared" si="29"/>
        <v>0</v>
      </c>
      <c r="U511" t="b">
        <f t="shared" si="30"/>
        <v>0</v>
      </c>
    </row>
    <row r="512" spans="1:21" x14ac:dyDescent="0.3">
      <c r="A512">
        <v>511</v>
      </c>
      <c r="B512" t="s">
        <v>527</v>
      </c>
      <c r="C512" s="2">
        <v>45809</v>
      </c>
      <c r="D512" s="2" t="str">
        <f t="shared" si="31"/>
        <v>Jun-2025</v>
      </c>
      <c r="E512" s="2">
        <v>45811</v>
      </c>
      <c r="F512" t="s">
        <v>1017</v>
      </c>
      <c r="G512" t="s">
        <v>1081</v>
      </c>
      <c r="H512" t="s">
        <v>1267</v>
      </c>
      <c r="I512" t="s">
        <v>1288</v>
      </c>
      <c r="J512" t="s">
        <v>1294</v>
      </c>
      <c r="K512" t="s">
        <v>1305</v>
      </c>
      <c r="L512" t="s">
        <v>1307</v>
      </c>
      <c r="M512" t="s">
        <v>1311</v>
      </c>
      <c r="N512">
        <v>1</v>
      </c>
      <c r="O512">
        <v>0.15</v>
      </c>
      <c r="P512">
        <v>249.36</v>
      </c>
      <c r="Q512">
        <v>17.16</v>
      </c>
      <c r="R512" t="s">
        <v>1331</v>
      </c>
      <c r="S512" t="b">
        <f t="shared" si="28"/>
        <v>0</v>
      </c>
      <c r="T512" t="b">
        <f t="shared" si="29"/>
        <v>0</v>
      </c>
      <c r="U512" t="b">
        <f t="shared" si="30"/>
        <v>0</v>
      </c>
    </row>
    <row r="513" spans="1:21" x14ac:dyDescent="0.3">
      <c r="A513">
        <v>512</v>
      </c>
      <c r="B513" t="s">
        <v>528</v>
      </c>
      <c r="C513" s="2">
        <v>45893</v>
      </c>
      <c r="D513" s="2" t="str">
        <f t="shared" si="31"/>
        <v>Aug-2025</v>
      </c>
      <c r="E513" s="2">
        <v>45894</v>
      </c>
      <c r="F513" t="s">
        <v>1018</v>
      </c>
      <c r="G513" t="s">
        <v>1237</v>
      </c>
      <c r="H513" t="s">
        <v>1279</v>
      </c>
      <c r="I513" t="s">
        <v>1287</v>
      </c>
      <c r="J513" t="s">
        <v>1291</v>
      </c>
      <c r="K513" t="s">
        <v>1302</v>
      </c>
      <c r="L513" t="s">
        <v>1306</v>
      </c>
      <c r="M513" t="s">
        <v>1321</v>
      </c>
      <c r="N513">
        <v>2</v>
      </c>
      <c r="O513">
        <v>0.1</v>
      </c>
      <c r="P513">
        <v>841.48</v>
      </c>
      <c r="Q513">
        <v>196.39</v>
      </c>
      <c r="R513" t="s">
        <v>1331</v>
      </c>
      <c r="S513" t="b">
        <f t="shared" si="28"/>
        <v>0</v>
      </c>
      <c r="T513" t="b">
        <f t="shared" si="29"/>
        <v>0</v>
      </c>
      <c r="U513" t="b">
        <f t="shared" si="30"/>
        <v>0</v>
      </c>
    </row>
    <row r="514" spans="1:21" x14ac:dyDescent="0.3">
      <c r="A514">
        <v>513</v>
      </c>
      <c r="B514" t="s">
        <v>529</v>
      </c>
      <c r="C514" s="2">
        <v>45772</v>
      </c>
      <c r="D514" s="2" t="str">
        <f t="shared" si="31"/>
        <v>Apr-2025</v>
      </c>
      <c r="E514" s="2">
        <v>45773</v>
      </c>
      <c r="F514" t="s">
        <v>1017</v>
      </c>
      <c r="G514" t="s">
        <v>1114</v>
      </c>
      <c r="H514" t="s">
        <v>1270</v>
      </c>
      <c r="I514" t="s">
        <v>1288</v>
      </c>
      <c r="J514" t="s">
        <v>1298</v>
      </c>
      <c r="K514" t="s">
        <v>1303</v>
      </c>
      <c r="L514" t="s">
        <v>1308</v>
      </c>
      <c r="M514" t="s">
        <v>1326</v>
      </c>
      <c r="N514">
        <v>1</v>
      </c>
      <c r="O514">
        <v>0.15</v>
      </c>
      <c r="P514">
        <v>5865.86</v>
      </c>
      <c r="Q514">
        <v>1419.08</v>
      </c>
      <c r="R514" t="s">
        <v>1331</v>
      </c>
      <c r="S514" t="b">
        <f t="shared" ref="S514:S577" si="32">E514&lt;C514</f>
        <v>0</v>
      </c>
      <c r="T514" t="b">
        <f t="shared" ref="T514:T577" si="33">N514&lt;=0</f>
        <v>0</v>
      </c>
      <c r="U514" t="b">
        <f t="shared" ref="U514:U577" si="34">OR(O514&lt;0,O514&gt;1)</f>
        <v>0</v>
      </c>
    </row>
    <row r="515" spans="1:21" x14ac:dyDescent="0.3">
      <c r="A515">
        <v>514</v>
      </c>
      <c r="B515" t="s">
        <v>530</v>
      </c>
      <c r="C515" s="2">
        <v>45775</v>
      </c>
      <c r="D515" s="2" t="str">
        <f t="shared" ref="D515:D578" si="35">TEXT(C515,"mmm-yyyy")</f>
        <v>Apr-2025</v>
      </c>
      <c r="E515" s="2">
        <v>45779</v>
      </c>
      <c r="F515" t="s">
        <v>1018</v>
      </c>
      <c r="G515" t="s">
        <v>1020</v>
      </c>
      <c r="H515" t="s">
        <v>1277</v>
      </c>
      <c r="I515" t="s">
        <v>1287</v>
      </c>
      <c r="J515" t="s">
        <v>1294</v>
      </c>
      <c r="K515" t="s">
        <v>1305</v>
      </c>
      <c r="L515" t="s">
        <v>1308</v>
      </c>
      <c r="M515" t="s">
        <v>1326</v>
      </c>
      <c r="N515">
        <v>1</v>
      </c>
      <c r="O515">
        <v>0.25</v>
      </c>
      <c r="P515">
        <v>5253.82</v>
      </c>
      <c r="Q515">
        <v>574.11</v>
      </c>
      <c r="R515" t="s">
        <v>1333</v>
      </c>
      <c r="S515" t="b">
        <f t="shared" si="32"/>
        <v>0</v>
      </c>
      <c r="T515" t="b">
        <f t="shared" si="33"/>
        <v>0</v>
      </c>
      <c r="U515" t="b">
        <f t="shared" si="34"/>
        <v>0</v>
      </c>
    </row>
    <row r="516" spans="1:21" x14ac:dyDescent="0.3">
      <c r="A516">
        <v>515</v>
      </c>
      <c r="B516" t="s">
        <v>531</v>
      </c>
      <c r="C516" s="2">
        <v>45853</v>
      </c>
      <c r="D516" s="2" t="str">
        <f t="shared" si="35"/>
        <v>Jul-2025</v>
      </c>
      <c r="E516" s="2">
        <v>45857</v>
      </c>
      <c r="F516" t="s">
        <v>1019</v>
      </c>
      <c r="G516" t="s">
        <v>1039</v>
      </c>
      <c r="H516" t="s">
        <v>1274</v>
      </c>
      <c r="I516" t="s">
        <v>1287</v>
      </c>
      <c r="J516" t="s">
        <v>1297</v>
      </c>
      <c r="K516" t="s">
        <v>1304</v>
      </c>
      <c r="L516" t="s">
        <v>1309</v>
      </c>
      <c r="M516" t="s">
        <v>1329</v>
      </c>
      <c r="N516">
        <v>3</v>
      </c>
      <c r="O516">
        <v>0.2</v>
      </c>
      <c r="P516">
        <v>4363.03</v>
      </c>
      <c r="Q516">
        <v>519.07000000000005</v>
      </c>
      <c r="R516" t="s">
        <v>1331</v>
      </c>
      <c r="S516" t="b">
        <f t="shared" si="32"/>
        <v>0</v>
      </c>
      <c r="T516" t="b">
        <f t="shared" si="33"/>
        <v>0</v>
      </c>
      <c r="U516" t="b">
        <f t="shared" si="34"/>
        <v>0</v>
      </c>
    </row>
    <row r="517" spans="1:21" x14ac:dyDescent="0.3">
      <c r="A517">
        <v>516</v>
      </c>
      <c r="B517" t="s">
        <v>532</v>
      </c>
      <c r="C517" s="2">
        <v>45990</v>
      </c>
      <c r="D517" s="2" t="str">
        <f t="shared" si="35"/>
        <v>Nov-2025</v>
      </c>
      <c r="E517" s="2">
        <v>45994</v>
      </c>
      <c r="F517" t="s">
        <v>1017</v>
      </c>
      <c r="G517" t="s">
        <v>1155</v>
      </c>
      <c r="H517" t="s">
        <v>1269</v>
      </c>
      <c r="I517" t="s">
        <v>1288</v>
      </c>
      <c r="J517" t="s">
        <v>1295</v>
      </c>
      <c r="K517" t="s">
        <v>1305</v>
      </c>
      <c r="L517" t="s">
        <v>1308</v>
      </c>
      <c r="M517" t="s">
        <v>1326</v>
      </c>
      <c r="N517">
        <v>2</v>
      </c>
      <c r="O517">
        <v>0.1</v>
      </c>
      <c r="P517">
        <v>13037.22</v>
      </c>
      <c r="Q517">
        <v>1821.97</v>
      </c>
      <c r="R517" t="s">
        <v>1331</v>
      </c>
      <c r="S517" t="b">
        <f t="shared" si="32"/>
        <v>0</v>
      </c>
      <c r="T517" t="b">
        <f t="shared" si="33"/>
        <v>0</v>
      </c>
      <c r="U517" t="b">
        <f t="shared" si="34"/>
        <v>0</v>
      </c>
    </row>
    <row r="518" spans="1:21" x14ac:dyDescent="0.3">
      <c r="A518">
        <v>517</v>
      </c>
      <c r="B518" t="s">
        <v>533</v>
      </c>
      <c r="C518" s="2">
        <v>45680</v>
      </c>
      <c r="D518" s="2" t="str">
        <f t="shared" si="35"/>
        <v>Jan-2025</v>
      </c>
      <c r="E518" s="2">
        <v>45683</v>
      </c>
      <c r="F518" t="s">
        <v>1017</v>
      </c>
      <c r="G518" t="s">
        <v>1238</v>
      </c>
      <c r="H518" t="s">
        <v>1268</v>
      </c>
      <c r="I518" t="s">
        <v>1287</v>
      </c>
      <c r="J518" t="s">
        <v>1297</v>
      </c>
      <c r="K518" t="s">
        <v>1304</v>
      </c>
      <c r="L518" t="s">
        <v>1309</v>
      </c>
      <c r="M518" t="s">
        <v>1317</v>
      </c>
      <c r="N518">
        <v>4</v>
      </c>
      <c r="O518">
        <v>0.1</v>
      </c>
      <c r="P518">
        <v>2883.81</v>
      </c>
      <c r="Q518">
        <v>443.28</v>
      </c>
      <c r="R518" t="s">
        <v>1331</v>
      </c>
      <c r="S518" t="b">
        <f t="shared" si="32"/>
        <v>0</v>
      </c>
      <c r="T518" t="b">
        <f t="shared" si="33"/>
        <v>0</v>
      </c>
      <c r="U518" t="b">
        <f t="shared" si="34"/>
        <v>0</v>
      </c>
    </row>
    <row r="519" spans="1:21" x14ac:dyDescent="0.3">
      <c r="A519">
        <v>518</v>
      </c>
      <c r="B519" t="s">
        <v>534</v>
      </c>
      <c r="C519" s="2">
        <v>45984</v>
      </c>
      <c r="D519" s="2" t="str">
        <f t="shared" si="35"/>
        <v>Nov-2025</v>
      </c>
      <c r="E519" s="2">
        <v>45987</v>
      </c>
      <c r="F519" t="s">
        <v>1018</v>
      </c>
      <c r="G519" t="s">
        <v>1040</v>
      </c>
      <c r="H519" t="s">
        <v>1282</v>
      </c>
      <c r="I519" t="s">
        <v>1287</v>
      </c>
      <c r="J519" t="s">
        <v>1294</v>
      </c>
      <c r="K519" t="s">
        <v>1305</v>
      </c>
      <c r="L519" t="s">
        <v>1309</v>
      </c>
      <c r="M519" t="s">
        <v>1329</v>
      </c>
      <c r="N519">
        <v>2</v>
      </c>
      <c r="O519">
        <v>0.2</v>
      </c>
      <c r="P519">
        <v>3187.84</v>
      </c>
      <c r="Q519">
        <v>630.94000000000005</v>
      </c>
      <c r="R519" t="s">
        <v>1332</v>
      </c>
      <c r="S519" t="b">
        <f t="shared" si="32"/>
        <v>0</v>
      </c>
      <c r="T519" t="b">
        <f t="shared" si="33"/>
        <v>0</v>
      </c>
      <c r="U519" t="b">
        <f t="shared" si="34"/>
        <v>0</v>
      </c>
    </row>
    <row r="520" spans="1:21" x14ac:dyDescent="0.3">
      <c r="A520">
        <v>519</v>
      </c>
      <c r="B520" t="s">
        <v>535</v>
      </c>
      <c r="C520" s="2">
        <v>45897</v>
      </c>
      <c r="D520" s="2" t="str">
        <f t="shared" si="35"/>
        <v>Aug-2025</v>
      </c>
      <c r="E520" s="2">
        <v>45901</v>
      </c>
      <c r="F520" t="s">
        <v>1018</v>
      </c>
      <c r="G520" t="s">
        <v>1237</v>
      </c>
      <c r="H520" t="s">
        <v>1269</v>
      </c>
      <c r="I520" t="s">
        <v>1289</v>
      </c>
      <c r="J520" t="s">
        <v>1291</v>
      </c>
      <c r="K520" t="s">
        <v>1302</v>
      </c>
      <c r="L520" t="s">
        <v>1308</v>
      </c>
      <c r="M520" t="s">
        <v>1326</v>
      </c>
      <c r="N520">
        <v>1</v>
      </c>
      <c r="O520">
        <v>0.1</v>
      </c>
      <c r="P520">
        <v>6523.95</v>
      </c>
      <c r="Q520">
        <v>1226.81</v>
      </c>
      <c r="R520" t="s">
        <v>1331</v>
      </c>
      <c r="S520" t="b">
        <f t="shared" si="32"/>
        <v>0</v>
      </c>
      <c r="T520" t="b">
        <f t="shared" si="33"/>
        <v>0</v>
      </c>
      <c r="U520" t="b">
        <f t="shared" si="34"/>
        <v>0</v>
      </c>
    </row>
    <row r="521" spans="1:21" x14ac:dyDescent="0.3">
      <c r="A521">
        <v>520</v>
      </c>
      <c r="B521" t="s">
        <v>536</v>
      </c>
      <c r="C521" s="2">
        <v>45989</v>
      </c>
      <c r="D521" s="2" t="str">
        <f t="shared" si="35"/>
        <v>Nov-2025</v>
      </c>
      <c r="E521" s="2">
        <v>45990</v>
      </c>
      <c r="F521" t="s">
        <v>1018</v>
      </c>
      <c r="G521" t="s">
        <v>1218</v>
      </c>
      <c r="H521" t="s">
        <v>1274</v>
      </c>
      <c r="I521" t="s">
        <v>1288</v>
      </c>
      <c r="J521" t="s">
        <v>1294</v>
      </c>
      <c r="K521" t="s">
        <v>1305</v>
      </c>
      <c r="L521" t="s">
        <v>1307</v>
      </c>
      <c r="M521" t="s">
        <v>1315</v>
      </c>
      <c r="N521">
        <v>3</v>
      </c>
      <c r="O521">
        <v>0</v>
      </c>
      <c r="P521">
        <v>5194.9399999999996</v>
      </c>
      <c r="Q521">
        <v>1513.1</v>
      </c>
      <c r="R521" t="s">
        <v>1333</v>
      </c>
      <c r="S521" t="b">
        <f t="shared" si="32"/>
        <v>0</v>
      </c>
      <c r="T521" t="b">
        <f t="shared" si="33"/>
        <v>0</v>
      </c>
      <c r="U521" t="b">
        <f t="shared" si="34"/>
        <v>0</v>
      </c>
    </row>
    <row r="522" spans="1:21" x14ac:dyDescent="0.3">
      <c r="A522">
        <v>521</v>
      </c>
      <c r="B522" t="s">
        <v>537</v>
      </c>
      <c r="C522" s="2">
        <v>45839</v>
      </c>
      <c r="D522" s="2" t="str">
        <f t="shared" si="35"/>
        <v>Jul-2025</v>
      </c>
      <c r="E522" s="2">
        <v>45840</v>
      </c>
      <c r="F522" t="s">
        <v>1018</v>
      </c>
      <c r="G522" t="s">
        <v>1218</v>
      </c>
      <c r="H522" t="s">
        <v>1276</v>
      </c>
      <c r="I522" t="s">
        <v>1288</v>
      </c>
      <c r="J522" t="s">
        <v>1297</v>
      </c>
      <c r="K522" t="s">
        <v>1304</v>
      </c>
      <c r="L522" t="s">
        <v>1307</v>
      </c>
      <c r="M522" t="s">
        <v>1322</v>
      </c>
      <c r="N522">
        <v>1</v>
      </c>
      <c r="O522">
        <v>0.05</v>
      </c>
      <c r="P522">
        <v>641.27</v>
      </c>
      <c r="Q522">
        <v>75.42</v>
      </c>
      <c r="R522" t="s">
        <v>1330</v>
      </c>
      <c r="S522" t="b">
        <f t="shared" si="32"/>
        <v>0</v>
      </c>
      <c r="T522" t="b">
        <f t="shared" si="33"/>
        <v>0</v>
      </c>
      <c r="U522" t="b">
        <f t="shared" si="34"/>
        <v>0</v>
      </c>
    </row>
    <row r="523" spans="1:21" x14ac:dyDescent="0.3">
      <c r="A523">
        <v>522</v>
      </c>
      <c r="B523" t="s">
        <v>538</v>
      </c>
      <c r="C523" s="2">
        <v>45790</v>
      </c>
      <c r="D523" s="2" t="str">
        <f t="shared" si="35"/>
        <v>May-2025</v>
      </c>
      <c r="E523" s="2">
        <v>45791</v>
      </c>
      <c r="F523" t="s">
        <v>1018</v>
      </c>
      <c r="G523" t="s">
        <v>1167</v>
      </c>
      <c r="H523" t="s">
        <v>1282</v>
      </c>
      <c r="I523" t="s">
        <v>1288</v>
      </c>
      <c r="J523" t="s">
        <v>1298</v>
      </c>
      <c r="K523" t="s">
        <v>1303</v>
      </c>
      <c r="L523" t="s">
        <v>1307</v>
      </c>
      <c r="M523" t="s">
        <v>1314</v>
      </c>
      <c r="N523">
        <v>3</v>
      </c>
      <c r="O523">
        <v>0.1</v>
      </c>
      <c r="P523">
        <v>2537.6</v>
      </c>
      <c r="Q523">
        <v>393.93</v>
      </c>
      <c r="R523" t="s">
        <v>1331</v>
      </c>
      <c r="S523" t="b">
        <f t="shared" si="32"/>
        <v>0</v>
      </c>
      <c r="T523" t="b">
        <f t="shared" si="33"/>
        <v>0</v>
      </c>
      <c r="U523" t="b">
        <f t="shared" si="34"/>
        <v>0</v>
      </c>
    </row>
    <row r="524" spans="1:21" x14ac:dyDescent="0.3">
      <c r="A524">
        <v>523</v>
      </c>
      <c r="B524" t="s">
        <v>539</v>
      </c>
      <c r="C524" s="2">
        <v>45944</v>
      </c>
      <c r="D524" s="2" t="str">
        <f t="shared" si="35"/>
        <v>Oct-2025</v>
      </c>
      <c r="E524" s="2">
        <v>45948</v>
      </c>
      <c r="F524" t="s">
        <v>1018</v>
      </c>
      <c r="G524" t="s">
        <v>1239</v>
      </c>
      <c r="H524" t="s">
        <v>1284</v>
      </c>
      <c r="I524" t="s">
        <v>1288</v>
      </c>
      <c r="J524" t="s">
        <v>1293</v>
      </c>
      <c r="K524" t="s">
        <v>1304</v>
      </c>
      <c r="L524" t="s">
        <v>1308</v>
      </c>
      <c r="M524" t="s">
        <v>1326</v>
      </c>
      <c r="N524">
        <v>5</v>
      </c>
      <c r="O524">
        <v>0.1</v>
      </c>
      <c r="P524">
        <v>31658.29</v>
      </c>
      <c r="Q524">
        <v>4074.56</v>
      </c>
      <c r="R524" t="s">
        <v>1331</v>
      </c>
      <c r="S524" t="b">
        <f t="shared" si="32"/>
        <v>0</v>
      </c>
      <c r="T524" t="b">
        <f t="shared" si="33"/>
        <v>0</v>
      </c>
      <c r="U524" t="b">
        <f t="shared" si="34"/>
        <v>0</v>
      </c>
    </row>
    <row r="525" spans="1:21" x14ac:dyDescent="0.3">
      <c r="A525">
        <v>524</v>
      </c>
      <c r="B525" t="s">
        <v>540</v>
      </c>
      <c r="C525" s="2">
        <v>45785</v>
      </c>
      <c r="D525" s="2" t="str">
        <f t="shared" si="35"/>
        <v>May-2025</v>
      </c>
      <c r="E525" s="2">
        <v>45789</v>
      </c>
      <c r="F525" t="s">
        <v>1017</v>
      </c>
      <c r="G525" t="s">
        <v>1088</v>
      </c>
      <c r="H525" t="s">
        <v>1280</v>
      </c>
      <c r="I525" t="s">
        <v>1287</v>
      </c>
      <c r="J525" t="s">
        <v>1301</v>
      </c>
      <c r="K525" t="s">
        <v>1303</v>
      </c>
      <c r="L525" t="s">
        <v>1308</v>
      </c>
      <c r="M525" t="s">
        <v>1319</v>
      </c>
      <c r="N525">
        <v>3</v>
      </c>
      <c r="O525">
        <v>0.25</v>
      </c>
      <c r="P525">
        <v>10744.27</v>
      </c>
      <c r="Q525">
        <v>-426.33</v>
      </c>
      <c r="R525" t="s">
        <v>1331</v>
      </c>
      <c r="S525" t="b">
        <f t="shared" si="32"/>
        <v>0</v>
      </c>
      <c r="T525" t="b">
        <f t="shared" si="33"/>
        <v>0</v>
      </c>
      <c r="U525" t="b">
        <f t="shared" si="34"/>
        <v>0</v>
      </c>
    </row>
    <row r="526" spans="1:21" x14ac:dyDescent="0.3">
      <c r="A526">
        <v>525</v>
      </c>
      <c r="B526" t="s">
        <v>541</v>
      </c>
      <c r="C526" s="2">
        <v>45983</v>
      </c>
      <c r="D526" s="2" t="str">
        <f t="shared" si="35"/>
        <v>Nov-2025</v>
      </c>
      <c r="E526" s="2">
        <v>45986</v>
      </c>
      <c r="F526" t="s">
        <v>1018</v>
      </c>
      <c r="G526" t="s">
        <v>1240</v>
      </c>
      <c r="H526" t="s">
        <v>1282</v>
      </c>
      <c r="I526" t="s">
        <v>1287</v>
      </c>
      <c r="J526" t="s">
        <v>1292</v>
      </c>
      <c r="K526" t="s">
        <v>1303</v>
      </c>
      <c r="L526" t="s">
        <v>1307</v>
      </c>
      <c r="M526" t="s">
        <v>1314</v>
      </c>
      <c r="N526">
        <v>1</v>
      </c>
      <c r="O526">
        <v>0.1</v>
      </c>
      <c r="P526">
        <v>812.91</v>
      </c>
      <c r="Q526">
        <v>138.66999999999999</v>
      </c>
      <c r="R526" t="s">
        <v>1332</v>
      </c>
      <c r="S526" t="b">
        <f t="shared" si="32"/>
        <v>0</v>
      </c>
      <c r="T526" t="b">
        <f t="shared" si="33"/>
        <v>0</v>
      </c>
      <c r="U526" t="b">
        <f t="shared" si="34"/>
        <v>0</v>
      </c>
    </row>
    <row r="527" spans="1:21" x14ac:dyDescent="0.3">
      <c r="A527">
        <v>526</v>
      </c>
      <c r="B527" t="s">
        <v>542</v>
      </c>
      <c r="C527" s="2">
        <v>45960</v>
      </c>
      <c r="D527" s="2" t="str">
        <f t="shared" si="35"/>
        <v>Oct-2025</v>
      </c>
      <c r="E527" s="2">
        <v>45962</v>
      </c>
      <c r="F527" t="s">
        <v>1017</v>
      </c>
      <c r="G527" t="s">
        <v>1239</v>
      </c>
      <c r="H527" t="s">
        <v>1285</v>
      </c>
      <c r="I527" t="s">
        <v>1287</v>
      </c>
      <c r="J527" t="s">
        <v>1293</v>
      </c>
      <c r="K527" t="s">
        <v>1304</v>
      </c>
      <c r="L527" t="s">
        <v>1308</v>
      </c>
      <c r="M527" t="s">
        <v>1319</v>
      </c>
      <c r="N527">
        <v>2</v>
      </c>
      <c r="O527">
        <v>0.1</v>
      </c>
      <c r="P527">
        <v>8271.91</v>
      </c>
      <c r="Q527">
        <v>1029.9000000000001</v>
      </c>
      <c r="R527" t="s">
        <v>1332</v>
      </c>
      <c r="S527" t="b">
        <f t="shared" si="32"/>
        <v>0</v>
      </c>
      <c r="T527" t="b">
        <f t="shared" si="33"/>
        <v>0</v>
      </c>
      <c r="U527" t="b">
        <f t="shared" si="34"/>
        <v>0</v>
      </c>
    </row>
    <row r="528" spans="1:21" x14ac:dyDescent="0.3">
      <c r="A528">
        <v>527</v>
      </c>
      <c r="B528" t="s">
        <v>543</v>
      </c>
      <c r="C528" s="2">
        <v>45968</v>
      </c>
      <c r="D528" s="2" t="str">
        <f t="shared" si="35"/>
        <v>Nov-2025</v>
      </c>
      <c r="E528" s="2">
        <v>45969</v>
      </c>
      <c r="F528" t="s">
        <v>1019</v>
      </c>
      <c r="G528" t="s">
        <v>1028</v>
      </c>
      <c r="H528" t="s">
        <v>1277</v>
      </c>
      <c r="I528" t="s">
        <v>1289</v>
      </c>
      <c r="J528" t="s">
        <v>1297</v>
      </c>
      <c r="K528" t="s">
        <v>1304</v>
      </c>
      <c r="L528" t="s">
        <v>1309</v>
      </c>
      <c r="M528" t="s">
        <v>1317</v>
      </c>
      <c r="N528">
        <v>2</v>
      </c>
      <c r="O528">
        <v>0.2</v>
      </c>
      <c r="P528">
        <v>1233.05</v>
      </c>
      <c r="Q528">
        <v>74.72</v>
      </c>
      <c r="R528" t="s">
        <v>1334</v>
      </c>
      <c r="S528" t="b">
        <f t="shared" si="32"/>
        <v>0</v>
      </c>
      <c r="T528" t="b">
        <f t="shared" si="33"/>
        <v>0</v>
      </c>
      <c r="U528" t="b">
        <f t="shared" si="34"/>
        <v>0</v>
      </c>
    </row>
    <row r="529" spans="1:21" x14ac:dyDescent="0.3">
      <c r="A529">
        <v>528</v>
      </c>
      <c r="B529" t="s">
        <v>544</v>
      </c>
      <c r="C529" s="2">
        <v>45680</v>
      </c>
      <c r="D529" s="2" t="str">
        <f t="shared" si="35"/>
        <v>Jan-2025</v>
      </c>
      <c r="E529" s="2">
        <v>45683</v>
      </c>
      <c r="F529" t="s">
        <v>1018</v>
      </c>
      <c r="G529" t="s">
        <v>1241</v>
      </c>
      <c r="H529" t="s">
        <v>1278</v>
      </c>
      <c r="I529" t="s">
        <v>1288</v>
      </c>
      <c r="J529" t="s">
        <v>1297</v>
      </c>
      <c r="K529" t="s">
        <v>1304</v>
      </c>
      <c r="L529" t="s">
        <v>1309</v>
      </c>
      <c r="M529" t="s">
        <v>1329</v>
      </c>
      <c r="N529">
        <v>3</v>
      </c>
      <c r="O529">
        <v>0.2</v>
      </c>
      <c r="P529">
        <v>4641.08</v>
      </c>
      <c r="Q529">
        <v>1049.31</v>
      </c>
      <c r="R529" t="s">
        <v>1333</v>
      </c>
      <c r="S529" t="b">
        <f t="shared" si="32"/>
        <v>0</v>
      </c>
      <c r="T529" t="b">
        <f t="shared" si="33"/>
        <v>0</v>
      </c>
      <c r="U529" t="b">
        <f t="shared" si="34"/>
        <v>0</v>
      </c>
    </row>
    <row r="530" spans="1:21" x14ac:dyDescent="0.3">
      <c r="A530">
        <v>529</v>
      </c>
      <c r="B530" t="s">
        <v>545</v>
      </c>
      <c r="C530" s="2">
        <v>45691</v>
      </c>
      <c r="D530" s="2" t="str">
        <f t="shared" si="35"/>
        <v>Feb-2025</v>
      </c>
      <c r="E530" s="2">
        <v>45695</v>
      </c>
      <c r="F530" t="s">
        <v>1017</v>
      </c>
      <c r="G530" t="s">
        <v>1188</v>
      </c>
      <c r="H530" t="s">
        <v>1273</v>
      </c>
      <c r="I530" t="s">
        <v>1289</v>
      </c>
      <c r="J530" t="s">
        <v>1293</v>
      </c>
      <c r="K530" t="s">
        <v>1304</v>
      </c>
      <c r="L530" t="s">
        <v>1309</v>
      </c>
      <c r="M530" t="s">
        <v>1320</v>
      </c>
      <c r="N530">
        <v>1</v>
      </c>
      <c r="O530">
        <v>0.1</v>
      </c>
      <c r="P530">
        <v>1048</v>
      </c>
      <c r="Q530">
        <v>114.57</v>
      </c>
      <c r="R530" t="s">
        <v>1331</v>
      </c>
      <c r="S530" t="b">
        <f t="shared" si="32"/>
        <v>0</v>
      </c>
      <c r="T530" t="b">
        <f t="shared" si="33"/>
        <v>0</v>
      </c>
      <c r="U530" t="b">
        <f t="shared" si="34"/>
        <v>0</v>
      </c>
    </row>
    <row r="531" spans="1:21" x14ac:dyDescent="0.3">
      <c r="A531">
        <v>530</v>
      </c>
      <c r="B531" t="s">
        <v>546</v>
      </c>
      <c r="C531" s="2">
        <v>45718</v>
      </c>
      <c r="D531" s="2" t="str">
        <f t="shared" si="35"/>
        <v>Mar-2025</v>
      </c>
      <c r="E531" s="2">
        <v>45720</v>
      </c>
      <c r="F531" t="s">
        <v>1018</v>
      </c>
      <c r="G531" t="s">
        <v>1072</v>
      </c>
      <c r="H531" t="s">
        <v>1281</v>
      </c>
      <c r="I531" t="s">
        <v>1287</v>
      </c>
      <c r="J531" t="s">
        <v>1298</v>
      </c>
      <c r="K531" t="s">
        <v>1303</v>
      </c>
      <c r="L531" t="s">
        <v>1307</v>
      </c>
      <c r="M531" t="s">
        <v>1315</v>
      </c>
      <c r="N531">
        <v>2</v>
      </c>
      <c r="O531">
        <v>0.2</v>
      </c>
      <c r="P531">
        <v>2756.19</v>
      </c>
      <c r="Q531">
        <v>345.27</v>
      </c>
      <c r="R531" t="s">
        <v>1332</v>
      </c>
      <c r="S531" t="b">
        <f t="shared" si="32"/>
        <v>0</v>
      </c>
      <c r="T531" t="b">
        <f t="shared" si="33"/>
        <v>0</v>
      </c>
      <c r="U531" t="b">
        <f t="shared" si="34"/>
        <v>0</v>
      </c>
    </row>
    <row r="532" spans="1:21" x14ac:dyDescent="0.3">
      <c r="A532">
        <v>531</v>
      </c>
      <c r="B532" t="s">
        <v>547</v>
      </c>
      <c r="C532" s="2">
        <v>45810</v>
      </c>
      <c r="D532" s="2" t="str">
        <f t="shared" si="35"/>
        <v>Jun-2025</v>
      </c>
      <c r="E532" s="2">
        <v>45811</v>
      </c>
      <c r="F532" t="s">
        <v>1017</v>
      </c>
      <c r="G532" t="s">
        <v>1029</v>
      </c>
      <c r="H532" t="s">
        <v>1281</v>
      </c>
      <c r="I532" t="s">
        <v>1287</v>
      </c>
      <c r="J532" t="s">
        <v>1294</v>
      </c>
      <c r="K532" t="s">
        <v>1305</v>
      </c>
      <c r="L532" t="s">
        <v>1309</v>
      </c>
      <c r="M532" t="s">
        <v>1317</v>
      </c>
      <c r="N532">
        <v>5</v>
      </c>
      <c r="O532">
        <v>0.05</v>
      </c>
      <c r="P532">
        <v>3817.69</v>
      </c>
      <c r="Q532">
        <v>939.07</v>
      </c>
      <c r="R532" t="s">
        <v>1333</v>
      </c>
      <c r="S532" t="b">
        <f t="shared" si="32"/>
        <v>0</v>
      </c>
      <c r="T532" t="b">
        <f t="shared" si="33"/>
        <v>0</v>
      </c>
      <c r="U532" t="b">
        <f t="shared" si="34"/>
        <v>0</v>
      </c>
    </row>
    <row r="533" spans="1:21" x14ac:dyDescent="0.3">
      <c r="A533">
        <v>532</v>
      </c>
      <c r="B533" t="s">
        <v>548</v>
      </c>
      <c r="C533" s="2">
        <v>45750</v>
      </c>
      <c r="D533" s="2" t="str">
        <f t="shared" si="35"/>
        <v>Apr-2025</v>
      </c>
      <c r="E533" s="2">
        <v>45754</v>
      </c>
      <c r="F533" t="s">
        <v>1017</v>
      </c>
      <c r="G533" t="s">
        <v>1111</v>
      </c>
      <c r="H533" t="s">
        <v>1278</v>
      </c>
      <c r="I533" t="s">
        <v>1288</v>
      </c>
      <c r="J533" t="s">
        <v>1296</v>
      </c>
      <c r="K533" t="s">
        <v>1304</v>
      </c>
      <c r="L533" t="s">
        <v>1308</v>
      </c>
      <c r="M533" t="s">
        <v>1312</v>
      </c>
      <c r="N533">
        <v>3</v>
      </c>
      <c r="O533">
        <v>0.15</v>
      </c>
      <c r="P533">
        <v>3463.22</v>
      </c>
      <c r="Q533">
        <v>859.91</v>
      </c>
      <c r="R533" t="s">
        <v>1331</v>
      </c>
      <c r="S533" t="b">
        <f t="shared" si="32"/>
        <v>0</v>
      </c>
      <c r="T533" t="b">
        <f t="shared" si="33"/>
        <v>0</v>
      </c>
      <c r="U533" t="b">
        <f t="shared" si="34"/>
        <v>0</v>
      </c>
    </row>
    <row r="534" spans="1:21" x14ac:dyDescent="0.3">
      <c r="A534">
        <v>533</v>
      </c>
      <c r="B534" t="s">
        <v>549</v>
      </c>
      <c r="C534" s="2">
        <v>45746</v>
      </c>
      <c r="D534" s="2" t="str">
        <f t="shared" si="35"/>
        <v>Mar-2025</v>
      </c>
      <c r="E534" s="2">
        <v>45748</v>
      </c>
      <c r="F534" t="s">
        <v>1017</v>
      </c>
      <c r="G534" t="s">
        <v>1073</v>
      </c>
      <c r="H534" t="s">
        <v>1275</v>
      </c>
      <c r="I534" t="s">
        <v>1287</v>
      </c>
      <c r="J534" t="s">
        <v>1298</v>
      </c>
      <c r="K534" t="s">
        <v>1303</v>
      </c>
      <c r="L534" t="s">
        <v>1306</v>
      </c>
      <c r="M534" t="s">
        <v>1324</v>
      </c>
      <c r="N534">
        <v>2</v>
      </c>
      <c r="O534">
        <v>0.05</v>
      </c>
      <c r="P534">
        <v>172.06</v>
      </c>
      <c r="Q534">
        <v>60.25</v>
      </c>
      <c r="R534" t="s">
        <v>1332</v>
      </c>
      <c r="S534" t="b">
        <f t="shared" si="32"/>
        <v>0</v>
      </c>
      <c r="T534" t="b">
        <f t="shared" si="33"/>
        <v>0</v>
      </c>
      <c r="U534" t="b">
        <f t="shared" si="34"/>
        <v>0</v>
      </c>
    </row>
    <row r="535" spans="1:21" x14ac:dyDescent="0.3">
      <c r="A535">
        <v>534</v>
      </c>
      <c r="B535" t="s">
        <v>550</v>
      </c>
      <c r="C535" s="2">
        <v>45932</v>
      </c>
      <c r="D535" s="2" t="str">
        <f t="shared" si="35"/>
        <v>Oct-2025</v>
      </c>
      <c r="E535" s="2">
        <v>45933</v>
      </c>
      <c r="F535" t="s">
        <v>1017</v>
      </c>
      <c r="G535" t="s">
        <v>1115</v>
      </c>
      <c r="H535" t="s">
        <v>1284</v>
      </c>
      <c r="I535" t="s">
        <v>1287</v>
      </c>
      <c r="J535" t="s">
        <v>1291</v>
      </c>
      <c r="K535" t="s">
        <v>1302</v>
      </c>
      <c r="L535" t="s">
        <v>1307</v>
      </c>
      <c r="M535" t="s">
        <v>1314</v>
      </c>
      <c r="N535">
        <v>4</v>
      </c>
      <c r="O535">
        <v>0.1</v>
      </c>
      <c r="P535">
        <v>3369.93</v>
      </c>
      <c r="Q535">
        <v>511.98</v>
      </c>
      <c r="R535" t="s">
        <v>1332</v>
      </c>
      <c r="S535" t="b">
        <f t="shared" si="32"/>
        <v>0</v>
      </c>
      <c r="T535" t="b">
        <f t="shared" si="33"/>
        <v>0</v>
      </c>
      <c r="U535" t="b">
        <f t="shared" si="34"/>
        <v>0</v>
      </c>
    </row>
    <row r="536" spans="1:21" x14ac:dyDescent="0.3">
      <c r="A536">
        <v>535</v>
      </c>
      <c r="B536" t="s">
        <v>551</v>
      </c>
      <c r="C536" s="2">
        <v>45980</v>
      </c>
      <c r="D536" s="2" t="str">
        <f t="shared" si="35"/>
        <v>Nov-2025</v>
      </c>
      <c r="E536" s="2">
        <v>45983</v>
      </c>
      <c r="F536" t="s">
        <v>1017</v>
      </c>
      <c r="G536" t="s">
        <v>1181</v>
      </c>
      <c r="H536" t="s">
        <v>1285</v>
      </c>
      <c r="I536" t="s">
        <v>1287</v>
      </c>
      <c r="J536" t="s">
        <v>1290</v>
      </c>
      <c r="K536" t="s">
        <v>1302</v>
      </c>
      <c r="L536" t="s">
        <v>1309</v>
      </c>
      <c r="M536" t="s">
        <v>1320</v>
      </c>
      <c r="N536">
        <v>2</v>
      </c>
      <c r="O536">
        <v>0</v>
      </c>
      <c r="P536">
        <v>2482.9899999999998</v>
      </c>
      <c r="Q536">
        <v>637.01</v>
      </c>
      <c r="R536" t="s">
        <v>1330</v>
      </c>
      <c r="S536" t="b">
        <f t="shared" si="32"/>
        <v>0</v>
      </c>
      <c r="T536" t="b">
        <f t="shared" si="33"/>
        <v>0</v>
      </c>
      <c r="U536" t="b">
        <f t="shared" si="34"/>
        <v>0</v>
      </c>
    </row>
    <row r="537" spans="1:21" x14ac:dyDescent="0.3">
      <c r="A537">
        <v>536</v>
      </c>
      <c r="B537" t="s">
        <v>552</v>
      </c>
      <c r="C537" s="2">
        <v>45860</v>
      </c>
      <c r="D537" s="2" t="str">
        <f t="shared" si="35"/>
        <v>Jul-2025</v>
      </c>
      <c r="E537" s="2">
        <v>45861</v>
      </c>
      <c r="F537" t="s">
        <v>1017</v>
      </c>
      <c r="G537" t="s">
        <v>1223</v>
      </c>
      <c r="H537" t="s">
        <v>1283</v>
      </c>
      <c r="I537" t="s">
        <v>1289</v>
      </c>
      <c r="J537" t="s">
        <v>1298</v>
      </c>
      <c r="K537" t="s">
        <v>1303</v>
      </c>
      <c r="L537" t="s">
        <v>1308</v>
      </c>
      <c r="M537" t="s">
        <v>1318</v>
      </c>
      <c r="N537">
        <v>2</v>
      </c>
      <c r="O537">
        <v>0.05</v>
      </c>
      <c r="P537">
        <v>10472.43</v>
      </c>
      <c r="Q537">
        <v>3396.87</v>
      </c>
      <c r="R537" t="s">
        <v>1331</v>
      </c>
      <c r="S537" t="b">
        <f t="shared" si="32"/>
        <v>0</v>
      </c>
      <c r="T537" t="b">
        <f t="shared" si="33"/>
        <v>0</v>
      </c>
      <c r="U537" t="b">
        <f t="shared" si="34"/>
        <v>0</v>
      </c>
    </row>
    <row r="538" spans="1:21" x14ac:dyDescent="0.3">
      <c r="A538">
        <v>537</v>
      </c>
      <c r="B538" t="s">
        <v>553</v>
      </c>
      <c r="C538" s="2">
        <v>45679</v>
      </c>
      <c r="D538" s="2" t="str">
        <f t="shared" si="35"/>
        <v>Jan-2025</v>
      </c>
      <c r="E538" s="2">
        <v>45680</v>
      </c>
      <c r="F538" t="s">
        <v>1017</v>
      </c>
      <c r="G538" t="s">
        <v>1062</v>
      </c>
      <c r="H538" t="s">
        <v>1268</v>
      </c>
      <c r="I538" t="s">
        <v>1287</v>
      </c>
      <c r="J538" t="s">
        <v>1294</v>
      </c>
      <c r="K538" t="s">
        <v>1305</v>
      </c>
      <c r="L538" t="s">
        <v>1307</v>
      </c>
      <c r="M538" t="s">
        <v>1311</v>
      </c>
      <c r="N538">
        <v>1</v>
      </c>
      <c r="O538">
        <v>0</v>
      </c>
      <c r="P538">
        <v>290.02</v>
      </c>
      <c r="Q538">
        <v>82.44</v>
      </c>
      <c r="R538" t="s">
        <v>1332</v>
      </c>
      <c r="S538" t="b">
        <f t="shared" si="32"/>
        <v>0</v>
      </c>
      <c r="T538" t="b">
        <f t="shared" si="33"/>
        <v>0</v>
      </c>
      <c r="U538" t="b">
        <f t="shared" si="34"/>
        <v>0</v>
      </c>
    </row>
    <row r="539" spans="1:21" x14ac:dyDescent="0.3">
      <c r="A539">
        <v>538</v>
      </c>
      <c r="B539" t="s">
        <v>554</v>
      </c>
      <c r="C539" s="2">
        <v>45924</v>
      </c>
      <c r="D539" s="2" t="str">
        <f t="shared" si="35"/>
        <v>Sep-2025</v>
      </c>
      <c r="E539" s="2">
        <v>45928</v>
      </c>
      <c r="F539" t="s">
        <v>1017</v>
      </c>
      <c r="G539" t="s">
        <v>1242</v>
      </c>
      <c r="H539" t="s">
        <v>1277</v>
      </c>
      <c r="I539" t="s">
        <v>1289</v>
      </c>
      <c r="J539" t="s">
        <v>1291</v>
      </c>
      <c r="K539" t="s">
        <v>1302</v>
      </c>
      <c r="L539" t="s">
        <v>1307</v>
      </c>
      <c r="M539" t="s">
        <v>1316</v>
      </c>
      <c r="N539">
        <v>5</v>
      </c>
      <c r="O539">
        <v>0.05</v>
      </c>
      <c r="P539">
        <v>2383.4899999999998</v>
      </c>
      <c r="Q539">
        <v>487.53</v>
      </c>
      <c r="R539" t="s">
        <v>1330</v>
      </c>
      <c r="S539" t="b">
        <f t="shared" si="32"/>
        <v>0</v>
      </c>
      <c r="T539" t="b">
        <f t="shared" si="33"/>
        <v>0</v>
      </c>
      <c r="U539" t="b">
        <f t="shared" si="34"/>
        <v>0</v>
      </c>
    </row>
    <row r="540" spans="1:21" x14ac:dyDescent="0.3">
      <c r="A540">
        <v>539</v>
      </c>
      <c r="B540" t="s">
        <v>555</v>
      </c>
      <c r="C540" s="2">
        <v>45887</v>
      </c>
      <c r="D540" s="2" t="str">
        <f t="shared" si="35"/>
        <v>Aug-2025</v>
      </c>
      <c r="E540" s="2">
        <v>45890</v>
      </c>
      <c r="F540" t="s">
        <v>1017</v>
      </c>
      <c r="G540" t="s">
        <v>1032</v>
      </c>
      <c r="H540" t="s">
        <v>1271</v>
      </c>
      <c r="I540" t="s">
        <v>1287</v>
      </c>
      <c r="J540" t="s">
        <v>1292</v>
      </c>
      <c r="K540" t="s">
        <v>1303</v>
      </c>
      <c r="L540" t="s">
        <v>1309</v>
      </c>
      <c r="M540" t="s">
        <v>1317</v>
      </c>
      <c r="N540">
        <v>1</v>
      </c>
      <c r="O540">
        <v>0.1</v>
      </c>
      <c r="P540">
        <v>726.43</v>
      </c>
      <c r="Q540">
        <v>119.6</v>
      </c>
      <c r="R540" t="s">
        <v>1332</v>
      </c>
      <c r="S540" t="b">
        <f t="shared" si="32"/>
        <v>0</v>
      </c>
      <c r="T540" t="b">
        <f t="shared" si="33"/>
        <v>0</v>
      </c>
      <c r="U540" t="b">
        <f t="shared" si="34"/>
        <v>0</v>
      </c>
    </row>
    <row r="541" spans="1:21" x14ac:dyDescent="0.3">
      <c r="A541">
        <v>540</v>
      </c>
      <c r="B541" t="s">
        <v>556</v>
      </c>
      <c r="C541" s="2">
        <v>45739</v>
      </c>
      <c r="D541" s="2" t="str">
        <f t="shared" si="35"/>
        <v>Mar-2025</v>
      </c>
      <c r="E541" s="2">
        <v>45743</v>
      </c>
      <c r="F541" t="s">
        <v>1017</v>
      </c>
      <c r="G541" t="s">
        <v>1243</v>
      </c>
      <c r="H541" t="s">
        <v>1274</v>
      </c>
      <c r="I541" t="s">
        <v>1287</v>
      </c>
      <c r="J541" t="s">
        <v>1293</v>
      </c>
      <c r="K541" t="s">
        <v>1304</v>
      </c>
      <c r="L541" t="s">
        <v>1309</v>
      </c>
      <c r="M541" t="s">
        <v>1317</v>
      </c>
      <c r="N541">
        <v>2</v>
      </c>
      <c r="O541">
        <v>0</v>
      </c>
      <c r="P541">
        <v>1583.42</v>
      </c>
      <c r="Q541">
        <v>455.58</v>
      </c>
      <c r="R541" t="s">
        <v>1331</v>
      </c>
      <c r="S541" t="b">
        <f t="shared" si="32"/>
        <v>0</v>
      </c>
      <c r="T541" t="b">
        <f t="shared" si="33"/>
        <v>0</v>
      </c>
      <c r="U541" t="b">
        <f t="shared" si="34"/>
        <v>0</v>
      </c>
    </row>
    <row r="542" spans="1:21" x14ac:dyDescent="0.3">
      <c r="A542">
        <v>541</v>
      </c>
      <c r="B542" t="s">
        <v>557</v>
      </c>
      <c r="C542" s="2">
        <v>45805</v>
      </c>
      <c r="D542" s="2" t="str">
        <f t="shared" si="35"/>
        <v>May-2025</v>
      </c>
      <c r="E542" s="2">
        <v>45810</v>
      </c>
      <c r="F542" t="s">
        <v>1017</v>
      </c>
      <c r="G542" t="s">
        <v>1167</v>
      </c>
      <c r="H542" t="s">
        <v>1276</v>
      </c>
      <c r="I542" t="s">
        <v>1287</v>
      </c>
      <c r="J542" t="s">
        <v>1300</v>
      </c>
      <c r="K542" t="s">
        <v>1305</v>
      </c>
      <c r="L542" t="s">
        <v>1309</v>
      </c>
      <c r="M542" t="s">
        <v>1325</v>
      </c>
      <c r="N542">
        <v>2</v>
      </c>
      <c r="O542">
        <v>0.05</v>
      </c>
      <c r="P542">
        <v>2565.2199999999998</v>
      </c>
      <c r="Q542">
        <v>561.23</v>
      </c>
      <c r="R542" t="s">
        <v>1331</v>
      </c>
      <c r="S542" t="b">
        <f t="shared" si="32"/>
        <v>0</v>
      </c>
      <c r="T542" t="b">
        <f t="shared" si="33"/>
        <v>0</v>
      </c>
      <c r="U542" t="b">
        <f t="shared" si="34"/>
        <v>0</v>
      </c>
    </row>
    <row r="543" spans="1:21" x14ac:dyDescent="0.3">
      <c r="A543">
        <v>542</v>
      </c>
      <c r="B543" t="s">
        <v>558</v>
      </c>
      <c r="C543" s="2">
        <v>45968</v>
      </c>
      <c r="D543" s="2" t="str">
        <f t="shared" si="35"/>
        <v>Nov-2025</v>
      </c>
      <c r="E543" s="2">
        <v>45973</v>
      </c>
      <c r="F543" t="s">
        <v>1018</v>
      </c>
      <c r="G543" t="s">
        <v>1053</v>
      </c>
      <c r="H543" t="s">
        <v>1268</v>
      </c>
      <c r="I543" t="s">
        <v>1287</v>
      </c>
      <c r="J543" t="s">
        <v>1298</v>
      </c>
      <c r="K543" t="s">
        <v>1303</v>
      </c>
      <c r="L543" t="s">
        <v>1306</v>
      </c>
      <c r="M543" t="s">
        <v>1324</v>
      </c>
      <c r="N543">
        <v>1</v>
      </c>
      <c r="O543">
        <v>0.2</v>
      </c>
      <c r="P543">
        <v>72.77</v>
      </c>
      <c r="Q543">
        <v>7.55</v>
      </c>
      <c r="R543" t="s">
        <v>1334</v>
      </c>
      <c r="S543" t="b">
        <f t="shared" si="32"/>
        <v>0</v>
      </c>
      <c r="T543" t="b">
        <f t="shared" si="33"/>
        <v>0</v>
      </c>
      <c r="U543" t="b">
        <f t="shared" si="34"/>
        <v>0</v>
      </c>
    </row>
    <row r="544" spans="1:21" x14ac:dyDescent="0.3">
      <c r="A544">
        <v>543</v>
      </c>
      <c r="B544" t="s">
        <v>559</v>
      </c>
      <c r="C544" s="2">
        <v>45711</v>
      </c>
      <c r="D544" s="2" t="str">
        <f t="shared" si="35"/>
        <v>Feb-2025</v>
      </c>
      <c r="E544" s="2">
        <v>45713</v>
      </c>
      <c r="F544" t="s">
        <v>1017</v>
      </c>
      <c r="G544" t="s">
        <v>1031</v>
      </c>
      <c r="H544" t="s">
        <v>1270</v>
      </c>
      <c r="I544" t="s">
        <v>1287</v>
      </c>
      <c r="J544" t="s">
        <v>1290</v>
      </c>
      <c r="K544" t="s">
        <v>1302</v>
      </c>
      <c r="L544" t="s">
        <v>1307</v>
      </c>
      <c r="M544" t="s">
        <v>1322</v>
      </c>
      <c r="N544">
        <v>2</v>
      </c>
      <c r="O544">
        <v>0.1</v>
      </c>
      <c r="P544">
        <v>1239.54</v>
      </c>
      <c r="Q544">
        <v>220.82</v>
      </c>
      <c r="R544" t="s">
        <v>1332</v>
      </c>
      <c r="S544" t="b">
        <f t="shared" si="32"/>
        <v>0</v>
      </c>
      <c r="T544" t="b">
        <f t="shared" si="33"/>
        <v>0</v>
      </c>
      <c r="U544" t="b">
        <f t="shared" si="34"/>
        <v>0</v>
      </c>
    </row>
    <row r="545" spans="1:21" x14ac:dyDescent="0.3">
      <c r="A545">
        <v>544</v>
      </c>
      <c r="B545" t="s">
        <v>560</v>
      </c>
      <c r="C545" s="2">
        <v>45779</v>
      </c>
      <c r="D545" s="2" t="str">
        <f t="shared" si="35"/>
        <v>May-2025</v>
      </c>
      <c r="E545" s="2">
        <v>45781</v>
      </c>
      <c r="F545" t="s">
        <v>1018</v>
      </c>
      <c r="G545" t="s">
        <v>1242</v>
      </c>
      <c r="H545" t="s">
        <v>1279</v>
      </c>
      <c r="I545" t="s">
        <v>1287</v>
      </c>
      <c r="J545" t="s">
        <v>1295</v>
      </c>
      <c r="K545" t="s">
        <v>1305</v>
      </c>
      <c r="L545" t="s">
        <v>1307</v>
      </c>
      <c r="M545" t="s">
        <v>1311</v>
      </c>
      <c r="N545">
        <v>3</v>
      </c>
      <c r="O545">
        <v>0.05</v>
      </c>
      <c r="P545">
        <v>834.66</v>
      </c>
      <c r="Q545">
        <v>176.04</v>
      </c>
      <c r="R545" t="s">
        <v>1334</v>
      </c>
      <c r="S545" t="b">
        <f t="shared" si="32"/>
        <v>0</v>
      </c>
      <c r="T545" t="b">
        <f t="shared" si="33"/>
        <v>0</v>
      </c>
      <c r="U545" t="b">
        <f t="shared" si="34"/>
        <v>0</v>
      </c>
    </row>
    <row r="546" spans="1:21" x14ac:dyDescent="0.3">
      <c r="A546">
        <v>545</v>
      </c>
      <c r="B546" t="s">
        <v>561</v>
      </c>
      <c r="C546" s="2">
        <v>45702</v>
      </c>
      <c r="D546" s="2" t="str">
        <f t="shared" si="35"/>
        <v>Feb-2025</v>
      </c>
      <c r="E546" s="2">
        <v>45706</v>
      </c>
      <c r="F546" t="s">
        <v>1017</v>
      </c>
      <c r="G546" t="s">
        <v>1244</v>
      </c>
      <c r="H546" t="s">
        <v>1281</v>
      </c>
      <c r="I546" t="s">
        <v>1287</v>
      </c>
      <c r="J546" t="s">
        <v>1298</v>
      </c>
      <c r="K546" t="s">
        <v>1303</v>
      </c>
      <c r="L546" t="s">
        <v>1307</v>
      </c>
      <c r="M546" t="s">
        <v>1314</v>
      </c>
      <c r="N546">
        <v>1</v>
      </c>
      <c r="O546">
        <v>0</v>
      </c>
      <c r="P546">
        <v>898.84</v>
      </c>
      <c r="Q546">
        <v>262.58999999999997</v>
      </c>
      <c r="R546" t="s">
        <v>1331</v>
      </c>
      <c r="S546" t="b">
        <f t="shared" si="32"/>
        <v>0</v>
      </c>
      <c r="T546" t="b">
        <f t="shared" si="33"/>
        <v>0</v>
      </c>
      <c r="U546" t="b">
        <f t="shared" si="34"/>
        <v>0</v>
      </c>
    </row>
    <row r="547" spans="1:21" x14ac:dyDescent="0.3">
      <c r="A547">
        <v>546</v>
      </c>
      <c r="B547" t="s">
        <v>562</v>
      </c>
      <c r="C547" s="2">
        <v>45822</v>
      </c>
      <c r="D547" s="2" t="str">
        <f t="shared" si="35"/>
        <v>Jun-2025</v>
      </c>
      <c r="E547" s="2">
        <v>45827</v>
      </c>
      <c r="F547" t="s">
        <v>1017</v>
      </c>
      <c r="G547" t="s">
        <v>1101</v>
      </c>
      <c r="H547" t="s">
        <v>1277</v>
      </c>
      <c r="I547" t="s">
        <v>1289</v>
      </c>
      <c r="J547" t="s">
        <v>1299</v>
      </c>
      <c r="K547" t="s">
        <v>1304</v>
      </c>
      <c r="L547" t="s">
        <v>1308</v>
      </c>
      <c r="M547" t="s">
        <v>1327</v>
      </c>
      <c r="N547">
        <v>4</v>
      </c>
      <c r="O547">
        <v>0.2</v>
      </c>
      <c r="P547">
        <v>5812.1</v>
      </c>
      <c r="Q547">
        <v>1221.55</v>
      </c>
      <c r="R547" t="s">
        <v>1333</v>
      </c>
      <c r="S547" t="b">
        <f t="shared" si="32"/>
        <v>0</v>
      </c>
      <c r="T547" t="b">
        <f t="shared" si="33"/>
        <v>0</v>
      </c>
      <c r="U547" t="b">
        <f t="shared" si="34"/>
        <v>0</v>
      </c>
    </row>
    <row r="548" spans="1:21" x14ac:dyDescent="0.3">
      <c r="A548">
        <v>547</v>
      </c>
      <c r="B548" t="s">
        <v>563</v>
      </c>
      <c r="C548" s="2">
        <v>45694</v>
      </c>
      <c r="D548" s="2" t="str">
        <f t="shared" si="35"/>
        <v>Feb-2025</v>
      </c>
      <c r="E548" s="2">
        <v>45698</v>
      </c>
      <c r="F548" t="s">
        <v>1018</v>
      </c>
      <c r="G548" t="s">
        <v>1205</v>
      </c>
      <c r="H548" t="s">
        <v>1278</v>
      </c>
      <c r="I548" t="s">
        <v>1287</v>
      </c>
      <c r="J548" t="s">
        <v>1294</v>
      </c>
      <c r="K548" t="s">
        <v>1305</v>
      </c>
      <c r="L548" t="s">
        <v>1309</v>
      </c>
      <c r="M548" t="s">
        <v>1329</v>
      </c>
      <c r="N548">
        <v>2</v>
      </c>
      <c r="O548">
        <v>0</v>
      </c>
      <c r="P548">
        <v>3877.3</v>
      </c>
      <c r="Q548">
        <v>1387.42</v>
      </c>
      <c r="R548" t="s">
        <v>1332</v>
      </c>
      <c r="S548" t="b">
        <f t="shared" si="32"/>
        <v>0</v>
      </c>
      <c r="T548" t="b">
        <f t="shared" si="33"/>
        <v>0</v>
      </c>
      <c r="U548" t="b">
        <f t="shared" si="34"/>
        <v>0</v>
      </c>
    </row>
    <row r="549" spans="1:21" x14ac:dyDescent="0.3">
      <c r="A549">
        <v>548</v>
      </c>
      <c r="B549" t="s">
        <v>564</v>
      </c>
      <c r="C549" s="2">
        <v>45699</v>
      </c>
      <c r="D549" s="2" t="str">
        <f t="shared" si="35"/>
        <v>Feb-2025</v>
      </c>
      <c r="E549" s="2">
        <v>45704</v>
      </c>
      <c r="F549" t="s">
        <v>1019</v>
      </c>
      <c r="G549" t="s">
        <v>1047</v>
      </c>
      <c r="H549" t="s">
        <v>1279</v>
      </c>
      <c r="I549" t="s">
        <v>1287</v>
      </c>
      <c r="J549" t="s">
        <v>1294</v>
      </c>
      <c r="K549" t="s">
        <v>1305</v>
      </c>
      <c r="L549" t="s">
        <v>1307</v>
      </c>
      <c r="M549" t="s">
        <v>1322</v>
      </c>
      <c r="N549">
        <v>4</v>
      </c>
      <c r="O549">
        <v>0.15</v>
      </c>
      <c r="P549">
        <v>2360.89</v>
      </c>
      <c r="Q549">
        <v>209.31</v>
      </c>
      <c r="R549" t="s">
        <v>1333</v>
      </c>
      <c r="S549" t="b">
        <f t="shared" si="32"/>
        <v>0</v>
      </c>
      <c r="T549" t="b">
        <f t="shared" si="33"/>
        <v>0</v>
      </c>
      <c r="U549" t="b">
        <f t="shared" si="34"/>
        <v>0</v>
      </c>
    </row>
    <row r="550" spans="1:21" x14ac:dyDescent="0.3">
      <c r="A550">
        <v>549</v>
      </c>
      <c r="B550" t="s">
        <v>565</v>
      </c>
      <c r="C550" s="2">
        <v>45819</v>
      </c>
      <c r="D550" s="2" t="str">
        <f t="shared" si="35"/>
        <v>Jun-2025</v>
      </c>
      <c r="E550" s="2">
        <v>45820</v>
      </c>
      <c r="F550" t="s">
        <v>1017</v>
      </c>
      <c r="G550" t="s">
        <v>1203</v>
      </c>
      <c r="H550" t="s">
        <v>1273</v>
      </c>
      <c r="I550" t="s">
        <v>1287</v>
      </c>
      <c r="J550" t="s">
        <v>1294</v>
      </c>
      <c r="K550" t="s">
        <v>1305</v>
      </c>
      <c r="L550" t="s">
        <v>1308</v>
      </c>
      <c r="M550" t="s">
        <v>1312</v>
      </c>
      <c r="N550">
        <v>1</v>
      </c>
      <c r="O550">
        <v>0</v>
      </c>
      <c r="P550">
        <v>1271.31</v>
      </c>
      <c r="Q550">
        <v>393.07</v>
      </c>
      <c r="R550" t="s">
        <v>1332</v>
      </c>
      <c r="S550" t="b">
        <f t="shared" si="32"/>
        <v>0</v>
      </c>
      <c r="T550" t="b">
        <f t="shared" si="33"/>
        <v>0</v>
      </c>
      <c r="U550" t="b">
        <f t="shared" si="34"/>
        <v>0</v>
      </c>
    </row>
    <row r="551" spans="1:21" x14ac:dyDescent="0.3">
      <c r="A551">
        <v>550</v>
      </c>
      <c r="B551" t="s">
        <v>566</v>
      </c>
      <c r="C551" s="2">
        <v>45693</v>
      </c>
      <c r="D551" s="2" t="str">
        <f t="shared" si="35"/>
        <v>Feb-2025</v>
      </c>
      <c r="E551" s="2">
        <v>45698</v>
      </c>
      <c r="F551" t="s">
        <v>1017</v>
      </c>
      <c r="G551" t="s">
        <v>1227</v>
      </c>
      <c r="H551" t="s">
        <v>1272</v>
      </c>
      <c r="I551" t="s">
        <v>1287</v>
      </c>
      <c r="J551" t="s">
        <v>1297</v>
      </c>
      <c r="K551" t="s">
        <v>1304</v>
      </c>
      <c r="L551" t="s">
        <v>1307</v>
      </c>
      <c r="M551" t="s">
        <v>1314</v>
      </c>
      <c r="N551">
        <v>2</v>
      </c>
      <c r="O551">
        <v>0.05</v>
      </c>
      <c r="P551">
        <v>1771.3</v>
      </c>
      <c r="Q551">
        <v>427.8</v>
      </c>
      <c r="R551" t="s">
        <v>1332</v>
      </c>
      <c r="S551" t="b">
        <f t="shared" si="32"/>
        <v>0</v>
      </c>
      <c r="T551" t="b">
        <f t="shared" si="33"/>
        <v>0</v>
      </c>
      <c r="U551" t="b">
        <f t="shared" si="34"/>
        <v>0</v>
      </c>
    </row>
    <row r="552" spans="1:21" x14ac:dyDescent="0.3">
      <c r="A552">
        <v>551</v>
      </c>
      <c r="B552" t="s">
        <v>567</v>
      </c>
      <c r="C552" s="2">
        <v>45952</v>
      </c>
      <c r="D552" s="2" t="str">
        <f t="shared" si="35"/>
        <v>Oct-2025</v>
      </c>
      <c r="E552" s="2">
        <v>45957</v>
      </c>
      <c r="F552" t="s">
        <v>1018</v>
      </c>
      <c r="G552" t="s">
        <v>1245</v>
      </c>
      <c r="H552" t="s">
        <v>1279</v>
      </c>
      <c r="I552" t="s">
        <v>1289</v>
      </c>
      <c r="J552" t="s">
        <v>1295</v>
      </c>
      <c r="K552" t="s">
        <v>1305</v>
      </c>
      <c r="L552" t="s">
        <v>1306</v>
      </c>
      <c r="M552" t="s">
        <v>1328</v>
      </c>
      <c r="N552">
        <v>1</v>
      </c>
      <c r="O552">
        <v>0.05</v>
      </c>
      <c r="P552">
        <v>114.04</v>
      </c>
      <c r="Q552">
        <v>32.06</v>
      </c>
      <c r="R552" t="s">
        <v>1334</v>
      </c>
      <c r="S552" t="b">
        <f t="shared" si="32"/>
        <v>0</v>
      </c>
      <c r="T552" t="b">
        <f t="shared" si="33"/>
        <v>0</v>
      </c>
      <c r="U552" t="b">
        <f t="shared" si="34"/>
        <v>0</v>
      </c>
    </row>
    <row r="553" spans="1:21" x14ac:dyDescent="0.3">
      <c r="A553">
        <v>552</v>
      </c>
      <c r="B553" t="s">
        <v>568</v>
      </c>
      <c r="C553" s="2">
        <v>45658</v>
      </c>
      <c r="D553" s="2" t="str">
        <f t="shared" si="35"/>
        <v>Jan-2025</v>
      </c>
      <c r="E553" s="2">
        <v>45663</v>
      </c>
      <c r="F553" t="s">
        <v>1019</v>
      </c>
      <c r="G553" t="s">
        <v>1234</v>
      </c>
      <c r="H553" t="s">
        <v>1280</v>
      </c>
      <c r="I553" t="s">
        <v>1287</v>
      </c>
      <c r="J553" t="s">
        <v>1295</v>
      </c>
      <c r="K553" t="s">
        <v>1305</v>
      </c>
      <c r="L553" t="s">
        <v>1308</v>
      </c>
      <c r="M553" t="s">
        <v>1327</v>
      </c>
      <c r="N553">
        <v>1</v>
      </c>
      <c r="O553">
        <v>0.05</v>
      </c>
      <c r="P553">
        <v>1703.48</v>
      </c>
      <c r="Q553">
        <v>485.35</v>
      </c>
      <c r="R553" t="s">
        <v>1333</v>
      </c>
      <c r="S553" t="b">
        <f t="shared" si="32"/>
        <v>0</v>
      </c>
      <c r="T553" t="b">
        <f t="shared" si="33"/>
        <v>0</v>
      </c>
      <c r="U553" t="b">
        <f t="shared" si="34"/>
        <v>0</v>
      </c>
    </row>
    <row r="554" spans="1:21" x14ac:dyDescent="0.3">
      <c r="A554">
        <v>553</v>
      </c>
      <c r="B554" t="s">
        <v>569</v>
      </c>
      <c r="C554" s="2">
        <v>45780</v>
      </c>
      <c r="D554" s="2" t="str">
        <f t="shared" si="35"/>
        <v>May-2025</v>
      </c>
      <c r="E554" s="2">
        <v>45781</v>
      </c>
      <c r="F554" t="s">
        <v>1017</v>
      </c>
      <c r="G554" t="s">
        <v>1212</v>
      </c>
      <c r="H554" t="s">
        <v>1269</v>
      </c>
      <c r="I554" t="s">
        <v>1288</v>
      </c>
      <c r="J554" t="s">
        <v>1291</v>
      </c>
      <c r="K554" t="s">
        <v>1302</v>
      </c>
      <c r="L554" t="s">
        <v>1309</v>
      </c>
      <c r="M554" t="s">
        <v>1329</v>
      </c>
      <c r="N554">
        <v>1</v>
      </c>
      <c r="O554">
        <v>0.1</v>
      </c>
      <c r="P554">
        <v>1750.03</v>
      </c>
      <c r="Q554">
        <v>410.73</v>
      </c>
      <c r="R554" t="s">
        <v>1331</v>
      </c>
      <c r="S554" t="b">
        <f t="shared" si="32"/>
        <v>0</v>
      </c>
      <c r="T554" t="b">
        <f t="shared" si="33"/>
        <v>0</v>
      </c>
      <c r="U554" t="b">
        <f t="shared" si="34"/>
        <v>0</v>
      </c>
    </row>
    <row r="555" spans="1:21" x14ac:dyDescent="0.3">
      <c r="A555">
        <v>554</v>
      </c>
      <c r="B555" t="s">
        <v>570</v>
      </c>
      <c r="C555" s="2">
        <v>46013</v>
      </c>
      <c r="D555" s="2" t="str">
        <f t="shared" si="35"/>
        <v>Dec-2025</v>
      </c>
      <c r="E555" s="2">
        <v>46015</v>
      </c>
      <c r="F555" t="s">
        <v>1017</v>
      </c>
      <c r="G555" t="s">
        <v>1226</v>
      </c>
      <c r="H555" t="s">
        <v>1278</v>
      </c>
      <c r="I555" t="s">
        <v>1289</v>
      </c>
      <c r="J555" t="s">
        <v>1294</v>
      </c>
      <c r="K555" t="s">
        <v>1305</v>
      </c>
      <c r="L555" t="s">
        <v>1309</v>
      </c>
      <c r="M555" t="s">
        <v>1313</v>
      </c>
      <c r="N555">
        <v>2</v>
      </c>
      <c r="O555">
        <v>0</v>
      </c>
      <c r="P555">
        <v>3105.78</v>
      </c>
      <c r="Q555">
        <v>821.43</v>
      </c>
      <c r="R555" t="s">
        <v>1330</v>
      </c>
      <c r="S555" t="b">
        <f t="shared" si="32"/>
        <v>0</v>
      </c>
      <c r="T555" t="b">
        <f t="shared" si="33"/>
        <v>0</v>
      </c>
      <c r="U555" t="b">
        <f t="shared" si="34"/>
        <v>0</v>
      </c>
    </row>
    <row r="556" spans="1:21" x14ac:dyDescent="0.3">
      <c r="A556">
        <v>555</v>
      </c>
      <c r="B556" t="s">
        <v>571</v>
      </c>
      <c r="C556" s="2">
        <v>45658</v>
      </c>
      <c r="D556" s="2" t="str">
        <f t="shared" si="35"/>
        <v>Jan-2025</v>
      </c>
      <c r="E556" s="2">
        <v>45663</v>
      </c>
      <c r="F556" t="s">
        <v>1017</v>
      </c>
      <c r="G556" t="s">
        <v>1030</v>
      </c>
      <c r="H556" t="s">
        <v>1282</v>
      </c>
      <c r="I556" t="s">
        <v>1289</v>
      </c>
      <c r="J556" t="s">
        <v>1293</v>
      </c>
      <c r="K556" t="s">
        <v>1304</v>
      </c>
      <c r="L556" t="s">
        <v>1309</v>
      </c>
      <c r="M556" t="s">
        <v>1325</v>
      </c>
      <c r="N556">
        <v>2</v>
      </c>
      <c r="O556">
        <v>0</v>
      </c>
      <c r="P556">
        <v>2543.42</v>
      </c>
      <c r="Q556">
        <v>489.47</v>
      </c>
      <c r="R556" t="s">
        <v>1331</v>
      </c>
      <c r="S556" t="b">
        <f t="shared" si="32"/>
        <v>0</v>
      </c>
      <c r="T556" t="b">
        <f t="shared" si="33"/>
        <v>0</v>
      </c>
      <c r="U556" t="b">
        <f t="shared" si="34"/>
        <v>0</v>
      </c>
    </row>
    <row r="557" spans="1:21" x14ac:dyDescent="0.3">
      <c r="A557">
        <v>556</v>
      </c>
      <c r="B557" t="s">
        <v>572</v>
      </c>
      <c r="C557" s="2">
        <v>45934</v>
      </c>
      <c r="D557" s="2" t="str">
        <f t="shared" si="35"/>
        <v>Oct-2025</v>
      </c>
      <c r="E557" s="2">
        <v>45936</v>
      </c>
      <c r="F557" t="s">
        <v>1017</v>
      </c>
      <c r="G557" t="s">
        <v>1059</v>
      </c>
      <c r="H557" t="s">
        <v>1284</v>
      </c>
      <c r="I557" t="s">
        <v>1287</v>
      </c>
      <c r="J557" t="s">
        <v>1290</v>
      </c>
      <c r="K557" t="s">
        <v>1302</v>
      </c>
      <c r="L557" t="s">
        <v>1306</v>
      </c>
      <c r="M557" t="s">
        <v>1321</v>
      </c>
      <c r="N557">
        <v>1</v>
      </c>
      <c r="O557">
        <v>0.25</v>
      </c>
      <c r="P557">
        <v>326.26</v>
      </c>
      <c r="Q557">
        <v>36.36</v>
      </c>
      <c r="R557" t="s">
        <v>1333</v>
      </c>
      <c r="S557" t="b">
        <f t="shared" si="32"/>
        <v>0</v>
      </c>
      <c r="T557" t="b">
        <f t="shared" si="33"/>
        <v>0</v>
      </c>
      <c r="U557" t="b">
        <f t="shared" si="34"/>
        <v>0</v>
      </c>
    </row>
    <row r="558" spans="1:21" x14ac:dyDescent="0.3">
      <c r="A558">
        <v>557</v>
      </c>
      <c r="B558" t="s">
        <v>573</v>
      </c>
      <c r="C558" s="2">
        <v>46016</v>
      </c>
      <c r="D558" s="2" t="str">
        <f t="shared" si="35"/>
        <v>Dec-2025</v>
      </c>
      <c r="E558" s="2">
        <v>46017</v>
      </c>
      <c r="F558" t="s">
        <v>1017</v>
      </c>
      <c r="G558" t="s">
        <v>1237</v>
      </c>
      <c r="H558" t="s">
        <v>1281</v>
      </c>
      <c r="I558" t="s">
        <v>1288</v>
      </c>
      <c r="J558" t="s">
        <v>1301</v>
      </c>
      <c r="K558" t="s">
        <v>1303</v>
      </c>
      <c r="L558" t="s">
        <v>1306</v>
      </c>
      <c r="M558" t="s">
        <v>1310</v>
      </c>
      <c r="N558">
        <v>1</v>
      </c>
      <c r="O558">
        <v>0</v>
      </c>
      <c r="P558">
        <v>662.34</v>
      </c>
      <c r="Q558">
        <v>181.02</v>
      </c>
      <c r="R558" t="s">
        <v>1330</v>
      </c>
      <c r="S558" t="b">
        <f t="shared" si="32"/>
        <v>0</v>
      </c>
      <c r="T558" t="b">
        <f t="shared" si="33"/>
        <v>0</v>
      </c>
      <c r="U558" t="b">
        <f t="shared" si="34"/>
        <v>0</v>
      </c>
    </row>
    <row r="559" spans="1:21" x14ac:dyDescent="0.3">
      <c r="A559">
        <v>558</v>
      </c>
      <c r="B559" t="s">
        <v>574</v>
      </c>
      <c r="C559" s="2">
        <v>45683</v>
      </c>
      <c r="D559" s="2" t="str">
        <f t="shared" si="35"/>
        <v>Jan-2025</v>
      </c>
      <c r="E559" s="2">
        <v>45685</v>
      </c>
      <c r="F559" t="s">
        <v>1017</v>
      </c>
      <c r="G559" t="s">
        <v>1186</v>
      </c>
      <c r="H559" t="s">
        <v>1278</v>
      </c>
      <c r="I559" t="s">
        <v>1288</v>
      </c>
      <c r="J559" t="s">
        <v>1300</v>
      </c>
      <c r="K559" t="s">
        <v>1305</v>
      </c>
      <c r="L559" t="s">
        <v>1308</v>
      </c>
      <c r="M559" t="s">
        <v>1326</v>
      </c>
      <c r="N559">
        <v>4</v>
      </c>
      <c r="O559">
        <v>0.25</v>
      </c>
      <c r="P559">
        <v>21064.95</v>
      </c>
      <c r="Q559">
        <v>2008.83</v>
      </c>
      <c r="R559" t="s">
        <v>1330</v>
      </c>
      <c r="S559" t="b">
        <f t="shared" si="32"/>
        <v>0</v>
      </c>
      <c r="T559" t="b">
        <f t="shared" si="33"/>
        <v>0</v>
      </c>
      <c r="U559" t="b">
        <f t="shared" si="34"/>
        <v>0</v>
      </c>
    </row>
    <row r="560" spans="1:21" x14ac:dyDescent="0.3">
      <c r="A560">
        <v>559</v>
      </c>
      <c r="B560" t="s">
        <v>575</v>
      </c>
      <c r="C560" s="2">
        <v>45972</v>
      </c>
      <c r="D560" s="2" t="str">
        <f t="shared" si="35"/>
        <v>Nov-2025</v>
      </c>
      <c r="E560" s="2">
        <v>45973</v>
      </c>
      <c r="F560" t="s">
        <v>1017</v>
      </c>
      <c r="G560" t="s">
        <v>1184</v>
      </c>
      <c r="H560" t="s">
        <v>1273</v>
      </c>
      <c r="I560" t="s">
        <v>1288</v>
      </c>
      <c r="J560" t="s">
        <v>1298</v>
      </c>
      <c r="K560" t="s">
        <v>1303</v>
      </c>
      <c r="L560" t="s">
        <v>1306</v>
      </c>
      <c r="M560" t="s">
        <v>1310</v>
      </c>
      <c r="N560">
        <v>1</v>
      </c>
      <c r="O560">
        <v>0.05</v>
      </c>
      <c r="P560">
        <v>616.16</v>
      </c>
      <c r="Q560">
        <v>189.68</v>
      </c>
      <c r="R560" t="s">
        <v>1331</v>
      </c>
      <c r="S560" t="b">
        <f t="shared" si="32"/>
        <v>0</v>
      </c>
      <c r="T560" t="b">
        <f t="shared" si="33"/>
        <v>0</v>
      </c>
      <c r="U560" t="b">
        <f t="shared" si="34"/>
        <v>0</v>
      </c>
    </row>
    <row r="561" spans="1:21" x14ac:dyDescent="0.3">
      <c r="A561">
        <v>560</v>
      </c>
      <c r="B561" t="s">
        <v>576</v>
      </c>
      <c r="C561" s="2">
        <v>45702</v>
      </c>
      <c r="D561" s="2" t="str">
        <f t="shared" si="35"/>
        <v>Feb-2025</v>
      </c>
      <c r="E561" s="2">
        <v>45703</v>
      </c>
      <c r="F561" t="s">
        <v>1017</v>
      </c>
      <c r="G561" t="s">
        <v>1033</v>
      </c>
      <c r="H561" t="s">
        <v>1269</v>
      </c>
      <c r="I561" t="s">
        <v>1289</v>
      </c>
      <c r="J561" t="s">
        <v>1295</v>
      </c>
      <c r="K561" t="s">
        <v>1305</v>
      </c>
      <c r="L561" t="s">
        <v>1306</v>
      </c>
      <c r="M561" t="s">
        <v>1321</v>
      </c>
      <c r="N561">
        <v>1</v>
      </c>
      <c r="O561">
        <v>0.2</v>
      </c>
      <c r="P561">
        <v>347.38</v>
      </c>
      <c r="Q561">
        <v>22.48</v>
      </c>
      <c r="R561" t="s">
        <v>1332</v>
      </c>
      <c r="S561" t="b">
        <f t="shared" si="32"/>
        <v>0</v>
      </c>
      <c r="T561" t="b">
        <f t="shared" si="33"/>
        <v>0</v>
      </c>
      <c r="U561" t="b">
        <f t="shared" si="34"/>
        <v>0</v>
      </c>
    </row>
    <row r="562" spans="1:21" x14ac:dyDescent="0.3">
      <c r="A562">
        <v>561</v>
      </c>
      <c r="B562" t="s">
        <v>577</v>
      </c>
      <c r="C562" s="2">
        <v>45938</v>
      </c>
      <c r="D562" s="2" t="str">
        <f t="shared" si="35"/>
        <v>Oct-2025</v>
      </c>
      <c r="E562" s="2">
        <v>45943</v>
      </c>
      <c r="F562" t="s">
        <v>1018</v>
      </c>
      <c r="G562" t="s">
        <v>1033</v>
      </c>
      <c r="H562" t="s">
        <v>1285</v>
      </c>
      <c r="I562" t="s">
        <v>1287</v>
      </c>
      <c r="J562" t="s">
        <v>1300</v>
      </c>
      <c r="K562" t="s">
        <v>1305</v>
      </c>
      <c r="L562" t="s">
        <v>1306</v>
      </c>
      <c r="M562" t="s">
        <v>1328</v>
      </c>
      <c r="N562">
        <v>1</v>
      </c>
      <c r="O562">
        <v>0.05</v>
      </c>
      <c r="P562">
        <v>110.58</v>
      </c>
      <c r="Q562">
        <v>35.270000000000003</v>
      </c>
      <c r="R562" t="s">
        <v>1331</v>
      </c>
      <c r="S562" t="b">
        <f t="shared" si="32"/>
        <v>0</v>
      </c>
      <c r="T562" t="b">
        <f t="shared" si="33"/>
        <v>0</v>
      </c>
      <c r="U562" t="b">
        <f t="shared" si="34"/>
        <v>0</v>
      </c>
    </row>
    <row r="563" spans="1:21" x14ac:dyDescent="0.3">
      <c r="A563">
        <v>562</v>
      </c>
      <c r="B563" t="s">
        <v>578</v>
      </c>
      <c r="C563" s="2">
        <v>45822</v>
      </c>
      <c r="D563" s="2" t="str">
        <f t="shared" si="35"/>
        <v>Jun-2025</v>
      </c>
      <c r="E563" s="2">
        <v>45825</v>
      </c>
      <c r="F563" t="s">
        <v>1017</v>
      </c>
      <c r="G563" t="s">
        <v>1246</v>
      </c>
      <c r="H563" t="s">
        <v>1282</v>
      </c>
      <c r="I563" t="s">
        <v>1288</v>
      </c>
      <c r="J563" t="s">
        <v>1294</v>
      </c>
      <c r="K563" t="s">
        <v>1305</v>
      </c>
      <c r="L563" t="s">
        <v>1307</v>
      </c>
      <c r="M563" t="s">
        <v>1322</v>
      </c>
      <c r="N563">
        <v>2</v>
      </c>
      <c r="O563">
        <v>0.1</v>
      </c>
      <c r="P563">
        <v>1311.93</v>
      </c>
      <c r="Q563">
        <v>263.86</v>
      </c>
      <c r="R563" t="s">
        <v>1333</v>
      </c>
      <c r="S563" t="b">
        <f t="shared" si="32"/>
        <v>0</v>
      </c>
      <c r="T563" t="b">
        <f t="shared" si="33"/>
        <v>0</v>
      </c>
      <c r="U563" t="b">
        <f t="shared" si="34"/>
        <v>0</v>
      </c>
    </row>
    <row r="564" spans="1:21" x14ac:dyDescent="0.3">
      <c r="A564">
        <v>563</v>
      </c>
      <c r="B564" t="s">
        <v>579</v>
      </c>
      <c r="C564" s="2">
        <v>45981</v>
      </c>
      <c r="D564" s="2" t="str">
        <f t="shared" si="35"/>
        <v>Nov-2025</v>
      </c>
      <c r="E564" s="2">
        <v>45984</v>
      </c>
      <c r="F564" t="s">
        <v>1018</v>
      </c>
      <c r="G564" t="s">
        <v>1188</v>
      </c>
      <c r="H564" t="s">
        <v>1268</v>
      </c>
      <c r="I564" t="s">
        <v>1288</v>
      </c>
      <c r="J564" t="s">
        <v>1290</v>
      </c>
      <c r="K564" t="s">
        <v>1302</v>
      </c>
      <c r="L564" t="s">
        <v>1309</v>
      </c>
      <c r="M564" t="s">
        <v>1313</v>
      </c>
      <c r="N564">
        <v>1</v>
      </c>
      <c r="O564">
        <v>0.1</v>
      </c>
      <c r="P564">
        <v>1286.98</v>
      </c>
      <c r="Q564">
        <v>236.77</v>
      </c>
      <c r="R564" t="s">
        <v>1331</v>
      </c>
      <c r="S564" t="b">
        <f t="shared" si="32"/>
        <v>0</v>
      </c>
      <c r="T564" t="b">
        <f t="shared" si="33"/>
        <v>0</v>
      </c>
      <c r="U564" t="b">
        <f t="shared" si="34"/>
        <v>0</v>
      </c>
    </row>
    <row r="565" spans="1:21" x14ac:dyDescent="0.3">
      <c r="A565">
        <v>564</v>
      </c>
      <c r="B565" t="s">
        <v>580</v>
      </c>
      <c r="C565" s="2">
        <v>45734</v>
      </c>
      <c r="D565" s="2" t="str">
        <f t="shared" si="35"/>
        <v>Mar-2025</v>
      </c>
      <c r="E565" s="2">
        <v>45739</v>
      </c>
      <c r="F565" t="s">
        <v>1017</v>
      </c>
      <c r="G565" t="s">
        <v>1037</v>
      </c>
      <c r="H565" t="s">
        <v>1280</v>
      </c>
      <c r="I565" t="s">
        <v>1289</v>
      </c>
      <c r="J565" t="s">
        <v>1295</v>
      </c>
      <c r="K565" t="s">
        <v>1305</v>
      </c>
      <c r="L565" t="s">
        <v>1309</v>
      </c>
      <c r="M565" t="s">
        <v>1313</v>
      </c>
      <c r="N565">
        <v>1</v>
      </c>
      <c r="O565">
        <v>0.2</v>
      </c>
      <c r="P565">
        <v>1177.29</v>
      </c>
      <c r="Q565">
        <v>18.170000000000002</v>
      </c>
      <c r="R565" t="s">
        <v>1334</v>
      </c>
      <c r="S565" t="b">
        <f t="shared" si="32"/>
        <v>0</v>
      </c>
      <c r="T565" t="b">
        <f t="shared" si="33"/>
        <v>0</v>
      </c>
      <c r="U565" t="b">
        <f t="shared" si="34"/>
        <v>0</v>
      </c>
    </row>
    <row r="566" spans="1:21" x14ac:dyDescent="0.3">
      <c r="A566">
        <v>565</v>
      </c>
      <c r="B566" t="s">
        <v>581</v>
      </c>
      <c r="C566" s="2">
        <v>45798</v>
      </c>
      <c r="D566" s="2" t="str">
        <f t="shared" si="35"/>
        <v>May-2025</v>
      </c>
      <c r="E566" s="2">
        <v>45801</v>
      </c>
      <c r="F566" t="s">
        <v>1017</v>
      </c>
      <c r="G566" t="s">
        <v>1243</v>
      </c>
      <c r="H566" t="s">
        <v>1282</v>
      </c>
      <c r="I566" t="s">
        <v>1287</v>
      </c>
      <c r="J566" t="s">
        <v>1299</v>
      </c>
      <c r="K566" t="s">
        <v>1304</v>
      </c>
      <c r="L566" t="s">
        <v>1308</v>
      </c>
      <c r="M566" t="s">
        <v>1312</v>
      </c>
      <c r="N566">
        <v>3</v>
      </c>
      <c r="O566">
        <v>0</v>
      </c>
      <c r="P566">
        <v>4081.47</v>
      </c>
      <c r="Q566">
        <v>1049.1600000000001</v>
      </c>
      <c r="R566" t="s">
        <v>1333</v>
      </c>
      <c r="S566" t="b">
        <f t="shared" si="32"/>
        <v>0</v>
      </c>
      <c r="T566" t="b">
        <f t="shared" si="33"/>
        <v>0</v>
      </c>
      <c r="U566" t="b">
        <f t="shared" si="34"/>
        <v>0</v>
      </c>
    </row>
    <row r="567" spans="1:21" x14ac:dyDescent="0.3">
      <c r="A567">
        <v>566</v>
      </c>
      <c r="B567" t="s">
        <v>582</v>
      </c>
      <c r="C567" s="2">
        <v>45706</v>
      </c>
      <c r="D567" s="2" t="str">
        <f t="shared" si="35"/>
        <v>Feb-2025</v>
      </c>
      <c r="E567" s="2">
        <v>45709</v>
      </c>
      <c r="F567" t="s">
        <v>1019</v>
      </c>
      <c r="G567" t="s">
        <v>1024</v>
      </c>
      <c r="H567" t="s">
        <v>1284</v>
      </c>
      <c r="I567" t="s">
        <v>1289</v>
      </c>
      <c r="J567" t="s">
        <v>1298</v>
      </c>
      <c r="K567" t="s">
        <v>1303</v>
      </c>
      <c r="L567" t="s">
        <v>1307</v>
      </c>
      <c r="M567" t="s">
        <v>1322</v>
      </c>
      <c r="N567">
        <v>1</v>
      </c>
      <c r="O567">
        <v>0.05</v>
      </c>
      <c r="P567">
        <v>652.03</v>
      </c>
      <c r="Q567">
        <v>83.19</v>
      </c>
      <c r="R567" t="s">
        <v>1334</v>
      </c>
      <c r="S567" t="b">
        <f t="shared" si="32"/>
        <v>0</v>
      </c>
      <c r="T567" t="b">
        <f t="shared" si="33"/>
        <v>0</v>
      </c>
      <c r="U567" t="b">
        <f t="shared" si="34"/>
        <v>0</v>
      </c>
    </row>
    <row r="568" spans="1:21" x14ac:dyDescent="0.3">
      <c r="A568">
        <v>567</v>
      </c>
      <c r="B568" t="s">
        <v>583</v>
      </c>
      <c r="C568" s="2">
        <v>45906</v>
      </c>
      <c r="D568" s="2" t="str">
        <f t="shared" si="35"/>
        <v>Sep-2025</v>
      </c>
      <c r="E568" s="2">
        <v>45910</v>
      </c>
      <c r="F568" t="s">
        <v>1018</v>
      </c>
      <c r="G568" t="s">
        <v>1199</v>
      </c>
      <c r="H568" t="s">
        <v>1272</v>
      </c>
      <c r="I568" t="s">
        <v>1287</v>
      </c>
      <c r="J568" t="s">
        <v>1295</v>
      </c>
      <c r="K568" t="s">
        <v>1305</v>
      </c>
      <c r="L568" t="s">
        <v>1306</v>
      </c>
      <c r="M568" t="s">
        <v>1324</v>
      </c>
      <c r="N568">
        <v>2</v>
      </c>
      <c r="O568">
        <v>0</v>
      </c>
      <c r="P568">
        <v>178.85</v>
      </c>
      <c r="Q568">
        <v>40.299999999999997</v>
      </c>
      <c r="R568" t="s">
        <v>1333</v>
      </c>
      <c r="S568" t="b">
        <f t="shared" si="32"/>
        <v>0</v>
      </c>
      <c r="T568" t="b">
        <f t="shared" si="33"/>
        <v>0</v>
      </c>
      <c r="U568" t="b">
        <f t="shared" si="34"/>
        <v>0</v>
      </c>
    </row>
    <row r="569" spans="1:21" x14ac:dyDescent="0.3">
      <c r="A569">
        <v>568</v>
      </c>
      <c r="B569" t="s">
        <v>584</v>
      </c>
      <c r="C569" s="2">
        <v>45718</v>
      </c>
      <c r="D569" s="2" t="str">
        <f t="shared" si="35"/>
        <v>Mar-2025</v>
      </c>
      <c r="E569" s="2">
        <v>45719</v>
      </c>
      <c r="F569" t="s">
        <v>1018</v>
      </c>
      <c r="G569" t="s">
        <v>1197</v>
      </c>
      <c r="H569" t="s">
        <v>1271</v>
      </c>
      <c r="I569" t="s">
        <v>1287</v>
      </c>
      <c r="J569" t="s">
        <v>1293</v>
      </c>
      <c r="K569" t="s">
        <v>1304</v>
      </c>
      <c r="L569" t="s">
        <v>1307</v>
      </c>
      <c r="M569" t="s">
        <v>1316</v>
      </c>
      <c r="N569">
        <v>2</v>
      </c>
      <c r="O569">
        <v>0.2</v>
      </c>
      <c r="P569">
        <v>822.74</v>
      </c>
      <c r="Q569">
        <v>130.33000000000001</v>
      </c>
      <c r="R569" t="s">
        <v>1332</v>
      </c>
      <c r="S569" t="b">
        <f t="shared" si="32"/>
        <v>0</v>
      </c>
      <c r="T569" t="b">
        <f t="shared" si="33"/>
        <v>0</v>
      </c>
      <c r="U569" t="b">
        <f t="shared" si="34"/>
        <v>0</v>
      </c>
    </row>
    <row r="570" spans="1:21" x14ac:dyDescent="0.3">
      <c r="A570">
        <v>569</v>
      </c>
      <c r="B570" t="s">
        <v>585</v>
      </c>
      <c r="C570" s="2">
        <v>45667</v>
      </c>
      <c r="D570" s="2" t="str">
        <f t="shared" si="35"/>
        <v>Jan-2025</v>
      </c>
      <c r="E570" s="2">
        <v>45668</v>
      </c>
      <c r="F570" t="s">
        <v>1018</v>
      </c>
      <c r="G570" t="s">
        <v>1032</v>
      </c>
      <c r="H570" t="s">
        <v>1275</v>
      </c>
      <c r="I570" t="s">
        <v>1287</v>
      </c>
      <c r="J570" t="s">
        <v>1293</v>
      </c>
      <c r="K570" t="s">
        <v>1304</v>
      </c>
      <c r="L570" t="s">
        <v>1309</v>
      </c>
      <c r="M570" t="s">
        <v>1313</v>
      </c>
      <c r="N570">
        <v>2</v>
      </c>
      <c r="O570">
        <v>0.1</v>
      </c>
      <c r="P570">
        <v>2784.77</v>
      </c>
      <c r="Q570">
        <v>784.3</v>
      </c>
      <c r="R570" t="s">
        <v>1332</v>
      </c>
      <c r="S570" t="b">
        <f t="shared" si="32"/>
        <v>0</v>
      </c>
      <c r="T570" t="b">
        <f t="shared" si="33"/>
        <v>0</v>
      </c>
      <c r="U570" t="b">
        <f t="shared" si="34"/>
        <v>0</v>
      </c>
    </row>
    <row r="571" spans="1:21" x14ac:dyDescent="0.3">
      <c r="A571">
        <v>570</v>
      </c>
      <c r="B571" t="s">
        <v>586</v>
      </c>
      <c r="C571" s="2">
        <v>45788</v>
      </c>
      <c r="D571" s="2" t="str">
        <f t="shared" si="35"/>
        <v>May-2025</v>
      </c>
      <c r="E571" s="2">
        <v>45789</v>
      </c>
      <c r="F571" t="s">
        <v>1017</v>
      </c>
      <c r="G571" t="s">
        <v>1206</v>
      </c>
      <c r="H571" t="s">
        <v>1268</v>
      </c>
      <c r="I571" t="s">
        <v>1287</v>
      </c>
      <c r="J571" t="s">
        <v>1298</v>
      </c>
      <c r="K571" t="s">
        <v>1303</v>
      </c>
      <c r="L571" t="s">
        <v>1306</v>
      </c>
      <c r="M571" t="s">
        <v>1321</v>
      </c>
      <c r="N571">
        <v>1</v>
      </c>
      <c r="O571">
        <v>0.15</v>
      </c>
      <c r="P571">
        <v>394.2</v>
      </c>
      <c r="Q571">
        <v>90.03</v>
      </c>
      <c r="R571" t="s">
        <v>1331</v>
      </c>
      <c r="S571" t="b">
        <f t="shared" si="32"/>
        <v>0</v>
      </c>
      <c r="T571" t="b">
        <f t="shared" si="33"/>
        <v>0</v>
      </c>
      <c r="U571" t="b">
        <f t="shared" si="34"/>
        <v>0</v>
      </c>
    </row>
    <row r="572" spans="1:21" x14ac:dyDescent="0.3">
      <c r="A572">
        <v>571</v>
      </c>
      <c r="B572" t="s">
        <v>587</v>
      </c>
      <c r="C572" s="2">
        <v>45848</v>
      </c>
      <c r="D572" s="2" t="str">
        <f t="shared" si="35"/>
        <v>Jul-2025</v>
      </c>
      <c r="E572" s="2">
        <v>45851</v>
      </c>
      <c r="F572" t="s">
        <v>1017</v>
      </c>
      <c r="G572" t="s">
        <v>1164</v>
      </c>
      <c r="H572" t="s">
        <v>1285</v>
      </c>
      <c r="I572" t="s">
        <v>1289</v>
      </c>
      <c r="J572" t="s">
        <v>1299</v>
      </c>
      <c r="K572" t="s">
        <v>1304</v>
      </c>
      <c r="L572" t="s">
        <v>1306</v>
      </c>
      <c r="M572" t="s">
        <v>1324</v>
      </c>
      <c r="N572">
        <v>2</v>
      </c>
      <c r="O572">
        <v>0.2</v>
      </c>
      <c r="P572">
        <v>148.21</v>
      </c>
      <c r="Q572">
        <v>14.87</v>
      </c>
      <c r="R572" t="s">
        <v>1331</v>
      </c>
      <c r="S572" t="b">
        <f t="shared" si="32"/>
        <v>0</v>
      </c>
      <c r="T572" t="b">
        <f t="shared" si="33"/>
        <v>0</v>
      </c>
      <c r="U572" t="b">
        <f t="shared" si="34"/>
        <v>0</v>
      </c>
    </row>
    <row r="573" spans="1:21" x14ac:dyDescent="0.3">
      <c r="A573">
        <v>572</v>
      </c>
      <c r="B573" t="s">
        <v>588</v>
      </c>
      <c r="C573" s="2">
        <v>46022</v>
      </c>
      <c r="D573" s="2" t="str">
        <f t="shared" si="35"/>
        <v>Dec-2025</v>
      </c>
      <c r="E573" s="2">
        <v>46026</v>
      </c>
      <c r="F573" t="s">
        <v>1019</v>
      </c>
      <c r="G573" t="s">
        <v>1234</v>
      </c>
      <c r="H573" t="s">
        <v>1273</v>
      </c>
      <c r="I573" t="s">
        <v>1289</v>
      </c>
      <c r="J573" t="s">
        <v>1295</v>
      </c>
      <c r="K573" t="s">
        <v>1305</v>
      </c>
      <c r="L573" t="s">
        <v>1309</v>
      </c>
      <c r="M573" t="s">
        <v>1317</v>
      </c>
      <c r="N573">
        <v>1</v>
      </c>
      <c r="O573">
        <v>0.1</v>
      </c>
      <c r="P573">
        <v>745.23</v>
      </c>
      <c r="Q573">
        <v>103.32</v>
      </c>
      <c r="R573" t="s">
        <v>1331</v>
      </c>
      <c r="S573" t="b">
        <f t="shared" si="32"/>
        <v>0</v>
      </c>
      <c r="T573" t="b">
        <f t="shared" si="33"/>
        <v>0</v>
      </c>
      <c r="U573" t="b">
        <f t="shared" si="34"/>
        <v>0</v>
      </c>
    </row>
    <row r="574" spans="1:21" x14ac:dyDescent="0.3">
      <c r="A574">
        <v>573</v>
      </c>
      <c r="B574" t="s">
        <v>589</v>
      </c>
      <c r="C574" s="2">
        <v>45746</v>
      </c>
      <c r="D574" s="2" t="str">
        <f t="shared" si="35"/>
        <v>Mar-2025</v>
      </c>
      <c r="E574" s="2">
        <v>45749</v>
      </c>
      <c r="F574" t="s">
        <v>1017</v>
      </c>
      <c r="G574" t="s">
        <v>1066</v>
      </c>
      <c r="H574" t="s">
        <v>1282</v>
      </c>
      <c r="I574" t="s">
        <v>1289</v>
      </c>
      <c r="J574" t="s">
        <v>1294</v>
      </c>
      <c r="K574" t="s">
        <v>1305</v>
      </c>
      <c r="L574" t="s">
        <v>1308</v>
      </c>
      <c r="M574" t="s">
        <v>1319</v>
      </c>
      <c r="N574">
        <v>1</v>
      </c>
      <c r="O574">
        <v>0.2</v>
      </c>
      <c r="P574">
        <v>3763.65</v>
      </c>
      <c r="Q574">
        <v>893.56</v>
      </c>
      <c r="R574" t="s">
        <v>1331</v>
      </c>
      <c r="S574" t="b">
        <f t="shared" si="32"/>
        <v>0</v>
      </c>
      <c r="T574" t="b">
        <f t="shared" si="33"/>
        <v>0</v>
      </c>
      <c r="U574" t="b">
        <f t="shared" si="34"/>
        <v>0</v>
      </c>
    </row>
    <row r="575" spans="1:21" x14ac:dyDescent="0.3">
      <c r="A575">
        <v>574</v>
      </c>
      <c r="B575" t="s">
        <v>590</v>
      </c>
      <c r="C575" s="2">
        <v>45671</v>
      </c>
      <c r="D575" s="2" t="str">
        <f t="shared" si="35"/>
        <v>Jan-2025</v>
      </c>
      <c r="E575" s="2">
        <v>45672</v>
      </c>
      <c r="F575" t="s">
        <v>1017</v>
      </c>
      <c r="G575" t="s">
        <v>1093</v>
      </c>
      <c r="H575" t="s">
        <v>1285</v>
      </c>
      <c r="I575" t="s">
        <v>1287</v>
      </c>
      <c r="J575" t="s">
        <v>1301</v>
      </c>
      <c r="K575" t="s">
        <v>1303</v>
      </c>
      <c r="L575" t="s">
        <v>1306</v>
      </c>
      <c r="M575" t="s">
        <v>1323</v>
      </c>
      <c r="N575">
        <v>2</v>
      </c>
      <c r="O575">
        <v>0.2</v>
      </c>
      <c r="P575">
        <v>285.23</v>
      </c>
      <c r="Q575">
        <v>28.9</v>
      </c>
      <c r="R575" t="s">
        <v>1332</v>
      </c>
      <c r="S575" t="b">
        <f t="shared" si="32"/>
        <v>0</v>
      </c>
      <c r="T575" t="b">
        <f t="shared" si="33"/>
        <v>0</v>
      </c>
      <c r="U575" t="b">
        <f t="shared" si="34"/>
        <v>0</v>
      </c>
    </row>
    <row r="576" spans="1:21" x14ac:dyDescent="0.3">
      <c r="A576">
        <v>575</v>
      </c>
      <c r="B576" t="s">
        <v>591</v>
      </c>
      <c r="C576" s="2">
        <v>46012</v>
      </c>
      <c r="D576" s="2" t="str">
        <f t="shared" si="35"/>
        <v>Dec-2025</v>
      </c>
      <c r="E576" s="2">
        <v>46013</v>
      </c>
      <c r="F576" t="s">
        <v>1019</v>
      </c>
      <c r="G576" t="s">
        <v>1044</v>
      </c>
      <c r="H576" t="s">
        <v>1270</v>
      </c>
      <c r="I576" t="s">
        <v>1289</v>
      </c>
      <c r="J576" t="s">
        <v>1300</v>
      </c>
      <c r="K576" t="s">
        <v>1305</v>
      </c>
      <c r="L576" t="s">
        <v>1306</v>
      </c>
      <c r="M576" t="s">
        <v>1321</v>
      </c>
      <c r="N576">
        <v>2</v>
      </c>
      <c r="O576">
        <v>0</v>
      </c>
      <c r="P576">
        <v>856.21</v>
      </c>
      <c r="Q576">
        <v>294.70999999999998</v>
      </c>
      <c r="R576" t="s">
        <v>1331</v>
      </c>
      <c r="S576" t="b">
        <f t="shared" si="32"/>
        <v>0</v>
      </c>
      <c r="T576" t="b">
        <f t="shared" si="33"/>
        <v>0</v>
      </c>
      <c r="U576" t="b">
        <f t="shared" si="34"/>
        <v>0</v>
      </c>
    </row>
    <row r="577" spans="1:21" x14ac:dyDescent="0.3">
      <c r="A577">
        <v>576</v>
      </c>
      <c r="B577" t="s">
        <v>592</v>
      </c>
      <c r="C577" s="2">
        <v>45849</v>
      </c>
      <c r="D577" s="2" t="str">
        <f t="shared" si="35"/>
        <v>Jul-2025</v>
      </c>
      <c r="E577" s="2">
        <v>45853</v>
      </c>
      <c r="F577" t="s">
        <v>1018</v>
      </c>
      <c r="G577" t="s">
        <v>1035</v>
      </c>
      <c r="H577" t="s">
        <v>1280</v>
      </c>
      <c r="I577" t="s">
        <v>1288</v>
      </c>
      <c r="J577" t="s">
        <v>1299</v>
      </c>
      <c r="K577" t="s">
        <v>1304</v>
      </c>
      <c r="L577" t="s">
        <v>1307</v>
      </c>
      <c r="M577" t="s">
        <v>1316</v>
      </c>
      <c r="N577">
        <v>2</v>
      </c>
      <c r="O577">
        <v>0</v>
      </c>
      <c r="P577">
        <v>991.29</v>
      </c>
      <c r="Q577">
        <v>275.89</v>
      </c>
      <c r="R577" t="s">
        <v>1332</v>
      </c>
      <c r="S577" t="b">
        <f t="shared" si="32"/>
        <v>0</v>
      </c>
      <c r="T577" t="b">
        <f t="shared" si="33"/>
        <v>0</v>
      </c>
      <c r="U577" t="b">
        <f t="shared" si="34"/>
        <v>0</v>
      </c>
    </row>
    <row r="578" spans="1:21" x14ac:dyDescent="0.3">
      <c r="A578">
        <v>577</v>
      </c>
      <c r="B578" t="s">
        <v>593</v>
      </c>
      <c r="C578" s="2">
        <v>45685</v>
      </c>
      <c r="D578" s="2" t="str">
        <f t="shared" si="35"/>
        <v>Jan-2025</v>
      </c>
      <c r="E578" s="2">
        <v>45686</v>
      </c>
      <c r="F578" t="s">
        <v>1017</v>
      </c>
      <c r="G578" t="s">
        <v>1237</v>
      </c>
      <c r="H578" t="s">
        <v>1269</v>
      </c>
      <c r="I578" t="s">
        <v>1288</v>
      </c>
      <c r="J578" t="s">
        <v>1290</v>
      </c>
      <c r="K578" t="s">
        <v>1302</v>
      </c>
      <c r="L578" t="s">
        <v>1306</v>
      </c>
      <c r="M578" t="s">
        <v>1323</v>
      </c>
      <c r="N578">
        <v>1</v>
      </c>
      <c r="O578">
        <v>0.2</v>
      </c>
      <c r="P578">
        <v>138.63</v>
      </c>
      <c r="Q578">
        <v>14.19</v>
      </c>
      <c r="R578" t="s">
        <v>1331</v>
      </c>
      <c r="S578" t="b">
        <f t="shared" ref="S578:S641" si="36">E578&lt;C578</f>
        <v>0</v>
      </c>
      <c r="T578" t="b">
        <f t="shared" ref="T578:T641" si="37">N578&lt;=0</f>
        <v>0</v>
      </c>
      <c r="U578" t="b">
        <f t="shared" ref="U578:U641" si="38">OR(O578&lt;0,O578&gt;1)</f>
        <v>0</v>
      </c>
    </row>
    <row r="579" spans="1:21" x14ac:dyDescent="0.3">
      <c r="A579">
        <v>578</v>
      </c>
      <c r="B579" t="s">
        <v>594</v>
      </c>
      <c r="C579" s="2">
        <v>45711</v>
      </c>
      <c r="D579" s="2" t="str">
        <f t="shared" ref="D579:D642" si="39">TEXT(C579,"mmm-yyyy")</f>
        <v>Feb-2025</v>
      </c>
      <c r="E579" s="2">
        <v>45715</v>
      </c>
      <c r="F579" t="s">
        <v>1018</v>
      </c>
      <c r="G579" t="s">
        <v>1198</v>
      </c>
      <c r="H579" t="s">
        <v>1268</v>
      </c>
      <c r="I579" t="s">
        <v>1289</v>
      </c>
      <c r="J579" t="s">
        <v>1298</v>
      </c>
      <c r="K579" t="s">
        <v>1303</v>
      </c>
      <c r="L579" t="s">
        <v>1307</v>
      </c>
      <c r="M579" t="s">
        <v>1314</v>
      </c>
      <c r="N579">
        <v>5</v>
      </c>
      <c r="O579">
        <v>0.25</v>
      </c>
      <c r="P579">
        <v>3308.12</v>
      </c>
      <c r="Q579">
        <v>84.27</v>
      </c>
      <c r="R579" t="s">
        <v>1332</v>
      </c>
      <c r="S579" t="b">
        <f t="shared" si="36"/>
        <v>0</v>
      </c>
      <c r="T579" t="b">
        <f t="shared" si="37"/>
        <v>0</v>
      </c>
      <c r="U579" t="b">
        <f t="shared" si="38"/>
        <v>0</v>
      </c>
    </row>
    <row r="580" spans="1:21" x14ac:dyDescent="0.3">
      <c r="A580">
        <v>579</v>
      </c>
      <c r="B580" t="s">
        <v>595</v>
      </c>
      <c r="C580" s="2">
        <v>45758</v>
      </c>
      <c r="D580" s="2" t="str">
        <f t="shared" si="39"/>
        <v>Apr-2025</v>
      </c>
      <c r="E580" s="2">
        <v>45762</v>
      </c>
      <c r="F580" t="s">
        <v>1018</v>
      </c>
      <c r="G580" t="s">
        <v>1029</v>
      </c>
      <c r="H580" t="s">
        <v>1280</v>
      </c>
      <c r="I580" t="s">
        <v>1287</v>
      </c>
      <c r="J580" t="s">
        <v>1293</v>
      </c>
      <c r="K580" t="s">
        <v>1304</v>
      </c>
      <c r="L580" t="s">
        <v>1309</v>
      </c>
      <c r="M580" t="s">
        <v>1329</v>
      </c>
      <c r="N580">
        <v>3</v>
      </c>
      <c r="O580">
        <v>0</v>
      </c>
      <c r="P580">
        <v>5870.4</v>
      </c>
      <c r="Q580">
        <v>2263.25</v>
      </c>
      <c r="R580" t="s">
        <v>1333</v>
      </c>
      <c r="S580" t="b">
        <f t="shared" si="36"/>
        <v>0</v>
      </c>
      <c r="T580" t="b">
        <f t="shared" si="37"/>
        <v>0</v>
      </c>
      <c r="U580" t="b">
        <f t="shared" si="38"/>
        <v>0</v>
      </c>
    </row>
    <row r="581" spans="1:21" x14ac:dyDescent="0.3">
      <c r="A581">
        <v>580</v>
      </c>
      <c r="B581" t="s">
        <v>596</v>
      </c>
      <c r="C581" s="2">
        <v>45714</v>
      </c>
      <c r="D581" s="2" t="str">
        <f t="shared" si="39"/>
        <v>Feb-2025</v>
      </c>
      <c r="E581" s="2">
        <v>45716</v>
      </c>
      <c r="F581" t="s">
        <v>1017</v>
      </c>
      <c r="G581" t="s">
        <v>1203</v>
      </c>
      <c r="H581" t="s">
        <v>1274</v>
      </c>
      <c r="I581" t="s">
        <v>1288</v>
      </c>
      <c r="J581" t="s">
        <v>1295</v>
      </c>
      <c r="K581" t="s">
        <v>1305</v>
      </c>
      <c r="L581" t="s">
        <v>1307</v>
      </c>
      <c r="M581" t="s">
        <v>1311</v>
      </c>
      <c r="N581">
        <v>2</v>
      </c>
      <c r="O581">
        <v>0</v>
      </c>
      <c r="P581">
        <v>624.62</v>
      </c>
      <c r="Q581">
        <v>220.05</v>
      </c>
      <c r="R581" t="s">
        <v>1331</v>
      </c>
      <c r="S581" t="b">
        <f t="shared" si="36"/>
        <v>0</v>
      </c>
      <c r="T581" t="b">
        <f t="shared" si="37"/>
        <v>0</v>
      </c>
      <c r="U581" t="b">
        <f t="shared" si="38"/>
        <v>0</v>
      </c>
    </row>
    <row r="582" spans="1:21" x14ac:dyDescent="0.3">
      <c r="A582">
        <v>581</v>
      </c>
      <c r="B582" t="s">
        <v>597</v>
      </c>
      <c r="C582" s="2">
        <v>45843</v>
      </c>
      <c r="D582" s="2" t="str">
        <f t="shared" si="39"/>
        <v>Jul-2025</v>
      </c>
      <c r="E582" s="2">
        <v>45846</v>
      </c>
      <c r="F582" t="s">
        <v>1017</v>
      </c>
      <c r="G582" t="s">
        <v>1236</v>
      </c>
      <c r="H582" t="s">
        <v>1267</v>
      </c>
      <c r="I582" t="s">
        <v>1288</v>
      </c>
      <c r="J582" t="s">
        <v>1294</v>
      </c>
      <c r="K582" t="s">
        <v>1305</v>
      </c>
      <c r="L582" t="s">
        <v>1307</v>
      </c>
      <c r="M582" t="s">
        <v>1315</v>
      </c>
      <c r="N582">
        <v>5</v>
      </c>
      <c r="O582">
        <v>0.15</v>
      </c>
      <c r="P582">
        <v>7765.18</v>
      </c>
      <c r="Q582">
        <v>1339.76</v>
      </c>
      <c r="R582" t="s">
        <v>1330</v>
      </c>
      <c r="S582" t="b">
        <f t="shared" si="36"/>
        <v>0</v>
      </c>
      <c r="T582" t="b">
        <f t="shared" si="37"/>
        <v>0</v>
      </c>
      <c r="U582" t="b">
        <f t="shared" si="38"/>
        <v>0</v>
      </c>
    </row>
    <row r="583" spans="1:21" x14ac:dyDescent="0.3">
      <c r="A583">
        <v>582</v>
      </c>
      <c r="B583" t="s">
        <v>598</v>
      </c>
      <c r="C583" s="2">
        <v>45880</v>
      </c>
      <c r="D583" s="2" t="str">
        <f t="shared" si="39"/>
        <v>Aug-2025</v>
      </c>
      <c r="E583" s="2">
        <v>45885</v>
      </c>
      <c r="F583" t="s">
        <v>1018</v>
      </c>
      <c r="G583" t="s">
        <v>1176</v>
      </c>
      <c r="H583" t="s">
        <v>1271</v>
      </c>
      <c r="I583" t="s">
        <v>1288</v>
      </c>
      <c r="J583" t="s">
        <v>1299</v>
      </c>
      <c r="K583" t="s">
        <v>1304</v>
      </c>
      <c r="L583" t="s">
        <v>1306</v>
      </c>
      <c r="M583" t="s">
        <v>1310</v>
      </c>
      <c r="N583">
        <v>1</v>
      </c>
      <c r="O583">
        <v>0.15</v>
      </c>
      <c r="P583">
        <v>574.05999999999995</v>
      </c>
      <c r="Q583">
        <v>135.91</v>
      </c>
      <c r="R583" t="s">
        <v>1331</v>
      </c>
      <c r="S583" t="b">
        <f t="shared" si="36"/>
        <v>0</v>
      </c>
      <c r="T583" t="b">
        <f t="shared" si="37"/>
        <v>0</v>
      </c>
      <c r="U583" t="b">
        <f t="shared" si="38"/>
        <v>0</v>
      </c>
    </row>
    <row r="584" spans="1:21" x14ac:dyDescent="0.3">
      <c r="A584">
        <v>583</v>
      </c>
      <c r="B584" t="s">
        <v>599</v>
      </c>
      <c r="C584" s="2">
        <v>45730</v>
      </c>
      <c r="D584" s="2" t="str">
        <f t="shared" si="39"/>
        <v>Mar-2025</v>
      </c>
      <c r="E584" s="2">
        <v>45733</v>
      </c>
      <c r="F584" t="s">
        <v>1018</v>
      </c>
      <c r="G584" t="s">
        <v>1130</v>
      </c>
      <c r="H584" t="s">
        <v>1280</v>
      </c>
      <c r="I584" t="s">
        <v>1289</v>
      </c>
      <c r="J584" t="s">
        <v>1293</v>
      </c>
      <c r="K584" t="s">
        <v>1304</v>
      </c>
      <c r="L584" t="s">
        <v>1308</v>
      </c>
      <c r="M584" t="s">
        <v>1326</v>
      </c>
      <c r="N584">
        <v>2</v>
      </c>
      <c r="O584">
        <v>0.15</v>
      </c>
      <c r="P584">
        <v>12046.07</v>
      </c>
      <c r="Q584">
        <v>2997.66</v>
      </c>
      <c r="R584" t="s">
        <v>1331</v>
      </c>
      <c r="S584" t="b">
        <f t="shared" si="36"/>
        <v>0</v>
      </c>
      <c r="T584" t="b">
        <f t="shared" si="37"/>
        <v>0</v>
      </c>
      <c r="U584" t="b">
        <f t="shared" si="38"/>
        <v>0</v>
      </c>
    </row>
    <row r="585" spans="1:21" x14ac:dyDescent="0.3">
      <c r="A585">
        <v>584</v>
      </c>
      <c r="B585" t="s">
        <v>600</v>
      </c>
      <c r="C585" s="2">
        <v>45895</v>
      </c>
      <c r="D585" s="2" t="str">
        <f t="shared" si="39"/>
        <v>Aug-2025</v>
      </c>
      <c r="E585" s="2">
        <v>45897</v>
      </c>
      <c r="F585" t="s">
        <v>1017</v>
      </c>
      <c r="G585" t="s">
        <v>1247</v>
      </c>
      <c r="H585" t="s">
        <v>1280</v>
      </c>
      <c r="I585" t="s">
        <v>1288</v>
      </c>
      <c r="J585" t="s">
        <v>1296</v>
      </c>
      <c r="K585" t="s">
        <v>1304</v>
      </c>
      <c r="L585" t="s">
        <v>1307</v>
      </c>
      <c r="M585" t="s">
        <v>1311</v>
      </c>
      <c r="N585">
        <v>1</v>
      </c>
      <c r="O585">
        <v>0.25</v>
      </c>
      <c r="P585">
        <v>217.76</v>
      </c>
      <c r="Q585">
        <v>2.39</v>
      </c>
      <c r="R585" t="s">
        <v>1332</v>
      </c>
      <c r="S585" t="b">
        <f t="shared" si="36"/>
        <v>0</v>
      </c>
      <c r="T585" t="b">
        <f t="shared" si="37"/>
        <v>0</v>
      </c>
      <c r="U585" t="b">
        <f t="shared" si="38"/>
        <v>0</v>
      </c>
    </row>
    <row r="586" spans="1:21" x14ac:dyDescent="0.3">
      <c r="A586">
        <v>585</v>
      </c>
      <c r="B586" t="s">
        <v>601</v>
      </c>
      <c r="C586" s="2">
        <v>45939</v>
      </c>
      <c r="D586" s="2" t="str">
        <f t="shared" si="39"/>
        <v>Oct-2025</v>
      </c>
      <c r="E586" s="2">
        <v>45942</v>
      </c>
      <c r="F586" t="s">
        <v>1018</v>
      </c>
      <c r="G586" t="s">
        <v>1234</v>
      </c>
      <c r="H586" t="s">
        <v>1274</v>
      </c>
      <c r="I586" t="s">
        <v>1289</v>
      </c>
      <c r="J586" t="s">
        <v>1293</v>
      </c>
      <c r="K586" t="s">
        <v>1304</v>
      </c>
      <c r="L586" t="s">
        <v>1309</v>
      </c>
      <c r="M586" t="s">
        <v>1329</v>
      </c>
      <c r="N586">
        <v>2</v>
      </c>
      <c r="O586">
        <v>0.1</v>
      </c>
      <c r="P586">
        <v>3285.93</v>
      </c>
      <c r="Q586">
        <v>355.83</v>
      </c>
      <c r="R586" t="s">
        <v>1331</v>
      </c>
      <c r="S586" t="b">
        <f t="shared" si="36"/>
        <v>0</v>
      </c>
      <c r="T586" t="b">
        <f t="shared" si="37"/>
        <v>0</v>
      </c>
      <c r="U586" t="b">
        <f t="shared" si="38"/>
        <v>0</v>
      </c>
    </row>
    <row r="587" spans="1:21" x14ac:dyDescent="0.3">
      <c r="A587">
        <v>586</v>
      </c>
      <c r="B587" t="s">
        <v>602</v>
      </c>
      <c r="C587" s="2">
        <v>45795</v>
      </c>
      <c r="D587" s="2" t="str">
        <f t="shared" si="39"/>
        <v>May-2025</v>
      </c>
      <c r="E587" s="2">
        <v>45796</v>
      </c>
      <c r="F587" t="s">
        <v>1017</v>
      </c>
      <c r="G587" t="s">
        <v>1228</v>
      </c>
      <c r="H587" t="s">
        <v>1272</v>
      </c>
      <c r="I587" t="s">
        <v>1287</v>
      </c>
      <c r="J587" t="s">
        <v>1296</v>
      </c>
      <c r="K587" t="s">
        <v>1304</v>
      </c>
      <c r="L587" t="s">
        <v>1309</v>
      </c>
      <c r="M587" t="s">
        <v>1325</v>
      </c>
      <c r="N587">
        <v>2</v>
      </c>
      <c r="O587">
        <v>0</v>
      </c>
      <c r="P587">
        <v>2710.75</v>
      </c>
      <c r="Q587">
        <v>1004.6</v>
      </c>
      <c r="R587" t="s">
        <v>1332</v>
      </c>
      <c r="S587" t="b">
        <f t="shared" si="36"/>
        <v>0</v>
      </c>
      <c r="T587" t="b">
        <f t="shared" si="37"/>
        <v>0</v>
      </c>
      <c r="U587" t="b">
        <f t="shared" si="38"/>
        <v>0</v>
      </c>
    </row>
    <row r="588" spans="1:21" x14ac:dyDescent="0.3">
      <c r="A588">
        <v>587</v>
      </c>
      <c r="B588" t="s">
        <v>603</v>
      </c>
      <c r="C588" s="2">
        <v>45695</v>
      </c>
      <c r="D588" s="2" t="str">
        <f t="shared" si="39"/>
        <v>Feb-2025</v>
      </c>
      <c r="E588" s="2">
        <v>45696</v>
      </c>
      <c r="F588" t="s">
        <v>1018</v>
      </c>
      <c r="G588" t="s">
        <v>1129</v>
      </c>
      <c r="H588" t="s">
        <v>1274</v>
      </c>
      <c r="I588" t="s">
        <v>1289</v>
      </c>
      <c r="J588" t="s">
        <v>1292</v>
      </c>
      <c r="K588" t="s">
        <v>1303</v>
      </c>
      <c r="L588" t="s">
        <v>1306</v>
      </c>
      <c r="M588" t="s">
        <v>1323</v>
      </c>
      <c r="N588">
        <v>1</v>
      </c>
      <c r="O588">
        <v>0.1</v>
      </c>
      <c r="P588">
        <v>163.81</v>
      </c>
      <c r="Q588">
        <v>31.84</v>
      </c>
      <c r="R588" t="s">
        <v>1330</v>
      </c>
      <c r="S588" t="b">
        <f t="shared" si="36"/>
        <v>0</v>
      </c>
      <c r="T588" t="b">
        <f t="shared" si="37"/>
        <v>0</v>
      </c>
      <c r="U588" t="b">
        <f t="shared" si="38"/>
        <v>0</v>
      </c>
    </row>
    <row r="589" spans="1:21" x14ac:dyDescent="0.3">
      <c r="A589">
        <v>588</v>
      </c>
      <c r="B589" t="s">
        <v>604</v>
      </c>
      <c r="C589" s="2">
        <v>45937</v>
      </c>
      <c r="D589" s="2" t="str">
        <f t="shared" si="39"/>
        <v>Oct-2025</v>
      </c>
      <c r="E589" s="2">
        <v>45942</v>
      </c>
      <c r="F589" t="s">
        <v>1019</v>
      </c>
      <c r="G589" t="s">
        <v>1165</v>
      </c>
      <c r="H589" t="s">
        <v>1281</v>
      </c>
      <c r="I589" t="s">
        <v>1287</v>
      </c>
      <c r="J589" t="s">
        <v>1291</v>
      </c>
      <c r="K589" t="s">
        <v>1302</v>
      </c>
      <c r="L589" t="s">
        <v>1309</v>
      </c>
      <c r="M589" t="s">
        <v>1329</v>
      </c>
      <c r="N589">
        <v>1</v>
      </c>
      <c r="O589">
        <v>0.2</v>
      </c>
      <c r="P589">
        <v>1573.79</v>
      </c>
      <c r="Q589">
        <v>354.63</v>
      </c>
      <c r="R589" t="s">
        <v>1333</v>
      </c>
      <c r="S589" t="b">
        <f t="shared" si="36"/>
        <v>0</v>
      </c>
      <c r="T589" t="b">
        <f t="shared" si="37"/>
        <v>0</v>
      </c>
      <c r="U589" t="b">
        <f t="shared" si="38"/>
        <v>0</v>
      </c>
    </row>
    <row r="590" spans="1:21" x14ac:dyDescent="0.3">
      <c r="A590">
        <v>589</v>
      </c>
      <c r="B590" t="s">
        <v>605</v>
      </c>
      <c r="C590" s="2">
        <v>45927</v>
      </c>
      <c r="D590" s="2" t="str">
        <f t="shared" si="39"/>
        <v>Sep-2025</v>
      </c>
      <c r="E590" s="2">
        <v>45929</v>
      </c>
      <c r="F590" t="s">
        <v>1018</v>
      </c>
      <c r="G590" t="s">
        <v>1234</v>
      </c>
      <c r="H590" t="s">
        <v>1274</v>
      </c>
      <c r="I590" t="s">
        <v>1288</v>
      </c>
      <c r="J590" t="s">
        <v>1290</v>
      </c>
      <c r="K590" t="s">
        <v>1302</v>
      </c>
      <c r="L590" t="s">
        <v>1309</v>
      </c>
      <c r="M590" t="s">
        <v>1317</v>
      </c>
      <c r="N590">
        <v>1</v>
      </c>
      <c r="O590">
        <v>0.1</v>
      </c>
      <c r="P590">
        <v>737.34</v>
      </c>
      <c r="Q590">
        <v>87.26</v>
      </c>
      <c r="R590" t="s">
        <v>1332</v>
      </c>
      <c r="S590" t="b">
        <f t="shared" si="36"/>
        <v>0</v>
      </c>
      <c r="T590" t="b">
        <f t="shared" si="37"/>
        <v>0</v>
      </c>
      <c r="U590" t="b">
        <f t="shared" si="38"/>
        <v>0</v>
      </c>
    </row>
    <row r="591" spans="1:21" x14ac:dyDescent="0.3">
      <c r="A591">
        <v>590</v>
      </c>
      <c r="B591" t="s">
        <v>606</v>
      </c>
      <c r="C591" s="2">
        <v>45661</v>
      </c>
      <c r="D591" s="2" t="str">
        <f t="shared" si="39"/>
        <v>Jan-2025</v>
      </c>
      <c r="E591" s="2">
        <v>45666</v>
      </c>
      <c r="F591" t="s">
        <v>1019</v>
      </c>
      <c r="G591" t="s">
        <v>1025</v>
      </c>
      <c r="H591" t="s">
        <v>1270</v>
      </c>
      <c r="I591" t="s">
        <v>1287</v>
      </c>
      <c r="J591" t="s">
        <v>1292</v>
      </c>
      <c r="K591" t="s">
        <v>1303</v>
      </c>
      <c r="L591" t="s">
        <v>1307</v>
      </c>
      <c r="M591" t="s">
        <v>1322</v>
      </c>
      <c r="N591">
        <v>4</v>
      </c>
      <c r="O591">
        <v>0</v>
      </c>
      <c r="P591">
        <v>2779.29</v>
      </c>
      <c r="Q591">
        <v>579.84</v>
      </c>
      <c r="R591" t="s">
        <v>1331</v>
      </c>
      <c r="S591" t="b">
        <f t="shared" si="36"/>
        <v>0</v>
      </c>
      <c r="T591" t="b">
        <f t="shared" si="37"/>
        <v>0</v>
      </c>
      <c r="U591" t="b">
        <f t="shared" si="38"/>
        <v>0</v>
      </c>
    </row>
    <row r="592" spans="1:21" x14ac:dyDescent="0.3">
      <c r="A592">
        <v>591</v>
      </c>
      <c r="B592" t="s">
        <v>607</v>
      </c>
      <c r="C592" s="2">
        <v>45727</v>
      </c>
      <c r="D592" s="2" t="str">
        <f t="shared" si="39"/>
        <v>Mar-2025</v>
      </c>
      <c r="E592" s="2">
        <v>45728</v>
      </c>
      <c r="F592" t="s">
        <v>1018</v>
      </c>
      <c r="G592" t="s">
        <v>1037</v>
      </c>
      <c r="H592" t="s">
        <v>1273</v>
      </c>
      <c r="I592" t="s">
        <v>1287</v>
      </c>
      <c r="J592" t="s">
        <v>1298</v>
      </c>
      <c r="K592" t="s">
        <v>1303</v>
      </c>
      <c r="L592" t="s">
        <v>1307</v>
      </c>
      <c r="M592" t="s">
        <v>1311</v>
      </c>
      <c r="N592">
        <v>2</v>
      </c>
      <c r="O592">
        <v>0.05</v>
      </c>
      <c r="P592">
        <v>577.76</v>
      </c>
      <c r="Q592">
        <v>206.95</v>
      </c>
      <c r="R592" t="s">
        <v>1331</v>
      </c>
      <c r="S592" t="b">
        <f t="shared" si="36"/>
        <v>0</v>
      </c>
      <c r="T592" t="b">
        <f t="shared" si="37"/>
        <v>0</v>
      </c>
      <c r="U592" t="b">
        <f t="shared" si="38"/>
        <v>0</v>
      </c>
    </row>
    <row r="593" spans="1:21" x14ac:dyDescent="0.3">
      <c r="A593">
        <v>592</v>
      </c>
      <c r="B593" t="s">
        <v>608</v>
      </c>
      <c r="C593" s="2">
        <v>45721</v>
      </c>
      <c r="D593" s="2" t="str">
        <f t="shared" si="39"/>
        <v>Mar-2025</v>
      </c>
      <c r="E593" s="2">
        <v>45723</v>
      </c>
      <c r="F593" t="s">
        <v>1017</v>
      </c>
      <c r="G593" t="s">
        <v>1090</v>
      </c>
      <c r="H593" t="s">
        <v>1280</v>
      </c>
      <c r="I593" t="s">
        <v>1288</v>
      </c>
      <c r="J593" t="s">
        <v>1298</v>
      </c>
      <c r="K593" t="s">
        <v>1303</v>
      </c>
      <c r="L593" t="s">
        <v>1306</v>
      </c>
      <c r="M593" t="s">
        <v>1328</v>
      </c>
      <c r="N593">
        <v>1</v>
      </c>
      <c r="O593">
        <v>0</v>
      </c>
      <c r="P593">
        <v>119.16</v>
      </c>
      <c r="Q593">
        <v>23.76</v>
      </c>
      <c r="R593" t="s">
        <v>1332</v>
      </c>
      <c r="S593" t="b">
        <f t="shared" si="36"/>
        <v>0</v>
      </c>
      <c r="T593" t="b">
        <f t="shared" si="37"/>
        <v>0</v>
      </c>
      <c r="U593" t="b">
        <f t="shared" si="38"/>
        <v>0</v>
      </c>
    </row>
    <row r="594" spans="1:21" x14ac:dyDescent="0.3">
      <c r="A594">
        <v>593</v>
      </c>
      <c r="B594" t="s">
        <v>609</v>
      </c>
      <c r="C594" s="2">
        <v>45954</v>
      </c>
      <c r="D594" s="2" t="str">
        <f t="shared" si="39"/>
        <v>Oct-2025</v>
      </c>
      <c r="E594" s="2">
        <v>45955</v>
      </c>
      <c r="F594" t="s">
        <v>1019</v>
      </c>
      <c r="G594" t="s">
        <v>1158</v>
      </c>
      <c r="H594" t="s">
        <v>1285</v>
      </c>
      <c r="I594" t="s">
        <v>1288</v>
      </c>
      <c r="J594" t="s">
        <v>1290</v>
      </c>
      <c r="K594" t="s">
        <v>1302</v>
      </c>
      <c r="L594" t="s">
        <v>1308</v>
      </c>
      <c r="M594" t="s">
        <v>1326</v>
      </c>
      <c r="N594">
        <v>4</v>
      </c>
      <c r="O594">
        <v>0.1</v>
      </c>
      <c r="P594">
        <v>25309.49</v>
      </c>
      <c r="Q594">
        <v>6364.56</v>
      </c>
      <c r="R594" t="s">
        <v>1331</v>
      </c>
      <c r="S594" t="b">
        <f t="shared" si="36"/>
        <v>0</v>
      </c>
      <c r="T594" t="b">
        <f t="shared" si="37"/>
        <v>0</v>
      </c>
      <c r="U594" t="b">
        <f t="shared" si="38"/>
        <v>0</v>
      </c>
    </row>
    <row r="595" spans="1:21" x14ac:dyDescent="0.3">
      <c r="A595">
        <v>594</v>
      </c>
      <c r="B595" t="s">
        <v>610</v>
      </c>
      <c r="C595" s="2">
        <v>45706</v>
      </c>
      <c r="D595" s="2" t="str">
        <f t="shared" si="39"/>
        <v>Feb-2025</v>
      </c>
      <c r="E595" s="2">
        <v>45709</v>
      </c>
      <c r="F595" t="s">
        <v>1018</v>
      </c>
      <c r="G595" t="s">
        <v>1127</v>
      </c>
      <c r="H595" t="s">
        <v>1275</v>
      </c>
      <c r="I595" t="s">
        <v>1287</v>
      </c>
      <c r="J595" t="s">
        <v>1299</v>
      </c>
      <c r="K595" t="s">
        <v>1304</v>
      </c>
      <c r="L595" t="s">
        <v>1309</v>
      </c>
      <c r="M595" t="s">
        <v>1317</v>
      </c>
      <c r="N595">
        <v>1</v>
      </c>
      <c r="O595">
        <v>0.25</v>
      </c>
      <c r="P595">
        <v>598.5</v>
      </c>
      <c r="Q595">
        <v>44.93</v>
      </c>
      <c r="R595" t="s">
        <v>1331</v>
      </c>
      <c r="S595" t="b">
        <f t="shared" si="36"/>
        <v>0</v>
      </c>
      <c r="T595" t="b">
        <f t="shared" si="37"/>
        <v>0</v>
      </c>
      <c r="U595" t="b">
        <f t="shared" si="38"/>
        <v>0</v>
      </c>
    </row>
    <row r="596" spans="1:21" x14ac:dyDescent="0.3">
      <c r="A596">
        <v>595</v>
      </c>
      <c r="B596" t="s">
        <v>611</v>
      </c>
      <c r="C596" s="2">
        <v>45714</v>
      </c>
      <c r="D596" s="2" t="str">
        <f t="shared" si="39"/>
        <v>Feb-2025</v>
      </c>
      <c r="E596" s="2">
        <v>45716</v>
      </c>
      <c r="F596" t="s">
        <v>1019</v>
      </c>
      <c r="G596" t="s">
        <v>1248</v>
      </c>
      <c r="H596" t="s">
        <v>1277</v>
      </c>
      <c r="I596" t="s">
        <v>1287</v>
      </c>
      <c r="J596" t="s">
        <v>1291</v>
      </c>
      <c r="K596" t="s">
        <v>1302</v>
      </c>
      <c r="L596" t="s">
        <v>1307</v>
      </c>
      <c r="M596" t="s">
        <v>1314</v>
      </c>
      <c r="N596">
        <v>4</v>
      </c>
      <c r="O596">
        <v>0.2</v>
      </c>
      <c r="P596">
        <v>2960.02</v>
      </c>
      <c r="Q596">
        <v>708.05</v>
      </c>
      <c r="R596" t="s">
        <v>1331</v>
      </c>
      <c r="S596" t="b">
        <f t="shared" si="36"/>
        <v>0</v>
      </c>
      <c r="T596" t="b">
        <f t="shared" si="37"/>
        <v>0</v>
      </c>
      <c r="U596" t="b">
        <f t="shared" si="38"/>
        <v>0</v>
      </c>
    </row>
    <row r="597" spans="1:21" x14ac:dyDescent="0.3">
      <c r="A597">
        <v>596</v>
      </c>
      <c r="B597" t="s">
        <v>612</v>
      </c>
      <c r="C597" s="2">
        <v>45745</v>
      </c>
      <c r="D597" s="2" t="str">
        <f t="shared" si="39"/>
        <v>Mar-2025</v>
      </c>
      <c r="E597" s="2">
        <v>45746</v>
      </c>
      <c r="F597" t="s">
        <v>1017</v>
      </c>
      <c r="G597" t="s">
        <v>1197</v>
      </c>
      <c r="H597" t="s">
        <v>1271</v>
      </c>
      <c r="I597" t="s">
        <v>1287</v>
      </c>
      <c r="J597" t="s">
        <v>1301</v>
      </c>
      <c r="K597" t="s">
        <v>1303</v>
      </c>
      <c r="L597" t="s">
        <v>1309</v>
      </c>
      <c r="M597" t="s">
        <v>1320</v>
      </c>
      <c r="N597">
        <v>2</v>
      </c>
      <c r="O597">
        <v>0</v>
      </c>
      <c r="P597">
        <v>2337.09</v>
      </c>
      <c r="Q597">
        <v>595.14</v>
      </c>
      <c r="R597" t="s">
        <v>1331</v>
      </c>
      <c r="S597" t="b">
        <f t="shared" si="36"/>
        <v>0</v>
      </c>
      <c r="T597" t="b">
        <f t="shared" si="37"/>
        <v>0</v>
      </c>
      <c r="U597" t="b">
        <f t="shared" si="38"/>
        <v>0</v>
      </c>
    </row>
    <row r="598" spans="1:21" x14ac:dyDescent="0.3">
      <c r="A598">
        <v>597</v>
      </c>
      <c r="B598" t="s">
        <v>613</v>
      </c>
      <c r="C598" s="2">
        <v>45817</v>
      </c>
      <c r="D598" s="2" t="str">
        <f t="shared" si="39"/>
        <v>Jun-2025</v>
      </c>
      <c r="E598" s="2">
        <v>45818</v>
      </c>
      <c r="F598" t="s">
        <v>1017</v>
      </c>
      <c r="G598" t="s">
        <v>1046</v>
      </c>
      <c r="H598" t="s">
        <v>1270</v>
      </c>
      <c r="I598" t="s">
        <v>1288</v>
      </c>
      <c r="J598" t="s">
        <v>1290</v>
      </c>
      <c r="K598" t="s">
        <v>1302</v>
      </c>
      <c r="L598" t="s">
        <v>1309</v>
      </c>
      <c r="M598" t="s">
        <v>1325</v>
      </c>
      <c r="N598">
        <v>1</v>
      </c>
      <c r="O598">
        <v>0.1</v>
      </c>
      <c r="P598">
        <v>1132.67</v>
      </c>
      <c r="Q598">
        <v>312.68</v>
      </c>
      <c r="R598" t="s">
        <v>1330</v>
      </c>
      <c r="S598" t="b">
        <f t="shared" si="36"/>
        <v>0</v>
      </c>
      <c r="T598" t="b">
        <f t="shared" si="37"/>
        <v>0</v>
      </c>
      <c r="U598" t="b">
        <f t="shared" si="38"/>
        <v>0</v>
      </c>
    </row>
    <row r="599" spans="1:21" x14ac:dyDescent="0.3">
      <c r="A599">
        <v>598</v>
      </c>
      <c r="B599" t="s">
        <v>614</v>
      </c>
      <c r="C599" s="2">
        <v>45967</v>
      </c>
      <c r="D599" s="2" t="str">
        <f t="shared" si="39"/>
        <v>Nov-2025</v>
      </c>
      <c r="E599" s="2">
        <v>45968</v>
      </c>
      <c r="F599" t="s">
        <v>1017</v>
      </c>
      <c r="G599" t="s">
        <v>1115</v>
      </c>
      <c r="H599" t="s">
        <v>1281</v>
      </c>
      <c r="I599" t="s">
        <v>1288</v>
      </c>
      <c r="J599" t="s">
        <v>1290</v>
      </c>
      <c r="K599" t="s">
        <v>1302</v>
      </c>
      <c r="L599" t="s">
        <v>1309</v>
      </c>
      <c r="M599" t="s">
        <v>1317</v>
      </c>
      <c r="N599">
        <v>4</v>
      </c>
      <c r="O599">
        <v>0.05</v>
      </c>
      <c r="P599">
        <v>3040.02</v>
      </c>
      <c r="Q599">
        <v>887.34</v>
      </c>
      <c r="R599" t="s">
        <v>1333</v>
      </c>
      <c r="S599" t="b">
        <f t="shared" si="36"/>
        <v>0</v>
      </c>
      <c r="T599" t="b">
        <f t="shared" si="37"/>
        <v>0</v>
      </c>
      <c r="U599" t="b">
        <f t="shared" si="38"/>
        <v>0</v>
      </c>
    </row>
    <row r="600" spans="1:21" x14ac:dyDescent="0.3">
      <c r="A600">
        <v>599</v>
      </c>
      <c r="B600" t="s">
        <v>615</v>
      </c>
      <c r="C600" s="2">
        <v>45885</v>
      </c>
      <c r="D600" s="2" t="str">
        <f t="shared" si="39"/>
        <v>Aug-2025</v>
      </c>
      <c r="E600" s="2">
        <v>45888</v>
      </c>
      <c r="F600" t="s">
        <v>1017</v>
      </c>
      <c r="G600" t="s">
        <v>1042</v>
      </c>
      <c r="H600" t="s">
        <v>1277</v>
      </c>
      <c r="I600" t="s">
        <v>1288</v>
      </c>
      <c r="J600" t="s">
        <v>1297</v>
      </c>
      <c r="K600" t="s">
        <v>1304</v>
      </c>
      <c r="L600" t="s">
        <v>1308</v>
      </c>
      <c r="M600" t="s">
        <v>1319</v>
      </c>
      <c r="N600">
        <v>1</v>
      </c>
      <c r="O600">
        <v>0.25</v>
      </c>
      <c r="P600">
        <v>3616.51</v>
      </c>
      <c r="Q600">
        <v>-104.79</v>
      </c>
      <c r="R600" t="s">
        <v>1331</v>
      </c>
      <c r="S600" t="b">
        <f t="shared" si="36"/>
        <v>0</v>
      </c>
      <c r="T600" t="b">
        <f t="shared" si="37"/>
        <v>0</v>
      </c>
      <c r="U600" t="b">
        <f t="shared" si="38"/>
        <v>0</v>
      </c>
    </row>
    <row r="601" spans="1:21" x14ac:dyDescent="0.3">
      <c r="A601">
        <v>600</v>
      </c>
      <c r="B601" t="s">
        <v>616</v>
      </c>
      <c r="C601" s="2">
        <v>45659</v>
      </c>
      <c r="D601" s="2" t="str">
        <f t="shared" si="39"/>
        <v>Jan-2025</v>
      </c>
      <c r="E601" s="2">
        <v>45661</v>
      </c>
      <c r="F601" t="s">
        <v>1018</v>
      </c>
      <c r="G601" t="s">
        <v>1089</v>
      </c>
      <c r="H601" t="s">
        <v>1275</v>
      </c>
      <c r="I601" t="s">
        <v>1287</v>
      </c>
      <c r="J601" t="s">
        <v>1294</v>
      </c>
      <c r="K601" t="s">
        <v>1305</v>
      </c>
      <c r="L601" t="s">
        <v>1309</v>
      </c>
      <c r="M601" t="s">
        <v>1320</v>
      </c>
      <c r="N601">
        <v>2</v>
      </c>
      <c r="O601">
        <v>0</v>
      </c>
      <c r="P601">
        <v>2429.96</v>
      </c>
      <c r="Q601">
        <v>895.48</v>
      </c>
      <c r="R601" t="s">
        <v>1333</v>
      </c>
      <c r="S601" t="b">
        <f t="shared" si="36"/>
        <v>0</v>
      </c>
      <c r="T601" t="b">
        <f t="shared" si="37"/>
        <v>0</v>
      </c>
      <c r="U601" t="b">
        <f t="shared" si="38"/>
        <v>0</v>
      </c>
    </row>
    <row r="602" spans="1:21" x14ac:dyDescent="0.3">
      <c r="A602">
        <v>601</v>
      </c>
      <c r="B602" t="s">
        <v>617</v>
      </c>
      <c r="C602" s="2">
        <v>45761</v>
      </c>
      <c r="D602" s="2" t="str">
        <f t="shared" si="39"/>
        <v>Apr-2025</v>
      </c>
      <c r="E602" s="2">
        <v>45763</v>
      </c>
      <c r="F602" t="s">
        <v>1018</v>
      </c>
      <c r="G602" t="s">
        <v>1119</v>
      </c>
      <c r="H602" t="s">
        <v>1277</v>
      </c>
      <c r="I602" t="s">
        <v>1289</v>
      </c>
      <c r="J602" t="s">
        <v>1292</v>
      </c>
      <c r="K602" t="s">
        <v>1303</v>
      </c>
      <c r="L602" t="s">
        <v>1306</v>
      </c>
      <c r="M602" t="s">
        <v>1321</v>
      </c>
      <c r="N602">
        <v>1</v>
      </c>
      <c r="O602">
        <v>0.1</v>
      </c>
      <c r="P602">
        <v>418.82</v>
      </c>
      <c r="Q602">
        <v>87.64</v>
      </c>
      <c r="R602" t="s">
        <v>1331</v>
      </c>
      <c r="S602" t="b">
        <f t="shared" si="36"/>
        <v>0</v>
      </c>
      <c r="T602" t="b">
        <f t="shared" si="37"/>
        <v>0</v>
      </c>
      <c r="U602" t="b">
        <f t="shared" si="38"/>
        <v>0</v>
      </c>
    </row>
    <row r="603" spans="1:21" x14ac:dyDescent="0.3">
      <c r="A603">
        <v>602</v>
      </c>
      <c r="B603" t="s">
        <v>618</v>
      </c>
      <c r="C603" s="2">
        <v>45994</v>
      </c>
      <c r="D603" s="2" t="str">
        <f t="shared" si="39"/>
        <v>Dec-2025</v>
      </c>
      <c r="E603" s="2">
        <v>45997</v>
      </c>
      <c r="F603" t="s">
        <v>1017</v>
      </c>
      <c r="G603" t="s">
        <v>1170</v>
      </c>
      <c r="H603" t="s">
        <v>1285</v>
      </c>
      <c r="I603" t="s">
        <v>1288</v>
      </c>
      <c r="J603" t="s">
        <v>1291</v>
      </c>
      <c r="K603" t="s">
        <v>1302</v>
      </c>
      <c r="L603" t="s">
        <v>1306</v>
      </c>
      <c r="M603" t="s">
        <v>1310</v>
      </c>
      <c r="N603">
        <v>3</v>
      </c>
      <c r="O603">
        <v>0.2</v>
      </c>
      <c r="P603">
        <v>1484.87</v>
      </c>
      <c r="Q603">
        <v>6.91</v>
      </c>
      <c r="R603" t="s">
        <v>1333</v>
      </c>
      <c r="S603" t="b">
        <f t="shared" si="36"/>
        <v>0</v>
      </c>
      <c r="T603" t="b">
        <f t="shared" si="37"/>
        <v>0</v>
      </c>
      <c r="U603" t="b">
        <f t="shared" si="38"/>
        <v>0</v>
      </c>
    </row>
    <row r="604" spans="1:21" x14ac:dyDescent="0.3">
      <c r="A604">
        <v>603</v>
      </c>
      <c r="B604" t="s">
        <v>619</v>
      </c>
      <c r="C604" s="2">
        <v>45840</v>
      </c>
      <c r="D604" s="2" t="str">
        <f t="shared" si="39"/>
        <v>Jul-2025</v>
      </c>
      <c r="E604" s="2">
        <v>45841</v>
      </c>
      <c r="F604" t="s">
        <v>1017</v>
      </c>
      <c r="G604" t="s">
        <v>1249</v>
      </c>
      <c r="H604" t="s">
        <v>1277</v>
      </c>
      <c r="I604" t="s">
        <v>1289</v>
      </c>
      <c r="J604" t="s">
        <v>1290</v>
      </c>
      <c r="K604" t="s">
        <v>1302</v>
      </c>
      <c r="L604" t="s">
        <v>1306</v>
      </c>
      <c r="M604" t="s">
        <v>1324</v>
      </c>
      <c r="N604">
        <v>3</v>
      </c>
      <c r="O604">
        <v>0.25</v>
      </c>
      <c r="P604">
        <v>204.47</v>
      </c>
      <c r="Q604">
        <v>14.16</v>
      </c>
      <c r="R604" t="s">
        <v>1333</v>
      </c>
      <c r="S604" t="b">
        <f t="shared" si="36"/>
        <v>0</v>
      </c>
      <c r="T604" t="b">
        <f t="shared" si="37"/>
        <v>0</v>
      </c>
      <c r="U604" t="b">
        <f t="shared" si="38"/>
        <v>0</v>
      </c>
    </row>
    <row r="605" spans="1:21" x14ac:dyDescent="0.3">
      <c r="A605">
        <v>604</v>
      </c>
      <c r="B605" t="s">
        <v>620</v>
      </c>
      <c r="C605" s="2">
        <v>45923</v>
      </c>
      <c r="D605" s="2" t="str">
        <f t="shared" si="39"/>
        <v>Sep-2025</v>
      </c>
      <c r="E605" s="2">
        <v>45928</v>
      </c>
      <c r="F605" t="s">
        <v>1017</v>
      </c>
      <c r="G605" t="s">
        <v>1095</v>
      </c>
      <c r="H605" t="s">
        <v>1283</v>
      </c>
      <c r="I605" t="s">
        <v>1287</v>
      </c>
      <c r="J605" t="s">
        <v>1296</v>
      </c>
      <c r="K605" t="s">
        <v>1304</v>
      </c>
      <c r="L605" t="s">
        <v>1306</v>
      </c>
      <c r="M605" t="s">
        <v>1324</v>
      </c>
      <c r="N605">
        <v>1</v>
      </c>
      <c r="O605">
        <v>0</v>
      </c>
      <c r="P605">
        <v>87.19</v>
      </c>
      <c r="Q605">
        <v>19.63</v>
      </c>
      <c r="R605" t="s">
        <v>1332</v>
      </c>
      <c r="S605" t="b">
        <f t="shared" si="36"/>
        <v>0</v>
      </c>
      <c r="T605" t="b">
        <f t="shared" si="37"/>
        <v>0</v>
      </c>
      <c r="U605" t="b">
        <f t="shared" si="38"/>
        <v>0</v>
      </c>
    </row>
    <row r="606" spans="1:21" x14ac:dyDescent="0.3">
      <c r="A606">
        <v>605</v>
      </c>
      <c r="B606" t="s">
        <v>621</v>
      </c>
      <c r="C606" s="2">
        <v>45977</v>
      </c>
      <c r="D606" s="2" t="str">
        <f t="shared" si="39"/>
        <v>Nov-2025</v>
      </c>
      <c r="E606" s="2">
        <v>45982</v>
      </c>
      <c r="F606" t="s">
        <v>1018</v>
      </c>
      <c r="G606" t="s">
        <v>1231</v>
      </c>
      <c r="H606" t="s">
        <v>1273</v>
      </c>
      <c r="I606" t="s">
        <v>1289</v>
      </c>
      <c r="J606" t="s">
        <v>1300</v>
      </c>
      <c r="K606" t="s">
        <v>1305</v>
      </c>
      <c r="L606" t="s">
        <v>1309</v>
      </c>
      <c r="M606" t="s">
        <v>1325</v>
      </c>
      <c r="N606">
        <v>3</v>
      </c>
      <c r="O606">
        <v>0</v>
      </c>
      <c r="P606">
        <v>3870.37</v>
      </c>
      <c r="Q606">
        <v>817.02</v>
      </c>
      <c r="R606" t="s">
        <v>1331</v>
      </c>
      <c r="S606" t="b">
        <f t="shared" si="36"/>
        <v>0</v>
      </c>
      <c r="T606" t="b">
        <f t="shared" si="37"/>
        <v>0</v>
      </c>
      <c r="U606" t="b">
        <f t="shared" si="38"/>
        <v>0</v>
      </c>
    </row>
    <row r="607" spans="1:21" x14ac:dyDescent="0.3">
      <c r="A607">
        <v>606</v>
      </c>
      <c r="B607" t="s">
        <v>622</v>
      </c>
      <c r="C607" s="2">
        <v>45876</v>
      </c>
      <c r="D607" s="2" t="str">
        <f t="shared" si="39"/>
        <v>Aug-2025</v>
      </c>
      <c r="E607" s="2">
        <v>45877</v>
      </c>
      <c r="F607" t="s">
        <v>1017</v>
      </c>
      <c r="G607" t="s">
        <v>1026</v>
      </c>
      <c r="H607" t="s">
        <v>1283</v>
      </c>
      <c r="I607" t="s">
        <v>1288</v>
      </c>
      <c r="J607" t="s">
        <v>1295</v>
      </c>
      <c r="K607" t="s">
        <v>1305</v>
      </c>
      <c r="L607" t="s">
        <v>1309</v>
      </c>
      <c r="M607" t="s">
        <v>1320</v>
      </c>
      <c r="N607">
        <v>3</v>
      </c>
      <c r="O607">
        <v>0.1</v>
      </c>
      <c r="P607">
        <v>3185.39</v>
      </c>
      <c r="Q607">
        <v>445.95</v>
      </c>
      <c r="R607" t="s">
        <v>1331</v>
      </c>
      <c r="S607" t="b">
        <f t="shared" si="36"/>
        <v>0</v>
      </c>
      <c r="T607" t="b">
        <f t="shared" si="37"/>
        <v>0</v>
      </c>
      <c r="U607" t="b">
        <f t="shared" si="38"/>
        <v>0</v>
      </c>
    </row>
    <row r="608" spans="1:21" x14ac:dyDescent="0.3">
      <c r="A608">
        <v>607</v>
      </c>
      <c r="B608" t="s">
        <v>623</v>
      </c>
      <c r="C608" s="2">
        <v>45686</v>
      </c>
      <c r="D608" s="2" t="str">
        <f t="shared" si="39"/>
        <v>Jan-2025</v>
      </c>
      <c r="E608" s="2">
        <v>45690</v>
      </c>
      <c r="F608" t="s">
        <v>1017</v>
      </c>
      <c r="G608" t="s">
        <v>1125</v>
      </c>
      <c r="H608" t="s">
        <v>1275</v>
      </c>
      <c r="I608" t="s">
        <v>1289</v>
      </c>
      <c r="J608" t="s">
        <v>1295</v>
      </c>
      <c r="K608" t="s">
        <v>1305</v>
      </c>
      <c r="L608" t="s">
        <v>1306</v>
      </c>
      <c r="M608" t="s">
        <v>1323</v>
      </c>
      <c r="N608">
        <v>1</v>
      </c>
      <c r="O608">
        <v>0.1</v>
      </c>
      <c r="P608">
        <v>169.84</v>
      </c>
      <c r="Q608">
        <v>23.65</v>
      </c>
      <c r="R608" t="s">
        <v>1332</v>
      </c>
      <c r="S608" t="b">
        <f t="shared" si="36"/>
        <v>0</v>
      </c>
      <c r="T608" t="b">
        <f t="shared" si="37"/>
        <v>0</v>
      </c>
      <c r="U608" t="b">
        <f t="shared" si="38"/>
        <v>0</v>
      </c>
    </row>
    <row r="609" spans="1:21" x14ac:dyDescent="0.3">
      <c r="A609">
        <v>608</v>
      </c>
      <c r="B609" t="s">
        <v>624</v>
      </c>
      <c r="C609" s="2">
        <v>45712</v>
      </c>
      <c r="D609" s="2" t="str">
        <f t="shared" si="39"/>
        <v>Feb-2025</v>
      </c>
      <c r="E609" s="2">
        <v>45715</v>
      </c>
      <c r="F609" t="s">
        <v>1018</v>
      </c>
      <c r="G609" t="s">
        <v>1223</v>
      </c>
      <c r="H609" t="s">
        <v>1268</v>
      </c>
      <c r="I609" t="s">
        <v>1287</v>
      </c>
      <c r="J609" t="s">
        <v>1299</v>
      </c>
      <c r="K609" t="s">
        <v>1304</v>
      </c>
      <c r="L609" t="s">
        <v>1309</v>
      </c>
      <c r="M609" t="s">
        <v>1313</v>
      </c>
      <c r="N609">
        <v>2</v>
      </c>
      <c r="O609">
        <v>0.2</v>
      </c>
      <c r="P609">
        <v>2425.7800000000002</v>
      </c>
      <c r="Q609">
        <v>366.67</v>
      </c>
      <c r="R609" t="s">
        <v>1333</v>
      </c>
      <c r="S609" t="b">
        <f t="shared" si="36"/>
        <v>0</v>
      </c>
      <c r="T609" t="b">
        <f t="shared" si="37"/>
        <v>0</v>
      </c>
      <c r="U609" t="b">
        <f t="shared" si="38"/>
        <v>0</v>
      </c>
    </row>
    <row r="610" spans="1:21" x14ac:dyDescent="0.3">
      <c r="A610">
        <v>609</v>
      </c>
      <c r="B610" t="s">
        <v>625</v>
      </c>
      <c r="C610" s="2">
        <v>45734</v>
      </c>
      <c r="D610" s="2" t="str">
        <f t="shared" si="39"/>
        <v>Mar-2025</v>
      </c>
      <c r="E610" s="2">
        <v>45737</v>
      </c>
      <c r="F610" t="s">
        <v>1018</v>
      </c>
      <c r="G610" t="s">
        <v>1250</v>
      </c>
      <c r="H610" t="s">
        <v>1280</v>
      </c>
      <c r="I610" t="s">
        <v>1287</v>
      </c>
      <c r="J610" t="s">
        <v>1295</v>
      </c>
      <c r="K610" t="s">
        <v>1305</v>
      </c>
      <c r="L610" t="s">
        <v>1308</v>
      </c>
      <c r="M610" t="s">
        <v>1312</v>
      </c>
      <c r="N610">
        <v>1</v>
      </c>
      <c r="O610">
        <v>0.1</v>
      </c>
      <c r="P610">
        <v>1121.76</v>
      </c>
      <c r="Q610">
        <v>302.3</v>
      </c>
      <c r="R610" t="s">
        <v>1332</v>
      </c>
      <c r="S610" t="b">
        <f t="shared" si="36"/>
        <v>0</v>
      </c>
      <c r="T610" t="b">
        <f t="shared" si="37"/>
        <v>0</v>
      </c>
      <c r="U610" t="b">
        <f t="shared" si="38"/>
        <v>0</v>
      </c>
    </row>
    <row r="611" spans="1:21" x14ac:dyDescent="0.3">
      <c r="A611">
        <v>610</v>
      </c>
      <c r="B611" t="s">
        <v>626</v>
      </c>
      <c r="C611" s="2">
        <v>45848</v>
      </c>
      <c r="D611" s="2" t="str">
        <f t="shared" si="39"/>
        <v>Jul-2025</v>
      </c>
      <c r="E611" s="2">
        <v>45853</v>
      </c>
      <c r="F611" t="s">
        <v>1018</v>
      </c>
      <c r="G611" t="s">
        <v>1213</v>
      </c>
      <c r="H611" t="s">
        <v>1274</v>
      </c>
      <c r="I611" t="s">
        <v>1287</v>
      </c>
      <c r="J611" t="s">
        <v>1300</v>
      </c>
      <c r="K611" t="s">
        <v>1305</v>
      </c>
      <c r="L611" t="s">
        <v>1306</v>
      </c>
      <c r="M611" t="s">
        <v>1310</v>
      </c>
      <c r="N611">
        <v>2</v>
      </c>
      <c r="O611">
        <v>0.2</v>
      </c>
      <c r="P611">
        <v>1023.03</v>
      </c>
      <c r="Q611">
        <v>68.959999999999994</v>
      </c>
      <c r="R611" t="s">
        <v>1334</v>
      </c>
      <c r="S611" t="b">
        <f t="shared" si="36"/>
        <v>0</v>
      </c>
      <c r="T611" t="b">
        <f t="shared" si="37"/>
        <v>0</v>
      </c>
      <c r="U611" t="b">
        <f t="shared" si="38"/>
        <v>0</v>
      </c>
    </row>
    <row r="612" spans="1:21" x14ac:dyDescent="0.3">
      <c r="A612">
        <v>611</v>
      </c>
      <c r="B612" t="s">
        <v>627</v>
      </c>
      <c r="C612" s="2">
        <v>45854</v>
      </c>
      <c r="D612" s="2" t="str">
        <f t="shared" si="39"/>
        <v>Jul-2025</v>
      </c>
      <c r="E612" s="2">
        <v>45856</v>
      </c>
      <c r="F612" t="s">
        <v>1017</v>
      </c>
      <c r="G612" t="s">
        <v>1135</v>
      </c>
      <c r="H612" t="s">
        <v>1277</v>
      </c>
      <c r="I612" t="s">
        <v>1289</v>
      </c>
      <c r="J612" t="s">
        <v>1297</v>
      </c>
      <c r="K612" t="s">
        <v>1304</v>
      </c>
      <c r="L612" t="s">
        <v>1307</v>
      </c>
      <c r="M612" t="s">
        <v>1314</v>
      </c>
      <c r="N612">
        <v>4</v>
      </c>
      <c r="O612">
        <v>0</v>
      </c>
      <c r="P612">
        <v>3497.2</v>
      </c>
      <c r="Q612">
        <v>777.57</v>
      </c>
      <c r="R612" t="s">
        <v>1334</v>
      </c>
      <c r="S612" t="b">
        <f t="shared" si="36"/>
        <v>0</v>
      </c>
      <c r="T612" t="b">
        <f t="shared" si="37"/>
        <v>0</v>
      </c>
      <c r="U612" t="b">
        <f t="shared" si="38"/>
        <v>0</v>
      </c>
    </row>
    <row r="613" spans="1:21" x14ac:dyDescent="0.3">
      <c r="A613">
        <v>612</v>
      </c>
      <c r="B613" t="s">
        <v>628</v>
      </c>
      <c r="C613" s="2">
        <v>45699</v>
      </c>
      <c r="D613" s="2" t="str">
        <f t="shared" si="39"/>
        <v>Feb-2025</v>
      </c>
      <c r="E613" s="2">
        <v>45703</v>
      </c>
      <c r="F613" t="s">
        <v>1017</v>
      </c>
      <c r="G613" t="s">
        <v>1135</v>
      </c>
      <c r="H613" t="s">
        <v>1279</v>
      </c>
      <c r="I613" t="s">
        <v>1288</v>
      </c>
      <c r="J613" t="s">
        <v>1292</v>
      </c>
      <c r="K613" t="s">
        <v>1303</v>
      </c>
      <c r="L613" t="s">
        <v>1307</v>
      </c>
      <c r="M613" t="s">
        <v>1311</v>
      </c>
      <c r="N613">
        <v>2</v>
      </c>
      <c r="O613">
        <v>0.05</v>
      </c>
      <c r="P613">
        <v>582.21</v>
      </c>
      <c r="Q613">
        <v>117.69</v>
      </c>
      <c r="R613" t="s">
        <v>1330</v>
      </c>
      <c r="S613" t="b">
        <f t="shared" si="36"/>
        <v>0</v>
      </c>
      <c r="T613" t="b">
        <f t="shared" si="37"/>
        <v>0</v>
      </c>
      <c r="U613" t="b">
        <f t="shared" si="38"/>
        <v>0</v>
      </c>
    </row>
    <row r="614" spans="1:21" x14ac:dyDescent="0.3">
      <c r="A614">
        <v>613</v>
      </c>
      <c r="B614" t="s">
        <v>629</v>
      </c>
      <c r="C614" s="2">
        <v>45798</v>
      </c>
      <c r="D614" s="2" t="str">
        <f t="shared" si="39"/>
        <v>May-2025</v>
      </c>
      <c r="E614" s="2">
        <v>45800</v>
      </c>
      <c r="F614" t="s">
        <v>1017</v>
      </c>
      <c r="G614" t="s">
        <v>1069</v>
      </c>
      <c r="H614" t="s">
        <v>1281</v>
      </c>
      <c r="I614" t="s">
        <v>1287</v>
      </c>
      <c r="J614" t="s">
        <v>1296</v>
      </c>
      <c r="K614" t="s">
        <v>1304</v>
      </c>
      <c r="L614" t="s">
        <v>1307</v>
      </c>
      <c r="M614" t="s">
        <v>1315</v>
      </c>
      <c r="N614">
        <v>3</v>
      </c>
      <c r="O614">
        <v>0.05</v>
      </c>
      <c r="P614">
        <v>5003.82</v>
      </c>
      <c r="Q614">
        <v>1566.31</v>
      </c>
      <c r="R614" t="s">
        <v>1333</v>
      </c>
      <c r="S614" t="b">
        <f t="shared" si="36"/>
        <v>0</v>
      </c>
      <c r="T614" t="b">
        <f t="shared" si="37"/>
        <v>0</v>
      </c>
      <c r="U614" t="b">
        <f t="shared" si="38"/>
        <v>0</v>
      </c>
    </row>
    <row r="615" spans="1:21" x14ac:dyDescent="0.3">
      <c r="A615">
        <v>614</v>
      </c>
      <c r="B615" t="s">
        <v>630</v>
      </c>
      <c r="C615" s="2">
        <v>45915</v>
      </c>
      <c r="D615" s="2" t="str">
        <f t="shared" si="39"/>
        <v>Sep-2025</v>
      </c>
      <c r="E615" s="2">
        <v>45918</v>
      </c>
      <c r="F615" t="s">
        <v>1017</v>
      </c>
      <c r="G615" t="s">
        <v>1203</v>
      </c>
      <c r="H615" t="s">
        <v>1275</v>
      </c>
      <c r="I615" t="s">
        <v>1288</v>
      </c>
      <c r="J615" t="s">
        <v>1300</v>
      </c>
      <c r="K615" t="s">
        <v>1305</v>
      </c>
      <c r="L615" t="s">
        <v>1309</v>
      </c>
      <c r="M615" t="s">
        <v>1313</v>
      </c>
      <c r="N615">
        <v>2</v>
      </c>
      <c r="O615">
        <v>0.05</v>
      </c>
      <c r="P615">
        <v>2873.99</v>
      </c>
      <c r="Q615">
        <v>422.1</v>
      </c>
      <c r="R615" t="s">
        <v>1331</v>
      </c>
      <c r="S615" t="b">
        <f t="shared" si="36"/>
        <v>0</v>
      </c>
      <c r="T615" t="b">
        <f t="shared" si="37"/>
        <v>0</v>
      </c>
      <c r="U615" t="b">
        <f t="shared" si="38"/>
        <v>0</v>
      </c>
    </row>
    <row r="616" spans="1:21" x14ac:dyDescent="0.3">
      <c r="A616">
        <v>615</v>
      </c>
      <c r="B616" t="s">
        <v>631</v>
      </c>
      <c r="C616" s="2">
        <v>45885</v>
      </c>
      <c r="D616" s="2" t="str">
        <f t="shared" si="39"/>
        <v>Aug-2025</v>
      </c>
      <c r="E616" s="2">
        <v>45886</v>
      </c>
      <c r="F616" t="s">
        <v>1017</v>
      </c>
      <c r="G616" t="s">
        <v>1100</v>
      </c>
      <c r="H616" t="s">
        <v>1283</v>
      </c>
      <c r="I616" t="s">
        <v>1287</v>
      </c>
      <c r="J616" t="s">
        <v>1292</v>
      </c>
      <c r="K616" t="s">
        <v>1303</v>
      </c>
      <c r="L616" t="s">
        <v>1307</v>
      </c>
      <c r="M616" t="s">
        <v>1322</v>
      </c>
      <c r="N616">
        <v>4</v>
      </c>
      <c r="O616">
        <v>0.1</v>
      </c>
      <c r="P616">
        <v>2549.2600000000002</v>
      </c>
      <c r="Q616">
        <v>564.32000000000005</v>
      </c>
      <c r="R616" t="s">
        <v>1334</v>
      </c>
      <c r="S616" t="b">
        <f t="shared" si="36"/>
        <v>0</v>
      </c>
      <c r="T616" t="b">
        <f t="shared" si="37"/>
        <v>0</v>
      </c>
      <c r="U616" t="b">
        <f t="shared" si="38"/>
        <v>0</v>
      </c>
    </row>
    <row r="617" spans="1:21" x14ac:dyDescent="0.3">
      <c r="A617">
        <v>616</v>
      </c>
      <c r="B617" t="s">
        <v>632</v>
      </c>
      <c r="C617" s="2">
        <v>45925</v>
      </c>
      <c r="D617" s="2" t="str">
        <f t="shared" si="39"/>
        <v>Sep-2025</v>
      </c>
      <c r="E617" s="2">
        <v>45928</v>
      </c>
      <c r="F617" t="s">
        <v>1018</v>
      </c>
      <c r="G617" t="s">
        <v>1040</v>
      </c>
      <c r="H617" t="s">
        <v>1278</v>
      </c>
      <c r="I617" t="s">
        <v>1287</v>
      </c>
      <c r="J617" t="s">
        <v>1298</v>
      </c>
      <c r="K617" t="s">
        <v>1303</v>
      </c>
      <c r="L617" t="s">
        <v>1308</v>
      </c>
      <c r="M617" t="s">
        <v>1319</v>
      </c>
      <c r="N617">
        <v>1</v>
      </c>
      <c r="O617">
        <v>0.15</v>
      </c>
      <c r="P617">
        <v>4073.28</v>
      </c>
      <c r="Q617">
        <v>1171.17</v>
      </c>
      <c r="R617" t="s">
        <v>1333</v>
      </c>
      <c r="S617" t="b">
        <f t="shared" si="36"/>
        <v>0</v>
      </c>
      <c r="T617" t="b">
        <f t="shared" si="37"/>
        <v>0</v>
      </c>
      <c r="U617" t="b">
        <f t="shared" si="38"/>
        <v>0</v>
      </c>
    </row>
    <row r="618" spans="1:21" x14ac:dyDescent="0.3">
      <c r="A618">
        <v>617</v>
      </c>
      <c r="B618" t="s">
        <v>633</v>
      </c>
      <c r="C618" s="2">
        <v>45993</v>
      </c>
      <c r="D618" s="2" t="str">
        <f t="shared" si="39"/>
        <v>Dec-2025</v>
      </c>
      <c r="E618" s="2">
        <v>45996</v>
      </c>
      <c r="F618" t="s">
        <v>1017</v>
      </c>
      <c r="G618" t="s">
        <v>1219</v>
      </c>
      <c r="H618" t="s">
        <v>1279</v>
      </c>
      <c r="I618" t="s">
        <v>1287</v>
      </c>
      <c r="J618" t="s">
        <v>1297</v>
      </c>
      <c r="K618" t="s">
        <v>1304</v>
      </c>
      <c r="L618" t="s">
        <v>1309</v>
      </c>
      <c r="M618" t="s">
        <v>1325</v>
      </c>
      <c r="N618">
        <v>2</v>
      </c>
      <c r="O618">
        <v>0.15</v>
      </c>
      <c r="P618">
        <v>2253.6799999999998</v>
      </c>
      <c r="Q618">
        <v>293.86</v>
      </c>
      <c r="R618" t="s">
        <v>1333</v>
      </c>
      <c r="S618" t="b">
        <f t="shared" si="36"/>
        <v>0</v>
      </c>
      <c r="T618" t="b">
        <f t="shared" si="37"/>
        <v>0</v>
      </c>
      <c r="U618" t="b">
        <f t="shared" si="38"/>
        <v>0</v>
      </c>
    </row>
    <row r="619" spans="1:21" x14ac:dyDescent="0.3">
      <c r="A619">
        <v>618</v>
      </c>
      <c r="B619" t="s">
        <v>634</v>
      </c>
      <c r="C619" s="2">
        <v>45954</v>
      </c>
      <c r="D619" s="2" t="str">
        <f t="shared" si="39"/>
        <v>Oct-2025</v>
      </c>
      <c r="E619" s="2">
        <v>45959</v>
      </c>
      <c r="F619" t="s">
        <v>1017</v>
      </c>
      <c r="G619" t="s">
        <v>1161</v>
      </c>
      <c r="H619" t="s">
        <v>1282</v>
      </c>
      <c r="I619" t="s">
        <v>1287</v>
      </c>
      <c r="J619" t="s">
        <v>1290</v>
      </c>
      <c r="K619" t="s">
        <v>1302</v>
      </c>
      <c r="L619" t="s">
        <v>1308</v>
      </c>
      <c r="M619" t="s">
        <v>1326</v>
      </c>
      <c r="N619">
        <v>2</v>
      </c>
      <c r="O619">
        <v>0.1</v>
      </c>
      <c r="P619">
        <v>12881.55</v>
      </c>
      <c r="Q619">
        <v>1697.81</v>
      </c>
      <c r="R619" t="s">
        <v>1330</v>
      </c>
      <c r="S619" t="b">
        <f t="shared" si="36"/>
        <v>0</v>
      </c>
      <c r="T619" t="b">
        <f t="shared" si="37"/>
        <v>0</v>
      </c>
      <c r="U619" t="b">
        <f t="shared" si="38"/>
        <v>0</v>
      </c>
    </row>
    <row r="620" spans="1:21" x14ac:dyDescent="0.3">
      <c r="A620">
        <v>619</v>
      </c>
      <c r="B620" t="s">
        <v>635</v>
      </c>
      <c r="C620" s="2">
        <v>45768</v>
      </c>
      <c r="D620" s="2" t="str">
        <f t="shared" si="39"/>
        <v>Apr-2025</v>
      </c>
      <c r="E620" s="2">
        <v>45770</v>
      </c>
      <c r="F620" t="s">
        <v>1018</v>
      </c>
      <c r="G620" t="s">
        <v>1166</v>
      </c>
      <c r="H620" t="s">
        <v>1286</v>
      </c>
      <c r="I620" t="s">
        <v>1289</v>
      </c>
      <c r="J620" t="s">
        <v>1293</v>
      </c>
      <c r="K620" t="s">
        <v>1304</v>
      </c>
      <c r="L620" t="s">
        <v>1309</v>
      </c>
      <c r="M620" t="s">
        <v>1329</v>
      </c>
      <c r="N620">
        <v>3</v>
      </c>
      <c r="O620">
        <v>0.05</v>
      </c>
      <c r="P620">
        <v>5596.51</v>
      </c>
      <c r="Q620">
        <v>1098.57</v>
      </c>
      <c r="R620" t="s">
        <v>1332</v>
      </c>
      <c r="S620" t="b">
        <f t="shared" si="36"/>
        <v>0</v>
      </c>
      <c r="T620" t="b">
        <f t="shared" si="37"/>
        <v>0</v>
      </c>
      <c r="U620" t="b">
        <f t="shared" si="38"/>
        <v>0</v>
      </c>
    </row>
    <row r="621" spans="1:21" x14ac:dyDescent="0.3">
      <c r="A621">
        <v>620</v>
      </c>
      <c r="B621" t="s">
        <v>636</v>
      </c>
      <c r="C621" s="2">
        <v>45686</v>
      </c>
      <c r="D621" s="2" t="str">
        <f t="shared" si="39"/>
        <v>Jan-2025</v>
      </c>
      <c r="E621" s="2">
        <v>45690</v>
      </c>
      <c r="F621" t="s">
        <v>1017</v>
      </c>
      <c r="G621" t="s">
        <v>1110</v>
      </c>
      <c r="H621" t="s">
        <v>1273</v>
      </c>
      <c r="I621" t="s">
        <v>1287</v>
      </c>
      <c r="J621" t="s">
        <v>1301</v>
      </c>
      <c r="K621" t="s">
        <v>1303</v>
      </c>
      <c r="L621" t="s">
        <v>1309</v>
      </c>
      <c r="M621" t="s">
        <v>1317</v>
      </c>
      <c r="N621">
        <v>2</v>
      </c>
      <c r="O621">
        <v>0</v>
      </c>
      <c r="P621">
        <v>1637.06</v>
      </c>
      <c r="Q621">
        <v>335.9</v>
      </c>
      <c r="R621" t="s">
        <v>1332</v>
      </c>
      <c r="S621" t="b">
        <f t="shared" si="36"/>
        <v>0</v>
      </c>
      <c r="T621" t="b">
        <f t="shared" si="37"/>
        <v>0</v>
      </c>
      <c r="U621" t="b">
        <f t="shared" si="38"/>
        <v>0</v>
      </c>
    </row>
    <row r="622" spans="1:21" x14ac:dyDescent="0.3">
      <c r="A622">
        <v>621</v>
      </c>
      <c r="B622" t="s">
        <v>637</v>
      </c>
      <c r="C622" s="2">
        <v>45686</v>
      </c>
      <c r="D622" s="2" t="str">
        <f t="shared" si="39"/>
        <v>Jan-2025</v>
      </c>
      <c r="E622" s="2">
        <v>45689</v>
      </c>
      <c r="F622" t="s">
        <v>1017</v>
      </c>
      <c r="G622" t="s">
        <v>1231</v>
      </c>
      <c r="H622" t="s">
        <v>1273</v>
      </c>
      <c r="I622" t="s">
        <v>1288</v>
      </c>
      <c r="J622" t="s">
        <v>1300</v>
      </c>
      <c r="K622" t="s">
        <v>1305</v>
      </c>
      <c r="L622" t="s">
        <v>1306</v>
      </c>
      <c r="M622" t="s">
        <v>1328</v>
      </c>
      <c r="N622">
        <v>4</v>
      </c>
      <c r="O622">
        <v>0.1</v>
      </c>
      <c r="P622">
        <v>431.51</v>
      </c>
      <c r="Q622">
        <v>76</v>
      </c>
      <c r="R622" t="s">
        <v>1331</v>
      </c>
      <c r="S622" t="b">
        <f t="shared" si="36"/>
        <v>0</v>
      </c>
      <c r="T622" t="b">
        <f t="shared" si="37"/>
        <v>0</v>
      </c>
      <c r="U622" t="b">
        <f t="shared" si="38"/>
        <v>0</v>
      </c>
    </row>
    <row r="623" spans="1:21" x14ac:dyDescent="0.3">
      <c r="A623">
        <v>622</v>
      </c>
      <c r="B623" t="s">
        <v>638</v>
      </c>
      <c r="C623" s="2">
        <v>45990</v>
      </c>
      <c r="D623" s="2" t="str">
        <f t="shared" si="39"/>
        <v>Nov-2025</v>
      </c>
      <c r="E623" s="2">
        <v>45991</v>
      </c>
      <c r="F623" t="s">
        <v>1017</v>
      </c>
      <c r="G623" t="s">
        <v>1251</v>
      </c>
      <c r="H623" t="s">
        <v>1283</v>
      </c>
      <c r="I623" t="s">
        <v>1287</v>
      </c>
      <c r="J623" t="s">
        <v>1292</v>
      </c>
      <c r="K623" t="s">
        <v>1303</v>
      </c>
      <c r="L623" t="s">
        <v>1306</v>
      </c>
      <c r="M623" t="s">
        <v>1310</v>
      </c>
      <c r="N623">
        <v>2</v>
      </c>
      <c r="O623">
        <v>0.2</v>
      </c>
      <c r="P623">
        <v>1033.58</v>
      </c>
      <c r="Q623">
        <v>159.28</v>
      </c>
      <c r="R623" t="s">
        <v>1332</v>
      </c>
      <c r="S623" t="b">
        <f t="shared" si="36"/>
        <v>0</v>
      </c>
      <c r="T623" t="b">
        <f t="shared" si="37"/>
        <v>0</v>
      </c>
      <c r="U623" t="b">
        <f t="shared" si="38"/>
        <v>0</v>
      </c>
    </row>
    <row r="624" spans="1:21" x14ac:dyDescent="0.3">
      <c r="A624">
        <v>623</v>
      </c>
      <c r="B624" t="s">
        <v>639</v>
      </c>
      <c r="C624" s="2">
        <v>45793</v>
      </c>
      <c r="D624" s="2" t="str">
        <f t="shared" si="39"/>
        <v>May-2025</v>
      </c>
      <c r="E624" s="2">
        <v>45796</v>
      </c>
      <c r="F624" t="s">
        <v>1017</v>
      </c>
      <c r="G624" t="s">
        <v>1200</v>
      </c>
      <c r="H624" t="s">
        <v>1279</v>
      </c>
      <c r="I624" t="s">
        <v>1288</v>
      </c>
      <c r="J624" t="s">
        <v>1298</v>
      </c>
      <c r="K624" t="s">
        <v>1303</v>
      </c>
      <c r="L624" t="s">
        <v>1307</v>
      </c>
      <c r="M624" t="s">
        <v>1311</v>
      </c>
      <c r="N624">
        <v>4</v>
      </c>
      <c r="O624">
        <v>0.1</v>
      </c>
      <c r="P624">
        <v>1109.55</v>
      </c>
      <c r="Q624">
        <v>322.62</v>
      </c>
      <c r="R624" t="s">
        <v>1331</v>
      </c>
      <c r="S624" t="b">
        <f t="shared" si="36"/>
        <v>0</v>
      </c>
      <c r="T624" t="b">
        <f t="shared" si="37"/>
        <v>0</v>
      </c>
      <c r="U624" t="b">
        <f t="shared" si="38"/>
        <v>0</v>
      </c>
    </row>
    <row r="625" spans="1:21" x14ac:dyDescent="0.3">
      <c r="A625">
        <v>624</v>
      </c>
      <c r="B625" t="s">
        <v>640</v>
      </c>
      <c r="C625" s="2">
        <v>45746</v>
      </c>
      <c r="D625" s="2" t="str">
        <f t="shared" si="39"/>
        <v>Mar-2025</v>
      </c>
      <c r="E625" s="2">
        <v>45749</v>
      </c>
      <c r="F625" t="s">
        <v>1018</v>
      </c>
      <c r="G625" t="s">
        <v>1235</v>
      </c>
      <c r="H625" t="s">
        <v>1280</v>
      </c>
      <c r="I625" t="s">
        <v>1288</v>
      </c>
      <c r="J625" t="s">
        <v>1298</v>
      </c>
      <c r="K625" t="s">
        <v>1303</v>
      </c>
      <c r="L625" t="s">
        <v>1308</v>
      </c>
      <c r="M625" t="s">
        <v>1327</v>
      </c>
      <c r="N625">
        <v>2</v>
      </c>
      <c r="O625">
        <v>0.05</v>
      </c>
      <c r="P625">
        <v>3466.91</v>
      </c>
      <c r="Q625">
        <v>737.61</v>
      </c>
      <c r="R625" t="s">
        <v>1333</v>
      </c>
      <c r="S625" t="b">
        <f t="shared" si="36"/>
        <v>0</v>
      </c>
      <c r="T625" t="b">
        <f t="shared" si="37"/>
        <v>0</v>
      </c>
      <c r="U625" t="b">
        <f t="shared" si="38"/>
        <v>0</v>
      </c>
    </row>
    <row r="626" spans="1:21" x14ac:dyDescent="0.3">
      <c r="A626">
        <v>625</v>
      </c>
      <c r="B626" t="s">
        <v>641</v>
      </c>
      <c r="C626" s="2">
        <v>46010</v>
      </c>
      <c r="D626" s="2" t="str">
        <f t="shared" si="39"/>
        <v>Dec-2025</v>
      </c>
      <c r="E626" s="2">
        <v>46015</v>
      </c>
      <c r="F626" t="s">
        <v>1019</v>
      </c>
      <c r="G626" t="s">
        <v>1231</v>
      </c>
      <c r="H626" t="s">
        <v>1274</v>
      </c>
      <c r="I626" t="s">
        <v>1288</v>
      </c>
      <c r="J626" t="s">
        <v>1293</v>
      </c>
      <c r="K626" t="s">
        <v>1304</v>
      </c>
      <c r="L626" t="s">
        <v>1307</v>
      </c>
      <c r="M626" t="s">
        <v>1322</v>
      </c>
      <c r="N626">
        <v>2</v>
      </c>
      <c r="O626">
        <v>0.1</v>
      </c>
      <c r="P626">
        <v>1231.98</v>
      </c>
      <c r="Q626">
        <v>290.58999999999997</v>
      </c>
      <c r="R626" t="s">
        <v>1333</v>
      </c>
      <c r="S626" t="b">
        <f t="shared" si="36"/>
        <v>0</v>
      </c>
      <c r="T626" t="b">
        <f t="shared" si="37"/>
        <v>0</v>
      </c>
      <c r="U626" t="b">
        <f t="shared" si="38"/>
        <v>0</v>
      </c>
    </row>
    <row r="627" spans="1:21" x14ac:dyDescent="0.3">
      <c r="A627">
        <v>626</v>
      </c>
      <c r="B627" t="s">
        <v>642</v>
      </c>
      <c r="C627" s="2">
        <v>45953</v>
      </c>
      <c r="D627" s="2" t="str">
        <f t="shared" si="39"/>
        <v>Oct-2025</v>
      </c>
      <c r="E627" s="2">
        <v>45954</v>
      </c>
      <c r="F627" t="s">
        <v>1017</v>
      </c>
      <c r="G627" t="s">
        <v>1146</v>
      </c>
      <c r="H627" t="s">
        <v>1283</v>
      </c>
      <c r="I627" t="s">
        <v>1288</v>
      </c>
      <c r="J627" t="s">
        <v>1290</v>
      </c>
      <c r="K627" t="s">
        <v>1302</v>
      </c>
      <c r="L627" t="s">
        <v>1308</v>
      </c>
      <c r="M627" t="s">
        <v>1326</v>
      </c>
      <c r="N627">
        <v>1</v>
      </c>
      <c r="O627">
        <v>0.1</v>
      </c>
      <c r="P627">
        <v>6342.89</v>
      </c>
      <c r="Q627">
        <v>969.97</v>
      </c>
      <c r="R627" t="s">
        <v>1331</v>
      </c>
      <c r="S627" t="b">
        <f t="shared" si="36"/>
        <v>0</v>
      </c>
      <c r="T627" t="b">
        <f t="shared" si="37"/>
        <v>0</v>
      </c>
      <c r="U627" t="b">
        <f t="shared" si="38"/>
        <v>0</v>
      </c>
    </row>
    <row r="628" spans="1:21" x14ac:dyDescent="0.3">
      <c r="A628">
        <v>627</v>
      </c>
      <c r="B628" t="s">
        <v>643</v>
      </c>
      <c r="C628" s="2">
        <v>45734</v>
      </c>
      <c r="D628" s="2" t="str">
        <f t="shared" si="39"/>
        <v>Mar-2025</v>
      </c>
      <c r="E628" s="2">
        <v>45735</v>
      </c>
      <c r="F628" t="s">
        <v>1017</v>
      </c>
      <c r="G628" t="s">
        <v>1020</v>
      </c>
      <c r="H628" t="s">
        <v>1283</v>
      </c>
      <c r="I628" t="s">
        <v>1288</v>
      </c>
      <c r="J628" t="s">
        <v>1295</v>
      </c>
      <c r="K628" t="s">
        <v>1305</v>
      </c>
      <c r="L628" t="s">
        <v>1306</v>
      </c>
      <c r="M628" t="s">
        <v>1310</v>
      </c>
      <c r="N628">
        <v>4</v>
      </c>
      <c r="O628">
        <v>0.05</v>
      </c>
      <c r="P628">
        <v>2371.1999999999998</v>
      </c>
      <c r="Q628">
        <v>741.76</v>
      </c>
      <c r="R628" t="s">
        <v>1331</v>
      </c>
      <c r="S628" t="b">
        <f t="shared" si="36"/>
        <v>0</v>
      </c>
      <c r="T628" t="b">
        <f t="shared" si="37"/>
        <v>0</v>
      </c>
      <c r="U628" t="b">
        <f t="shared" si="38"/>
        <v>0</v>
      </c>
    </row>
    <row r="629" spans="1:21" x14ac:dyDescent="0.3">
      <c r="A629">
        <v>628</v>
      </c>
      <c r="B629" t="s">
        <v>644</v>
      </c>
      <c r="C629" s="2">
        <v>45973</v>
      </c>
      <c r="D629" s="2" t="str">
        <f t="shared" si="39"/>
        <v>Nov-2025</v>
      </c>
      <c r="E629" s="2">
        <v>45975</v>
      </c>
      <c r="F629" t="s">
        <v>1017</v>
      </c>
      <c r="G629" t="s">
        <v>1135</v>
      </c>
      <c r="H629" t="s">
        <v>1278</v>
      </c>
      <c r="I629" t="s">
        <v>1287</v>
      </c>
      <c r="J629" t="s">
        <v>1294</v>
      </c>
      <c r="K629" t="s">
        <v>1305</v>
      </c>
      <c r="L629" t="s">
        <v>1309</v>
      </c>
      <c r="M629" t="s">
        <v>1329</v>
      </c>
      <c r="N629">
        <v>1</v>
      </c>
      <c r="O629">
        <v>0.05</v>
      </c>
      <c r="P629">
        <v>1726.9</v>
      </c>
      <c r="Q629">
        <v>187.14</v>
      </c>
      <c r="R629" t="s">
        <v>1330</v>
      </c>
      <c r="S629" t="b">
        <f t="shared" si="36"/>
        <v>0</v>
      </c>
      <c r="T629" t="b">
        <f t="shared" si="37"/>
        <v>0</v>
      </c>
      <c r="U629" t="b">
        <f t="shared" si="38"/>
        <v>0</v>
      </c>
    </row>
    <row r="630" spans="1:21" x14ac:dyDescent="0.3">
      <c r="A630">
        <v>629</v>
      </c>
      <c r="B630" t="s">
        <v>645</v>
      </c>
      <c r="C630" s="2">
        <v>45697</v>
      </c>
      <c r="D630" s="2" t="str">
        <f t="shared" si="39"/>
        <v>Feb-2025</v>
      </c>
      <c r="E630" s="2">
        <v>45700</v>
      </c>
      <c r="F630" t="s">
        <v>1018</v>
      </c>
      <c r="G630" t="s">
        <v>1040</v>
      </c>
      <c r="H630" t="s">
        <v>1283</v>
      </c>
      <c r="I630" t="s">
        <v>1289</v>
      </c>
      <c r="J630" t="s">
        <v>1299</v>
      </c>
      <c r="K630" t="s">
        <v>1304</v>
      </c>
      <c r="L630" t="s">
        <v>1308</v>
      </c>
      <c r="M630" t="s">
        <v>1319</v>
      </c>
      <c r="N630">
        <v>1</v>
      </c>
      <c r="O630">
        <v>0.15</v>
      </c>
      <c r="P630">
        <v>3990.28</v>
      </c>
      <c r="Q630">
        <v>713.32</v>
      </c>
      <c r="R630" t="s">
        <v>1331</v>
      </c>
      <c r="S630" t="b">
        <f t="shared" si="36"/>
        <v>0</v>
      </c>
      <c r="T630" t="b">
        <f t="shared" si="37"/>
        <v>0</v>
      </c>
      <c r="U630" t="b">
        <f t="shared" si="38"/>
        <v>0</v>
      </c>
    </row>
    <row r="631" spans="1:21" x14ac:dyDescent="0.3">
      <c r="A631">
        <v>630</v>
      </c>
      <c r="B631" t="s">
        <v>646</v>
      </c>
      <c r="C631" s="2">
        <v>45729</v>
      </c>
      <c r="D631" s="2" t="str">
        <f t="shared" si="39"/>
        <v>Mar-2025</v>
      </c>
      <c r="E631" s="2">
        <v>45733</v>
      </c>
      <c r="F631" t="s">
        <v>1017</v>
      </c>
      <c r="G631" t="s">
        <v>1077</v>
      </c>
      <c r="H631" t="s">
        <v>1269</v>
      </c>
      <c r="I631" t="s">
        <v>1288</v>
      </c>
      <c r="J631" t="s">
        <v>1298</v>
      </c>
      <c r="K631" t="s">
        <v>1303</v>
      </c>
      <c r="L631" t="s">
        <v>1306</v>
      </c>
      <c r="M631" t="s">
        <v>1310</v>
      </c>
      <c r="N631">
        <v>2</v>
      </c>
      <c r="O631">
        <v>0.15</v>
      </c>
      <c r="P631">
        <v>1067.8599999999999</v>
      </c>
      <c r="Q631">
        <v>70.510000000000005</v>
      </c>
      <c r="R631" t="s">
        <v>1331</v>
      </c>
      <c r="S631" t="b">
        <f t="shared" si="36"/>
        <v>0</v>
      </c>
      <c r="T631" t="b">
        <f t="shared" si="37"/>
        <v>0</v>
      </c>
      <c r="U631" t="b">
        <f t="shared" si="38"/>
        <v>0</v>
      </c>
    </row>
    <row r="632" spans="1:21" x14ac:dyDescent="0.3">
      <c r="A632">
        <v>631</v>
      </c>
      <c r="B632" t="s">
        <v>647</v>
      </c>
      <c r="C632" s="2">
        <v>45794</v>
      </c>
      <c r="D632" s="2" t="str">
        <f t="shared" si="39"/>
        <v>May-2025</v>
      </c>
      <c r="E632" s="2">
        <v>45798</v>
      </c>
      <c r="F632" t="s">
        <v>1017</v>
      </c>
      <c r="G632" t="s">
        <v>1197</v>
      </c>
      <c r="H632" t="s">
        <v>1284</v>
      </c>
      <c r="I632" t="s">
        <v>1287</v>
      </c>
      <c r="J632" t="s">
        <v>1295</v>
      </c>
      <c r="K632" t="s">
        <v>1305</v>
      </c>
      <c r="L632" t="s">
        <v>1308</v>
      </c>
      <c r="M632" t="s">
        <v>1326</v>
      </c>
      <c r="N632">
        <v>3</v>
      </c>
      <c r="O632">
        <v>0</v>
      </c>
      <c r="P632">
        <v>20216.310000000001</v>
      </c>
      <c r="Q632">
        <v>5411.93</v>
      </c>
      <c r="R632" t="s">
        <v>1330</v>
      </c>
      <c r="S632" t="b">
        <f t="shared" si="36"/>
        <v>0</v>
      </c>
      <c r="T632" t="b">
        <f t="shared" si="37"/>
        <v>0</v>
      </c>
      <c r="U632" t="b">
        <f t="shared" si="38"/>
        <v>0</v>
      </c>
    </row>
    <row r="633" spans="1:21" x14ac:dyDescent="0.3">
      <c r="A633">
        <v>632</v>
      </c>
      <c r="B633" t="s">
        <v>648</v>
      </c>
      <c r="C633" s="2">
        <v>45714</v>
      </c>
      <c r="D633" s="2" t="str">
        <f t="shared" si="39"/>
        <v>Feb-2025</v>
      </c>
      <c r="E633" s="2">
        <v>45715</v>
      </c>
      <c r="F633" t="s">
        <v>1018</v>
      </c>
      <c r="G633" t="s">
        <v>1140</v>
      </c>
      <c r="H633" t="s">
        <v>1271</v>
      </c>
      <c r="I633" t="s">
        <v>1287</v>
      </c>
      <c r="J633" t="s">
        <v>1300</v>
      </c>
      <c r="K633" t="s">
        <v>1305</v>
      </c>
      <c r="L633" t="s">
        <v>1307</v>
      </c>
      <c r="M633" t="s">
        <v>1314</v>
      </c>
      <c r="N633">
        <v>2</v>
      </c>
      <c r="O633">
        <v>0.2</v>
      </c>
      <c r="P633">
        <v>1442.4</v>
      </c>
      <c r="Q633">
        <v>44.3</v>
      </c>
      <c r="R633" t="s">
        <v>1333</v>
      </c>
      <c r="S633" t="b">
        <f t="shared" si="36"/>
        <v>0</v>
      </c>
      <c r="T633" t="b">
        <f t="shared" si="37"/>
        <v>0</v>
      </c>
      <c r="U633" t="b">
        <f t="shared" si="38"/>
        <v>0</v>
      </c>
    </row>
    <row r="634" spans="1:21" x14ac:dyDescent="0.3">
      <c r="A634">
        <v>633</v>
      </c>
      <c r="B634" t="s">
        <v>649</v>
      </c>
      <c r="C634" s="2">
        <v>45758</v>
      </c>
      <c r="D634" s="2" t="str">
        <f t="shared" si="39"/>
        <v>Apr-2025</v>
      </c>
      <c r="E634" s="2">
        <v>45761</v>
      </c>
      <c r="F634" t="s">
        <v>1018</v>
      </c>
      <c r="G634" t="s">
        <v>1073</v>
      </c>
      <c r="H634" t="s">
        <v>1285</v>
      </c>
      <c r="I634" t="s">
        <v>1287</v>
      </c>
      <c r="J634" t="s">
        <v>1298</v>
      </c>
      <c r="K634" t="s">
        <v>1303</v>
      </c>
      <c r="L634" t="s">
        <v>1307</v>
      </c>
      <c r="M634" t="s">
        <v>1315</v>
      </c>
      <c r="N634">
        <v>1</v>
      </c>
      <c r="O634">
        <v>0</v>
      </c>
      <c r="P634">
        <v>1787.73</v>
      </c>
      <c r="Q634">
        <v>336.79</v>
      </c>
      <c r="R634" t="s">
        <v>1330</v>
      </c>
      <c r="S634" t="b">
        <f t="shared" si="36"/>
        <v>0</v>
      </c>
      <c r="T634" t="b">
        <f t="shared" si="37"/>
        <v>0</v>
      </c>
      <c r="U634" t="b">
        <f t="shared" si="38"/>
        <v>0</v>
      </c>
    </row>
    <row r="635" spans="1:21" x14ac:dyDescent="0.3">
      <c r="A635">
        <v>634</v>
      </c>
      <c r="B635" t="s">
        <v>650</v>
      </c>
      <c r="C635" s="2">
        <v>45690</v>
      </c>
      <c r="D635" s="2" t="str">
        <f t="shared" si="39"/>
        <v>Feb-2025</v>
      </c>
      <c r="E635" s="2">
        <v>45694</v>
      </c>
      <c r="F635" t="s">
        <v>1017</v>
      </c>
      <c r="G635" t="s">
        <v>1051</v>
      </c>
      <c r="H635" t="s">
        <v>1286</v>
      </c>
      <c r="I635" t="s">
        <v>1289</v>
      </c>
      <c r="J635" t="s">
        <v>1301</v>
      </c>
      <c r="K635" t="s">
        <v>1303</v>
      </c>
      <c r="L635" t="s">
        <v>1306</v>
      </c>
      <c r="M635" t="s">
        <v>1321</v>
      </c>
      <c r="N635">
        <v>2</v>
      </c>
      <c r="O635">
        <v>0.15</v>
      </c>
      <c r="P635">
        <v>772.92</v>
      </c>
      <c r="Q635">
        <v>46.81</v>
      </c>
      <c r="R635" t="s">
        <v>1332</v>
      </c>
      <c r="S635" t="b">
        <f t="shared" si="36"/>
        <v>0</v>
      </c>
      <c r="T635" t="b">
        <f t="shared" si="37"/>
        <v>0</v>
      </c>
      <c r="U635" t="b">
        <f t="shared" si="38"/>
        <v>0</v>
      </c>
    </row>
    <row r="636" spans="1:21" x14ac:dyDescent="0.3">
      <c r="A636">
        <v>635</v>
      </c>
      <c r="B636" t="s">
        <v>651</v>
      </c>
      <c r="C636" s="2">
        <v>45832</v>
      </c>
      <c r="D636" s="2" t="str">
        <f t="shared" si="39"/>
        <v>Jun-2025</v>
      </c>
      <c r="E636" s="2">
        <v>45836</v>
      </c>
      <c r="F636" t="s">
        <v>1017</v>
      </c>
      <c r="G636" t="s">
        <v>1165</v>
      </c>
      <c r="H636" t="s">
        <v>1285</v>
      </c>
      <c r="I636" t="s">
        <v>1289</v>
      </c>
      <c r="J636" t="s">
        <v>1300</v>
      </c>
      <c r="K636" t="s">
        <v>1305</v>
      </c>
      <c r="L636" t="s">
        <v>1309</v>
      </c>
      <c r="M636" t="s">
        <v>1317</v>
      </c>
      <c r="N636">
        <v>2</v>
      </c>
      <c r="O636">
        <v>0.15</v>
      </c>
      <c r="P636">
        <v>1342.17</v>
      </c>
      <c r="Q636">
        <v>34.78</v>
      </c>
      <c r="R636" t="s">
        <v>1331</v>
      </c>
      <c r="S636" t="b">
        <f t="shared" si="36"/>
        <v>0</v>
      </c>
      <c r="T636" t="b">
        <f t="shared" si="37"/>
        <v>0</v>
      </c>
      <c r="U636" t="b">
        <f t="shared" si="38"/>
        <v>0</v>
      </c>
    </row>
    <row r="637" spans="1:21" x14ac:dyDescent="0.3">
      <c r="A637">
        <v>636</v>
      </c>
      <c r="B637" t="s">
        <v>652</v>
      </c>
      <c r="C637" s="2">
        <v>45688</v>
      </c>
      <c r="D637" s="2" t="str">
        <f t="shared" si="39"/>
        <v>Jan-2025</v>
      </c>
      <c r="E637" s="2">
        <v>45693</v>
      </c>
      <c r="F637" t="s">
        <v>1018</v>
      </c>
      <c r="G637" t="s">
        <v>1081</v>
      </c>
      <c r="H637" t="s">
        <v>1281</v>
      </c>
      <c r="I637" t="s">
        <v>1288</v>
      </c>
      <c r="J637" t="s">
        <v>1291</v>
      </c>
      <c r="K637" t="s">
        <v>1302</v>
      </c>
      <c r="L637" t="s">
        <v>1306</v>
      </c>
      <c r="M637" t="s">
        <v>1321</v>
      </c>
      <c r="N637">
        <v>2</v>
      </c>
      <c r="O637">
        <v>0.1</v>
      </c>
      <c r="P637">
        <v>817.02</v>
      </c>
      <c r="Q637">
        <v>146.63</v>
      </c>
      <c r="R637" t="s">
        <v>1330</v>
      </c>
      <c r="S637" t="b">
        <f t="shared" si="36"/>
        <v>0</v>
      </c>
      <c r="T637" t="b">
        <f t="shared" si="37"/>
        <v>0</v>
      </c>
      <c r="U637" t="b">
        <f t="shared" si="38"/>
        <v>0</v>
      </c>
    </row>
    <row r="638" spans="1:21" x14ac:dyDescent="0.3">
      <c r="A638">
        <v>637</v>
      </c>
      <c r="B638" t="s">
        <v>653</v>
      </c>
      <c r="C638" s="2">
        <v>45692</v>
      </c>
      <c r="D638" s="2" t="str">
        <f t="shared" si="39"/>
        <v>Feb-2025</v>
      </c>
      <c r="E638" s="2">
        <v>45695</v>
      </c>
      <c r="F638" t="s">
        <v>1017</v>
      </c>
      <c r="G638" t="s">
        <v>1097</v>
      </c>
      <c r="H638" t="s">
        <v>1276</v>
      </c>
      <c r="I638" t="s">
        <v>1287</v>
      </c>
      <c r="J638" t="s">
        <v>1301</v>
      </c>
      <c r="K638" t="s">
        <v>1303</v>
      </c>
      <c r="L638" t="s">
        <v>1306</v>
      </c>
      <c r="M638" t="s">
        <v>1328</v>
      </c>
      <c r="N638">
        <v>2</v>
      </c>
      <c r="O638">
        <v>0.2</v>
      </c>
      <c r="P638">
        <v>188.85</v>
      </c>
      <c r="Q638">
        <v>13.14</v>
      </c>
      <c r="R638" t="s">
        <v>1331</v>
      </c>
      <c r="S638" t="b">
        <f t="shared" si="36"/>
        <v>0</v>
      </c>
      <c r="T638" t="b">
        <f t="shared" si="37"/>
        <v>0</v>
      </c>
      <c r="U638" t="b">
        <f t="shared" si="38"/>
        <v>0</v>
      </c>
    </row>
    <row r="639" spans="1:21" x14ac:dyDescent="0.3">
      <c r="A639">
        <v>638</v>
      </c>
      <c r="B639" t="s">
        <v>654</v>
      </c>
      <c r="C639" s="2">
        <v>45863</v>
      </c>
      <c r="D639" s="2" t="str">
        <f t="shared" si="39"/>
        <v>Jul-2025</v>
      </c>
      <c r="E639" s="2">
        <v>45864</v>
      </c>
      <c r="F639" t="s">
        <v>1017</v>
      </c>
      <c r="G639" t="s">
        <v>1183</v>
      </c>
      <c r="H639" t="s">
        <v>1271</v>
      </c>
      <c r="I639" t="s">
        <v>1289</v>
      </c>
      <c r="J639" t="s">
        <v>1296</v>
      </c>
      <c r="K639" t="s">
        <v>1304</v>
      </c>
      <c r="L639" t="s">
        <v>1307</v>
      </c>
      <c r="M639" t="s">
        <v>1316</v>
      </c>
      <c r="N639">
        <v>2</v>
      </c>
      <c r="O639">
        <v>0.15</v>
      </c>
      <c r="P639">
        <v>854.1</v>
      </c>
      <c r="Q639">
        <v>147.61000000000001</v>
      </c>
      <c r="R639" t="s">
        <v>1331</v>
      </c>
      <c r="S639" t="b">
        <f t="shared" si="36"/>
        <v>0</v>
      </c>
      <c r="T639" t="b">
        <f t="shared" si="37"/>
        <v>0</v>
      </c>
      <c r="U639" t="b">
        <f t="shared" si="38"/>
        <v>0</v>
      </c>
    </row>
    <row r="640" spans="1:21" x14ac:dyDescent="0.3">
      <c r="A640">
        <v>639</v>
      </c>
      <c r="B640" t="s">
        <v>655</v>
      </c>
      <c r="C640" s="2">
        <v>45955</v>
      </c>
      <c r="D640" s="2" t="str">
        <f t="shared" si="39"/>
        <v>Oct-2025</v>
      </c>
      <c r="E640" s="2">
        <v>45956</v>
      </c>
      <c r="F640" t="s">
        <v>1017</v>
      </c>
      <c r="G640" t="s">
        <v>1252</v>
      </c>
      <c r="H640" t="s">
        <v>1278</v>
      </c>
      <c r="I640" t="s">
        <v>1288</v>
      </c>
      <c r="J640" t="s">
        <v>1292</v>
      </c>
      <c r="K640" t="s">
        <v>1303</v>
      </c>
      <c r="L640" t="s">
        <v>1307</v>
      </c>
      <c r="M640" t="s">
        <v>1311</v>
      </c>
      <c r="N640">
        <v>4</v>
      </c>
      <c r="O640">
        <v>0</v>
      </c>
      <c r="P640">
        <v>1166.1099999999999</v>
      </c>
      <c r="Q640">
        <v>224.49</v>
      </c>
      <c r="R640" t="s">
        <v>1333</v>
      </c>
      <c r="S640" t="b">
        <f t="shared" si="36"/>
        <v>0</v>
      </c>
      <c r="T640" t="b">
        <f t="shared" si="37"/>
        <v>0</v>
      </c>
      <c r="U640" t="b">
        <f t="shared" si="38"/>
        <v>0</v>
      </c>
    </row>
    <row r="641" spans="1:21" x14ac:dyDescent="0.3">
      <c r="A641">
        <v>640</v>
      </c>
      <c r="B641" t="s">
        <v>656</v>
      </c>
      <c r="C641" s="2">
        <v>45891</v>
      </c>
      <c r="D641" s="2" t="str">
        <f t="shared" si="39"/>
        <v>Aug-2025</v>
      </c>
      <c r="E641" s="2">
        <v>45896</v>
      </c>
      <c r="F641" t="s">
        <v>1017</v>
      </c>
      <c r="G641" t="s">
        <v>1086</v>
      </c>
      <c r="H641" t="s">
        <v>1270</v>
      </c>
      <c r="I641" t="s">
        <v>1287</v>
      </c>
      <c r="J641" t="s">
        <v>1290</v>
      </c>
      <c r="K641" t="s">
        <v>1302</v>
      </c>
      <c r="L641" t="s">
        <v>1308</v>
      </c>
      <c r="M641" t="s">
        <v>1319</v>
      </c>
      <c r="N641">
        <v>2</v>
      </c>
      <c r="O641">
        <v>0.05</v>
      </c>
      <c r="P641">
        <v>8803.5</v>
      </c>
      <c r="Q641">
        <v>2360.7199999999998</v>
      </c>
      <c r="R641" t="s">
        <v>1330</v>
      </c>
      <c r="S641" t="b">
        <f t="shared" si="36"/>
        <v>0</v>
      </c>
      <c r="T641" t="b">
        <f t="shared" si="37"/>
        <v>0</v>
      </c>
      <c r="U641" t="b">
        <f t="shared" si="38"/>
        <v>0</v>
      </c>
    </row>
    <row r="642" spans="1:21" x14ac:dyDescent="0.3">
      <c r="A642">
        <v>641</v>
      </c>
      <c r="B642" t="s">
        <v>657</v>
      </c>
      <c r="C642" s="2">
        <v>45953</v>
      </c>
      <c r="D642" s="2" t="str">
        <f t="shared" si="39"/>
        <v>Oct-2025</v>
      </c>
      <c r="E642" s="2">
        <v>45956</v>
      </c>
      <c r="F642" t="s">
        <v>1017</v>
      </c>
      <c r="G642" t="s">
        <v>1137</v>
      </c>
      <c r="H642" t="s">
        <v>1276</v>
      </c>
      <c r="I642" t="s">
        <v>1287</v>
      </c>
      <c r="J642" t="s">
        <v>1300</v>
      </c>
      <c r="K642" t="s">
        <v>1305</v>
      </c>
      <c r="L642" t="s">
        <v>1309</v>
      </c>
      <c r="M642" t="s">
        <v>1325</v>
      </c>
      <c r="N642">
        <v>3</v>
      </c>
      <c r="O642">
        <v>0.15</v>
      </c>
      <c r="P642">
        <v>3349.17</v>
      </c>
      <c r="Q642">
        <v>253.97</v>
      </c>
      <c r="R642" t="s">
        <v>1331</v>
      </c>
      <c r="S642" t="b">
        <f t="shared" ref="S642:S705" si="40">E642&lt;C642</f>
        <v>0</v>
      </c>
      <c r="T642" t="b">
        <f t="shared" ref="T642:T705" si="41">N642&lt;=0</f>
        <v>0</v>
      </c>
      <c r="U642" t="b">
        <f t="shared" ref="U642:U705" si="42">OR(O642&lt;0,O642&gt;1)</f>
        <v>0</v>
      </c>
    </row>
    <row r="643" spans="1:21" x14ac:dyDescent="0.3">
      <c r="A643">
        <v>642</v>
      </c>
      <c r="B643" t="s">
        <v>658</v>
      </c>
      <c r="C643" s="2">
        <v>45688</v>
      </c>
      <c r="D643" s="2" t="str">
        <f t="shared" ref="D643:D706" si="43">TEXT(C643,"mmm-yyyy")</f>
        <v>Jan-2025</v>
      </c>
      <c r="E643" s="2">
        <v>45693</v>
      </c>
      <c r="F643" t="s">
        <v>1017</v>
      </c>
      <c r="G643" t="s">
        <v>1168</v>
      </c>
      <c r="H643" t="s">
        <v>1273</v>
      </c>
      <c r="I643" t="s">
        <v>1287</v>
      </c>
      <c r="J643" t="s">
        <v>1290</v>
      </c>
      <c r="K643" t="s">
        <v>1302</v>
      </c>
      <c r="L643" t="s">
        <v>1306</v>
      </c>
      <c r="M643" t="s">
        <v>1328</v>
      </c>
      <c r="N643">
        <v>1</v>
      </c>
      <c r="O643">
        <v>0.1</v>
      </c>
      <c r="P643">
        <v>111.48</v>
      </c>
      <c r="Q643">
        <v>32.04</v>
      </c>
      <c r="R643" t="s">
        <v>1331</v>
      </c>
      <c r="S643" t="b">
        <f t="shared" si="40"/>
        <v>0</v>
      </c>
      <c r="T643" t="b">
        <f t="shared" si="41"/>
        <v>0</v>
      </c>
      <c r="U643" t="b">
        <f t="shared" si="42"/>
        <v>0</v>
      </c>
    </row>
    <row r="644" spans="1:21" x14ac:dyDescent="0.3">
      <c r="A644">
        <v>643</v>
      </c>
      <c r="B644" t="s">
        <v>659</v>
      </c>
      <c r="C644" s="2">
        <v>46016</v>
      </c>
      <c r="D644" s="2" t="str">
        <f t="shared" si="43"/>
        <v>Dec-2025</v>
      </c>
      <c r="E644" s="2">
        <v>46021</v>
      </c>
      <c r="F644" t="s">
        <v>1017</v>
      </c>
      <c r="G644" t="s">
        <v>1036</v>
      </c>
      <c r="H644" t="s">
        <v>1270</v>
      </c>
      <c r="I644" t="s">
        <v>1287</v>
      </c>
      <c r="J644" t="s">
        <v>1297</v>
      </c>
      <c r="K644" t="s">
        <v>1304</v>
      </c>
      <c r="L644" t="s">
        <v>1306</v>
      </c>
      <c r="M644" t="s">
        <v>1321</v>
      </c>
      <c r="N644">
        <v>3</v>
      </c>
      <c r="O644">
        <v>0.1</v>
      </c>
      <c r="P644">
        <v>1273.6500000000001</v>
      </c>
      <c r="Q644">
        <v>328.89</v>
      </c>
      <c r="R644" t="s">
        <v>1332</v>
      </c>
      <c r="S644" t="b">
        <f t="shared" si="40"/>
        <v>0</v>
      </c>
      <c r="T644" t="b">
        <f t="shared" si="41"/>
        <v>0</v>
      </c>
      <c r="U644" t="b">
        <f t="shared" si="42"/>
        <v>0</v>
      </c>
    </row>
    <row r="645" spans="1:21" x14ac:dyDescent="0.3">
      <c r="A645">
        <v>644</v>
      </c>
      <c r="B645" t="s">
        <v>660</v>
      </c>
      <c r="C645" s="2">
        <v>45872</v>
      </c>
      <c r="D645" s="2" t="str">
        <f t="shared" si="43"/>
        <v>Aug-2025</v>
      </c>
      <c r="E645" s="2">
        <v>45876</v>
      </c>
      <c r="F645" t="s">
        <v>1017</v>
      </c>
      <c r="G645" t="s">
        <v>1033</v>
      </c>
      <c r="H645" t="s">
        <v>1271</v>
      </c>
      <c r="I645" t="s">
        <v>1287</v>
      </c>
      <c r="J645" t="s">
        <v>1299</v>
      </c>
      <c r="K645" t="s">
        <v>1304</v>
      </c>
      <c r="L645" t="s">
        <v>1307</v>
      </c>
      <c r="M645" t="s">
        <v>1314</v>
      </c>
      <c r="N645">
        <v>5</v>
      </c>
      <c r="O645">
        <v>0</v>
      </c>
      <c r="P645">
        <v>4491.5</v>
      </c>
      <c r="Q645">
        <v>912.9</v>
      </c>
      <c r="R645" t="s">
        <v>1331</v>
      </c>
      <c r="S645" t="b">
        <f t="shared" si="40"/>
        <v>0</v>
      </c>
      <c r="T645" t="b">
        <f t="shared" si="41"/>
        <v>0</v>
      </c>
      <c r="U645" t="b">
        <f t="shared" si="42"/>
        <v>0</v>
      </c>
    </row>
    <row r="646" spans="1:21" x14ac:dyDescent="0.3">
      <c r="A646">
        <v>645</v>
      </c>
      <c r="B646" t="s">
        <v>661</v>
      </c>
      <c r="C646" s="2">
        <v>45901</v>
      </c>
      <c r="D646" s="2" t="str">
        <f t="shared" si="43"/>
        <v>Sep-2025</v>
      </c>
      <c r="E646" s="2">
        <v>45902</v>
      </c>
      <c r="F646" t="s">
        <v>1017</v>
      </c>
      <c r="G646" t="s">
        <v>1109</v>
      </c>
      <c r="H646" t="s">
        <v>1272</v>
      </c>
      <c r="I646" t="s">
        <v>1287</v>
      </c>
      <c r="J646" t="s">
        <v>1295</v>
      </c>
      <c r="K646" t="s">
        <v>1305</v>
      </c>
      <c r="L646" t="s">
        <v>1309</v>
      </c>
      <c r="M646" t="s">
        <v>1320</v>
      </c>
      <c r="N646">
        <v>1</v>
      </c>
      <c r="O646">
        <v>0</v>
      </c>
      <c r="P646">
        <v>1191.3599999999999</v>
      </c>
      <c r="Q646">
        <v>214.91</v>
      </c>
      <c r="R646" t="s">
        <v>1332</v>
      </c>
      <c r="S646" t="b">
        <f t="shared" si="40"/>
        <v>0</v>
      </c>
      <c r="T646" t="b">
        <f t="shared" si="41"/>
        <v>0</v>
      </c>
      <c r="U646" t="b">
        <f t="shared" si="42"/>
        <v>0</v>
      </c>
    </row>
    <row r="647" spans="1:21" x14ac:dyDescent="0.3">
      <c r="A647">
        <v>646</v>
      </c>
      <c r="B647" t="s">
        <v>662</v>
      </c>
      <c r="C647" s="2">
        <v>45854</v>
      </c>
      <c r="D647" s="2" t="str">
        <f t="shared" si="43"/>
        <v>Jul-2025</v>
      </c>
      <c r="E647" s="2">
        <v>45859</v>
      </c>
      <c r="F647" t="s">
        <v>1017</v>
      </c>
      <c r="G647" t="s">
        <v>1054</v>
      </c>
      <c r="H647" t="s">
        <v>1280</v>
      </c>
      <c r="I647" t="s">
        <v>1288</v>
      </c>
      <c r="J647" t="s">
        <v>1300</v>
      </c>
      <c r="K647" t="s">
        <v>1305</v>
      </c>
      <c r="L647" t="s">
        <v>1309</v>
      </c>
      <c r="M647" t="s">
        <v>1320</v>
      </c>
      <c r="N647">
        <v>1</v>
      </c>
      <c r="O647">
        <v>0.2</v>
      </c>
      <c r="P647">
        <v>1004.99</v>
      </c>
      <c r="Q647">
        <v>252.65</v>
      </c>
      <c r="R647" t="s">
        <v>1331</v>
      </c>
      <c r="S647" t="b">
        <f t="shared" si="40"/>
        <v>0</v>
      </c>
      <c r="T647" t="b">
        <f t="shared" si="41"/>
        <v>0</v>
      </c>
      <c r="U647" t="b">
        <f t="shared" si="42"/>
        <v>0</v>
      </c>
    </row>
    <row r="648" spans="1:21" x14ac:dyDescent="0.3">
      <c r="A648">
        <v>647</v>
      </c>
      <c r="B648" t="s">
        <v>663</v>
      </c>
      <c r="C648" s="2">
        <v>45893</v>
      </c>
      <c r="D648" s="2" t="str">
        <f t="shared" si="43"/>
        <v>Aug-2025</v>
      </c>
      <c r="E648" s="2">
        <v>45898</v>
      </c>
      <c r="F648" t="s">
        <v>1019</v>
      </c>
      <c r="G648" t="s">
        <v>1072</v>
      </c>
      <c r="H648" t="s">
        <v>1278</v>
      </c>
      <c r="I648" t="s">
        <v>1289</v>
      </c>
      <c r="J648" t="s">
        <v>1301</v>
      </c>
      <c r="K648" t="s">
        <v>1303</v>
      </c>
      <c r="L648" t="s">
        <v>1306</v>
      </c>
      <c r="M648" t="s">
        <v>1328</v>
      </c>
      <c r="N648">
        <v>4</v>
      </c>
      <c r="O648">
        <v>0</v>
      </c>
      <c r="P648">
        <v>486</v>
      </c>
      <c r="Q648">
        <v>118.43</v>
      </c>
      <c r="R648" t="s">
        <v>1331</v>
      </c>
      <c r="S648" t="b">
        <f t="shared" si="40"/>
        <v>0</v>
      </c>
      <c r="T648" t="b">
        <f t="shared" si="41"/>
        <v>0</v>
      </c>
      <c r="U648" t="b">
        <f t="shared" si="42"/>
        <v>0</v>
      </c>
    </row>
    <row r="649" spans="1:21" x14ac:dyDescent="0.3">
      <c r="A649">
        <v>648</v>
      </c>
      <c r="B649" t="s">
        <v>664</v>
      </c>
      <c r="C649" s="2">
        <v>46005</v>
      </c>
      <c r="D649" s="2" t="str">
        <f t="shared" si="43"/>
        <v>Dec-2025</v>
      </c>
      <c r="E649" s="2">
        <v>46008</v>
      </c>
      <c r="F649" t="s">
        <v>1017</v>
      </c>
      <c r="G649" t="s">
        <v>1129</v>
      </c>
      <c r="H649" t="s">
        <v>1274</v>
      </c>
      <c r="I649" t="s">
        <v>1287</v>
      </c>
      <c r="J649" t="s">
        <v>1301</v>
      </c>
      <c r="K649" t="s">
        <v>1303</v>
      </c>
      <c r="L649" t="s">
        <v>1308</v>
      </c>
      <c r="M649" t="s">
        <v>1319</v>
      </c>
      <c r="N649">
        <v>2</v>
      </c>
      <c r="O649">
        <v>0.15</v>
      </c>
      <c r="P649">
        <v>7457.56</v>
      </c>
      <c r="Q649">
        <v>138.01</v>
      </c>
      <c r="R649" t="s">
        <v>1333</v>
      </c>
      <c r="S649" t="b">
        <f t="shared" si="40"/>
        <v>0</v>
      </c>
      <c r="T649" t="b">
        <f t="shared" si="41"/>
        <v>0</v>
      </c>
      <c r="U649" t="b">
        <f t="shared" si="42"/>
        <v>0</v>
      </c>
    </row>
    <row r="650" spans="1:21" x14ac:dyDescent="0.3">
      <c r="A650">
        <v>649</v>
      </c>
      <c r="B650" t="s">
        <v>665</v>
      </c>
      <c r="C650" s="2">
        <v>45879</v>
      </c>
      <c r="D650" s="2" t="str">
        <f t="shared" si="43"/>
        <v>Aug-2025</v>
      </c>
      <c r="E650" s="2">
        <v>45882</v>
      </c>
      <c r="F650" t="s">
        <v>1017</v>
      </c>
      <c r="G650" t="s">
        <v>1253</v>
      </c>
      <c r="H650" t="s">
        <v>1275</v>
      </c>
      <c r="I650" t="s">
        <v>1289</v>
      </c>
      <c r="J650" t="s">
        <v>1295</v>
      </c>
      <c r="K650" t="s">
        <v>1305</v>
      </c>
      <c r="L650" t="s">
        <v>1309</v>
      </c>
      <c r="M650" t="s">
        <v>1320</v>
      </c>
      <c r="N650">
        <v>4</v>
      </c>
      <c r="O650">
        <v>0</v>
      </c>
      <c r="P650">
        <v>4680.5200000000004</v>
      </c>
      <c r="Q650">
        <v>1688.84</v>
      </c>
      <c r="R650" t="s">
        <v>1332</v>
      </c>
      <c r="S650" t="b">
        <f t="shared" si="40"/>
        <v>0</v>
      </c>
      <c r="T650" t="b">
        <f t="shared" si="41"/>
        <v>0</v>
      </c>
      <c r="U650" t="b">
        <f t="shared" si="42"/>
        <v>0</v>
      </c>
    </row>
    <row r="651" spans="1:21" x14ac:dyDescent="0.3">
      <c r="A651">
        <v>650</v>
      </c>
      <c r="B651" t="s">
        <v>666</v>
      </c>
      <c r="C651" s="2">
        <v>45977</v>
      </c>
      <c r="D651" s="2" t="str">
        <f t="shared" si="43"/>
        <v>Nov-2025</v>
      </c>
      <c r="E651" s="2">
        <v>45979</v>
      </c>
      <c r="F651" t="s">
        <v>1017</v>
      </c>
      <c r="G651" t="s">
        <v>1151</v>
      </c>
      <c r="H651" t="s">
        <v>1279</v>
      </c>
      <c r="I651" t="s">
        <v>1288</v>
      </c>
      <c r="J651" t="s">
        <v>1296</v>
      </c>
      <c r="K651" t="s">
        <v>1304</v>
      </c>
      <c r="L651" t="s">
        <v>1308</v>
      </c>
      <c r="M651" t="s">
        <v>1327</v>
      </c>
      <c r="N651">
        <v>3</v>
      </c>
      <c r="O651">
        <v>0</v>
      </c>
      <c r="P651">
        <v>5301.51</v>
      </c>
      <c r="Q651">
        <v>1049.78</v>
      </c>
      <c r="R651" t="s">
        <v>1330</v>
      </c>
      <c r="S651" t="b">
        <f t="shared" si="40"/>
        <v>0</v>
      </c>
      <c r="T651" t="b">
        <f t="shared" si="41"/>
        <v>0</v>
      </c>
      <c r="U651" t="b">
        <f t="shared" si="42"/>
        <v>0</v>
      </c>
    </row>
    <row r="652" spans="1:21" x14ac:dyDescent="0.3">
      <c r="A652">
        <v>651</v>
      </c>
      <c r="B652" t="s">
        <v>667</v>
      </c>
      <c r="C652" s="2">
        <v>45853</v>
      </c>
      <c r="D652" s="2" t="str">
        <f t="shared" si="43"/>
        <v>Jul-2025</v>
      </c>
      <c r="E652" s="2">
        <v>45854</v>
      </c>
      <c r="F652" t="s">
        <v>1017</v>
      </c>
      <c r="G652" t="s">
        <v>1025</v>
      </c>
      <c r="H652" t="s">
        <v>1275</v>
      </c>
      <c r="I652" t="s">
        <v>1289</v>
      </c>
      <c r="J652" t="s">
        <v>1294</v>
      </c>
      <c r="K652" t="s">
        <v>1305</v>
      </c>
      <c r="L652" t="s">
        <v>1308</v>
      </c>
      <c r="M652" t="s">
        <v>1326</v>
      </c>
      <c r="N652">
        <v>5</v>
      </c>
      <c r="O652">
        <v>0.1</v>
      </c>
      <c r="P652">
        <v>32142.12</v>
      </c>
      <c r="Q652">
        <v>5297.9</v>
      </c>
      <c r="R652" t="s">
        <v>1333</v>
      </c>
      <c r="S652" t="b">
        <f t="shared" si="40"/>
        <v>0</v>
      </c>
      <c r="T652" t="b">
        <f t="shared" si="41"/>
        <v>0</v>
      </c>
      <c r="U652" t="b">
        <f t="shared" si="42"/>
        <v>0</v>
      </c>
    </row>
    <row r="653" spans="1:21" x14ac:dyDescent="0.3">
      <c r="A653">
        <v>652</v>
      </c>
      <c r="B653" t="s">
        <v>668</v>
      </c>
      <c r="C653" s="2">
        <v>45735</v>
      </c>
      <c r="D653" s="2" t="str">
        <f t="shared" si="43"/>
        <v>Mar-2025</v>
      </c>
      <c r="E653" s="2">
        <v>45739</v>
      </c>
      <c r="F653" t="s">
        <v>1017</v>
      </c>
      <c r="G653" t="s">
        <v>1108</v>
      </c>
      <c r="H653" t="s">
        <v>1282</v>
      </c>
      <c r="I653" t="s">
        <v>1287</v>
      </c>
      <c r="J653" t="s">
        <v>1293</v>
      </c>
      <c r="K653" t="s">
        <v>1304</v>
      </c>
      <c r="L653" t="s">
        <v>1306</v>
      </c>
      <c r="M653" t="s">
        <v>1324</v>
      </c>
      <c r="N653">
        <v>3</v>
      </c>
      <c r="O653">
        <v>0</v>
      </c>
      <c r="P653">
        <v>279.26</v>
      </c>
      <c r="Q653">
        <v>90.32</v>
      </c>
      <c r="R653" t="s">
        <v>1332</v>
      </c>
      <c r="S653" t="b">
        <f t="shared" si="40"/>
        <v>0</v>
      </c>
      <c r="T653" t="b">
        <f t="shared" si="41"/>
        <v>0</v>
      </c>
      <c r="U653" t="b">
        <f t="shared" si="42"/>
        <v>0</v>
      </c>
    </row>
    <row r="654" spans="1:21" x14ac:dyDescent="0.3">
      <c r="A654">
        <v>653</v>
      </c>
      <c r="B654" t="s">
        <v>669</v>
      </c>
      <c r="C654" s="2">
        <v>45805</v>
      </c>
      <c r="D654" s="2" t="str">
        <f t="shared" si="43"/>
        <v>May-2025</v>
      </c>
      <c r="E654" s="2">
        <v>45807</v>
      </c>
      <c r="F654" t="s">
        <v>1017</v>
      </c>
      <c r="G654" t="s">
        <v>1147</v>
      </c>
      <c r="H654" t="s">
        <v>1276</v>
      </c>
      <c r="I654" t="s">
        <v>1287</v>
      </c>
      <c r="J654" t="s">
        <v>1295</v>
      </c>
      <c r="K654" t="s">
        <v>1305</v>
      </c>
      <c r="L654" t="s">
        <v>1306</v>
      </c>
      <c r="M654" t="s">
        <v>1310</v>
      </c>
      <c r="N654">
        <v>2</v>
      </c>
      <c r="O654">
        <v>0.2</v>
      </c>
      <c r="P654">
        <v>1030.69</v>
      </c>
      <c r="Q654">
        <v>164.87</v>
      </c>
      <c r="R654" t="s">
        <v>1333</v>
      </c>
      <c r="S654" t="b">
        <f t="shared" si="40"/>
        <v>0</v>
      </c>
      <c r="T654" t="b">
        <f t="shared" si="41"/>
        <v>0</v>
      </c>
      <c r="U654" t="b">
        <f t="shared" si="42"/>
        <v>0</v>
      </c>
    </row>
    <row r="655" spans="1:21" x14ac:dyDescent="0.3">
      <c r="A655">
        <v>654</v>
      </c>
      <c r="B655" t="s">
        <v>670</v>
      </c>
      <c r="C655" s="2">
        <v>45678</v>
      </c>
      <c r="D655" s="2" t="str">
        <f t="shared" si="43"/>
        <v>Jan-2025</v>
      </c>
      <c r="E655" s="2">
        <v>45681</v>
      </c>
      <c r="F655" t="s">
        <v>1017</v>
      </c>
      <c r="G655" t="s">
        <v>1094</v>
      </c>
      <c r="H655" t="s">
        <v>1274</v>
      </c>
      <c r="I655" t="s">
        <v>1289</v>
      </c>
      <c r="J655" t="s">
        <v>1293</v>
      </c>
      <c r="K655" t="s">
        <v>1304</v>
      </c>
      <c r="L655" t="s">
        <v>1307</v>
      </c>
      <c r="M655" t="s">
        <v>1314</v>
      </c>
      <c r="N655">
        <v>2</v>
      </c>
      <c r="O655">
        <v>0.15</v>
      </c>
      <c r="P655">
        <v>1493.36</v>
      </c>
      <c r="Q655">
        <v>71.099999999999994</v>
      </c>
      <c r="R655" t="s">
        <v>1331</v>
      </c>
      <c r="S655" t="b">
        <f t="shared" si="40"/>
        <v>0</v>
      </c>
      <c r="T655" t="b">
        <f t="shared" si="41"/>
        <v>0</v>
      </c>
      <c r="U655" t="b">
        <f t="shared" si="42"/>
        <v>0</v>
      </c>
    </row>
    <row r="656" spans="1:21" x14ac:dyDescent="0.3">
      <c r="A656">
        <v>655</v>
      </c>
      <c r="B656" t="s">
        <v>671</v>
      </c>
      <c r="C656" s="2">
        <v>45752</v>
      </c>
      <c r="D656" s="2" t="str">
        <f t="shared" si="43"/>
        <v>Apr-2025</v>
      </c>
      <c r="E656" s="2">
        <v>45755</v>
      </c>
      <c r="F656" t="s">
        <v>1017</v>
      </c>
      <c r="G656" t="s">
        <v>1161</v>
      </c>
      <c r="H656" t="s">
        <v>1285</v>
      </c>
      <c r="I656" t="s">
        <v>1288</v>
      </c>
      <c r="J656" t="s">
        <v>1291</v>
      </c>
      <c r="K656" t="s">
        <v>1302</v>
      </c>
      <c r="L656" t="s">
        <v>1309</v>
      </c>
      <c r="M656" t="s">
        <v>1329</v>
      </c>
      <c r="N656">
        <v>3</v>
      </c>
      <c r="O656">
        <v>0.2</v>
      </c>
      <c r="P656">
        <v>4544.66</v>
      </c>
      <c r="Q656">
        <v>202.42</v>
      </c>
      <c r="R656" t="s">
        <v>1332</v>
      </c>
      <c r="S656" t="b">
        <f t="shared" si="40"/>
        <v>0</v>
      </c>
      <c r="T656" t="b">
        <f t="shared" si="41"/>
        <v>0</v>
      </c>
      <c r="U656" t="b">
        <f t="shared" si="42"/>
        <v>0</v>
      </c>
    </row>
    <row r="657" spans="1:21" x14ac:dyDescent="0.3">
      <c r="A657">
        <v>656</v>
      </c>
      <c r="B657" t="s">
        <v>672</v>
      </c>
      <c r="C657" s="2">
        <v>45936</v>
      </c>
      <c r="D657" s="2" t="str">
        <f t="shared" si="43"/>
        <v>Oct-2025</v>
      </c>
      <c r="E657" s="2">
        <v>45940</v>
      </c>
      <c r="F657" t="s">
        <v>1017</v>
      </c>
      <c r="G657" t="s">
        <v>1238</v>
      </c>
      <c r="H657" t="s">
        <v>1279</v>
      </c>
      <c r="I657" t="s">
        <v>1287</v>
      </c>
      <c r="J657" t="s">
        <v>1298</v>
      </c>
      <c r="K657" t="s">
        <v>1303</v>
      </c>
      <c r="L657" t="s">
        <v>1306</v>
      </c>
      <c r="M657" t="s">
        <v>1324</v>
      </c>
      <c r="N657">
        <v>2</v>
      </c>
      <c r="O657">
        <v>0.1</v>
      </c>
      <c r="P657">
        <v>158.07</v>
      </c>
      <c r="Q657">
        <v>12.32</v>
      </c>
      <c r="R657" t="s">
        <v>1331</v>
      </c>
      <c r="S657" t="b">
        <f t="shared" si="40"/>
        <v>0</v>
      </c>
      <c r="T657" t="b">
        <f t="shared" si="41"/>
        <v>0</v>
      </c>
      <c r="U657" t="b">
        <f t="shared" si="42"/>
        <v>0</v>
      </c>
    </row>
    <row r="658" spans="1:21" x14ac:dyDescent="0.3">
      <c r="A658">
        <v>657</v>
      </c>
      <c r="B658" t="s">
        <v>673</v>
      </c>
      <c r="C658" s="2">
        <v>45939</v>
      </c>
      <c r="D658" s="2" t="str">
        <f t="shared" si="43"/>
        <v>Oct-2025</v>
      </c>
      <c r="E658" s="2">
        <v>45941</v>
      </c>
      <c r="F658" t="s">
        <v>1017</v>
      </c>
      <c r="G658" t="s">
        <v>1113</v>
      </c>
      <c r="H658" t="s">
        <v>1271</v>
      </c>
      <c r="I658" t="s">
        <v>1287</v>
      </c>
      <c r="J658" t="s">
        <v>1295</v>
      </c>
      <c r="K658" t="s">
        <v>1305</v>
      </c>
      <c r="L658" t="s">
        <v>1307</v>
      </c>
      <c r="M658" t="s">
        <v>1314</v>
      </c>
      <c r="N658">
        <v>1</v>
      </c>
      <c r="O658">
        <v>0</v>
      </c>
      <c r="P658">
        <v>915.71</v>
      </c>
      <c r="Q658">
        <v>208.51</v>
      </c>
      <c r="R658" t="s">
        <v>1330</v>
      </c>
      <c r="S658" t="b">
        <f t="shared" si="40"/>
        <v>0</v>
      </c>
      <c r="T658" t="b">
        <f t="shared" si="41"/>
        <v>0</v>
      </c>
      <c r="U658" t="b">
        <f t="shared" si="42"/>
        <v>0</v>
      </c>
    </row>
    <row r="659" spans="1:21" x14ac:dyDescent="0.3">
      <c r="A659">
        <v>658</v>
      </c>
      <c r="B659" t="s">
        <v>674</v>
      </c>
      <c r="C659" s="2">
        <v>45949</v>
      </c>
      <c r="D659" s="2" t="str">
        <f t="shared" si="43"/>
        <v>Oct-2025</v>
      </c>
      <c r="E659" s="2">
        <v>45952</v>
      </c>
      <c r="F659" t="s">
        <v>1017</v>
      </c>
      <c r="G659" t="s">
        <v>1225</v>
      </c>
      <c r="H659" t="s">
        <v>1280</v>
      </c>
      <c r="I659" t="s">
        <v>1287</v>
      </c>
      <c r="J659" t="s">
        <v>1299</v>
      </c>
      <c r="K659" t="s">
        <v>1304</v>
      </c>
      <c r="L659" t="s">
        <v>1307</v>
      </c>
      <c r="M659" t="s">
        <v>1322</v>
      </c>
      <c r="N659">
        <v>3</v>
      </c>
      <c r="O659">
        <v>0.15</v>
      </c>
      <c r="P659">
        <v>1862.77</v>
      </c>
      <c r="Q659">
        <v>256.60000000000002</v>
      </c>
      <c r="R659" t="s">
        <v>1333</v>
      </c>
      <c r="S659" t="b">
        <f t="shared" si="40"/>
        <v>0</v>
      </c>
      <c r="T659" t="b">
        <f t="shared" si="41"/>
        <v>0</v>
      </c>
      <c r="U659" t="b">
        <f t="shared" si="42"/>
        <v>0</v>
      </c>
    </row>
    <row r="660" spans="1:21" x14ac:dyDescent="0.3">
      <c r="A660">
        <v>659</v>
      </c>
      <c r="B660" t="s">
        <v>675</v>
      </c>
      <c r="C660" s="2">
        <v>45782</v>
      </c>
      <c r="D660" s="2" t="str">
        <f t="shared" si="43"/>
        <v>May-2025</v>
      </c>
      <c r="E660" s="2">
        <v>45786</v>
      </c>
      <c r="F660" t="s">
        <v>1018</v>
      </c>
      <c r="G660" t="s">
        <v>1041</v>
      </c>
      <c r="H660" t="s">
        <v>1285</v>
      </c>
      <c r="I660" t="s">
        <v>1287</v>
      </c>
      <c r="J660" t="s">
        <v>1300</v>
      </c>
      <c r="K660" t="s">
        <v>1305</v>
      </c>
      <c r="L660" t="s">
        <v>1307</v>
      </c>
      <c r="M660" t="s">
        <v>1322</v>
      </c>
      <c r="N660">
        <v>4</v>
      </c>
      <c r="O660">
        <v>0</v>
      </c>
      <c r="P660">
        <v>2779.44</v>
      </c>
      <c r="Q660">
        <v>718.92</v>
      </c>
      <c r="R660" t="s">
        <v>1331</v>
      </c>
      <c r="S660" t="b">
        <f t="shared" si="40"/>
        <v>0</v>
      </c>
      <c r="T660" t="b">
        <f t="shared" si="41"/>
        <v>0</v>
      </c>
      <c r="U660" t="b">
        <f t="shared" si="42"/>
        <v>0</v>
      </c>
    </row>
    <row r="661" spans="1:21" x14ac:dyDescent="0.3">
      <c r="A661">
        <v>660</v>
      </c>
      <c r="B661" t="s">
        <v>676</v>
      </c>
      <c r="C661" s="2">
        <v>46003</v>
      </c>
      <c r="D661" s="2" t="str">
        <f t="shared" si="43"/>
        <v>Dec-2025</v>
      </c>
      <c r="E661" s="2">
        <v>46008</v>
      </c>
      <c r="F661" t="s">
        <v>1018</v>
      </c>
      <c r="G661" t="s">
        <v>1117</v>
      </c>
      <c r="H661" t="s">
        <v>1275</v>
      </c>
      <c r="I661" t="s">
        <v>1287</v>
      </c>
      <c r="J661" t="s">
        <v>1296</v>
      </c>
      <c r="K661" t="s">
        <v>1304</v>
      </c>
      <c r="L661" t="s">
        <v>1307</v>
      </c>
      <c r="M661" t="s">
        <v>1311</v>
      </c>
      <c r="N661">
        <v>2</v>
      </c>
      <c r="O661">
        <v>0</v>
      </c>
      <c r="P661">
        <v>609.04999999999995</v>
      </c>
      <c r="Q661">
        <v>223.29</v>
      </c>
      <c r="R661" t="s">
        <v>1331</v>
      </c>
      <c r="S661" t="b">
        <f t="shared" si="40"/>
        <v>0</v>
      </c>
      <c r="T661" t="b">
        <f t="shared" si="41"/>
        <v>0</v>
      </c>
      <c r="U661" t="b">
        <f t="shared" si="42"/>
        <v>0</v>
      </c>
    </row>
    <row r="662" spans="1:21" x14ac:dyDescent="0.3">
      <c r="A662">
        <v>661</v>
      </c>
      <c r="B662" t="s">
        <v>677</v>
      </c>
      <c r="C662" s="2">
        <v>45769</v>
      </c>
      <c r="D662" s="2" t="str">
        <f t="shared" si="43"/>
        <v>Apr-2025</v>
      </c>
      <c r="E662" s="2">
        <v>45771</v>
      </c>
      <c r="F662" t="s">
        <v>1019</v>
      </c>
      <c r="G662" t="s">
        <v>1225</v>
      </c>
      <c r="H662" t="s">
        <v>1280</v>
      </c>
      <c r="I662" t="s">
        <v>1287</v>
      </c>
      <c r="J662" t="s">
        <v>1291</v>
      </c>
      <c r="K662" t="s">
        <v>1302</v>
      </c>
      <c r="L662" t="s">
        <v>1308</v>
      </c>
      <c r="M662" t="s">
        <v>1318</v>
      </c>
      <c r="N662">
        <v>3</v>
      </c>
      <c r="O662">
        <v>0.1</v>
      </c>
      <c r="P662">
        <v>15573.84</v>
      </c>
      <c r="Q662">
        <v>3104.88</v>
      </c>
      <c r="R662" t="s">
        <v>1334</v>
      </c>
      <c r="S662" t="b">
        <f t="shared" si="40"/>
        <v>0</v>
      </c>
      <c r="T662" t="b">
        <f t="shared" si="41"/>
        <v>0</v>
      </c>
      <c r="U662" t="b">
        <f t="shared" si="42"/>
        <v>0</v>
      </c>
    </row>
    <row r="663" spans="1:21" x14ac:dyDescent="0.3">
      <c r="A663">
        <v>662</v>
      </c>
      <c r="B663" t="s">
        <v>678</v>
      </c>
      <c r="C663" s="2">
        <v>45854</v>
      </c>
      <c r="D663" s="2" t="str">
        <f t="shared" si="43"/>
        <v>Jul-2025</v>
      </c>
      <c r="E663" s="2">
        <v>45858</v>
      </c>
      <c r="F663" t="s">
        <v>1017</v>
      </c>
      <c r="G663" t="s">
        <v>1219</v>
      </c>
      <c r="H663" t="s">
        <v>1270</v>
      </c>
      <c r="I663" t="s">
        <v>1289</v>
      </c>
      <c r="J663" t="s">
        <v>1294</v>
      </c>
      <c r="K663" t="s">
        <v>1305</v>
      </c>
      <c r="L663" t="s">
        <v>1309</v>
      </c>
      <c r="M663" t="s">
        <v>1325</v>
      </c>
      <c r="N663">
        <v>2</v>
      </c>
      <c r="O663">
        <v>0.1</v>
      </c>
      <c r="P663">
        <v>2380.63</v>
      </c>
      <c r="Q663">
        <v>736.86</v>
      </c>
      <c r="R663" t="s">
        <v>1333</v>
      </c>
      <c r="S663" t="b">
        <f t="shared" si="40"/>
        <v>0</v>
      </c>
      <c r="T663" t="b">
        <f t="shared" si="41"/>
        <v>0</v>
      </c>
      <c r="U663" t="b">
        <f t="shared" si="42"/>
        <v>0</v>
      </c>
    </row>
    <row r="664" spans="1:21" x14ac:dyDescent="0.3">
      <c r="A664">
        <v>663</v>
      </c>
      <c r="B664" t="s">
        <v>679</v>
      </c>
      <c r="C664" s="2">
        <v>45848</v>
      </c>
      <c r="D664" s="2" t="str">
        <f t="shared" si="43"/>
        <v>Jul-2025</v>
      </c>
      <c r="E664" s="2">
        <v>45851</v>
      </c>
      <c r="F664" t="s">
        <v>1017</v>
      </c>
      <c r="G664" t="s">
        <v>1062</v>
      </c>
      <c r="H664" t="s">
        <v>1269</v>
      </c>
      <c r="I664" t="s">
        <v>1289</v>
      </c>
      <c r="J664" t="s">
        <v>1301</v>
      </c>
      <c r="K664" t="s">
        <v>1303</v>
      </c>
      <c r="L664" t="s">
        <v>1306</v>
      </c>
      <c r="M664" t="s">
        <v>1328</v>
      </c>
      <c r="N664">
        <v>2</v>
      </c>
      <c r="O664">
        <v>0.15</v>
      </c>
      <c r="P664">
        <v>212.59</v>
      </c>
      <c r="Q664">
        <v>48.39</v>
      </c>
      <c r="R664" t="s">
        <v>1331</v>
      </c>
      <c r="S664" t="b">
        <f t="shared" si="40"/>
        <v>0</v>
      </c>
      <c r="T664" t="b">
        <f t="shared" si="41"/>
        <v>0</v>
      </c>
      <c r="U664" t="b">
        <f t="shared" si="42"/>
        <v>0</v>
      </c>
    </row>
    <row r="665" spans="1:21" x14ac:dyDescent="0.3">
      <c r="A665">
        <v>664</v>
      </c>
      <c r="B665" t="s">
        <v>680</v>
      </c>
      <c r="C665" s="2">
        <v>45727</v>
      </c>
      <c r="D665" s="2" t="str">
        <f t="shared" si="43"/>
        <v>Mar-2025</v>
      </c>
      <c r="E665" s="2">
        <v>45730</v>
      </c>
      <c r="F665" t="s">
        <v>1017</v>
      </c>
      <c r="G665" t="s">
        <v>1134</v>
      </c>
      <c r="H665" t="s">
        <v>1275</v>
      </c>
      <c r="I665" t="s">
        <v>1287</v>
      </c>
      <c r="J665" t="s">
        <v>1297</v>
      </c>
      <c r="K665" t="s">
        <v>1304</v>
      </c>
      <c r="L665" t="s">
        <v>1307</v>
      </c>
      <c r="M665" t="s">
        <v>1322</v>
      </c>
      <c r="N665">
        <v>2</v>
      </c>
      <c r="O665">
        <v>0.2</v>
      </c>
      <c r="P665">
        <v>1138.3</v>
      </c>
      <c r="Q665">
        <v>111.59</v>
      </c>
      <c r="R665" t="s">
        <v>1331</v>
      </c>
      <c r="S665" t="b">
        <f t="shared" si="40"/>
        <v>0</v>
      </c>
      <c r="T665" t="b">
        <f t="shared" si="41"/>
        <v>0</v>
      </c>
      <c r="U665" t="b">
        <f t="shared" si="42"/>
        <v>0</v>
      </c>
    </row>
    <row r="666" spans="1:21" x14ac:dyDescent="0.3">
      <c r="A666">
        <v>665</v>
      </c>
      <c r="B666" t="s">
        <v>681</v>
      </c>
      <c r="C666" s="2">
        <v>45685</v>
      </c>
      <c r="D666" s="2" t="str">
        <f t="shared" si="43"/>
        <v>Jan-2025</v>
      </c>
      <c r="E666" s="2">
        <v>45687</v>
      </c>
      <c r="F666" t="s">
        <v>1018</v>
      </c>
      <c r="G666" t="s">
        <v>1157</v>
      </c>
      <c r="H666" t="s">
        <v>1286</v>
      </c>
      <c r="I666" t="s">
        <v>1289</v>
      </c>
      <c r="J666" t="s">
        <v>1296</v>
      </c>
      <c r="K666" t="s">
        <v>1304</v>
      </c>
      <c r="L666" t="s">
        <v>1306</v>
      </c>
      <c r="M666" t="s">
        <v>1321</v>
      </c>
      <c r="N666">
        <v>5</v>
      </c>
      <c r="O666">
        <v>0.1</v>
      </c>
      <c r="P666">
        <v>1964.03</v>
      </c>
      <c r="Q666">
        <v>460.89</v>
      </c>
      <c r="R666" t="s">
        <v>1331</v>
      </c>
      <c r="S666" t="b">
        <f t="shared" si="40"/>
        <v>0</v>
      </c>
      <c r="T666" t="b">
        <f t="shared" si="41"/>
        <v>0</v>
      </c>
      <c r="U666" t="b">
        <f t="shared" si="42"/>
        <v>0</v>
      </c>
    </row>
    <row r="667" spans="1:21" x14ac:dyDescent="0.3">
      <c r="A667">
        <v>666</v>
      </c>
      <c r="B667" t="s">
        <v>682</v>
      </c>
      <c r="C667" s="2">
        <v>45750</v>
      </c>
      <c r="D667" s="2" t="str">
        <f t="shared" si="43"/>
        <v>Apr-2025</v>
      </c>
      <c r="E667" s="2">
        <v>45755</v>
      </c>
      <c r="F667" t="s">
        <v>1017</v>
      </c>
      <c r="G667" t="s">
        <v>1141</v>
      </c>
      <c r="H667" t="s">
        <v>1270</v>
      </c>
      <c r="I667" t="s">
        <v>1287</v>
      </c>
      <c r="J667" t="s">
        <v>1292</v>
      </c>
      <c r="K667" t="s">
        <v>1303</v>
      </c>
      <c r="L667" t="s">
        <v>1309</v>
      </c>
      <c r="M667" t="s">
        <v>1317</v>
      </c>
      <c r="N667">
        <v>1</v>
      </c>
      <c r="O667">
        <v>0</v>
      </c>
      <c r="P667">
        <v>786.25</v>
      </c>
      <c r="Q667">
        <v>132.51</v>
      </c>
      <c r="R667" t="s">
        <v>1331</v>
      </c>
      <c r="S667" t="b">
        <f t="shared" si="40"/>
        <v>0</v>
      </c>
      <c r="T667" t="b">
        <f t="shared" si="41"/>
        <v>0</v>
      </c>
      <c r="U667" t="b">
        <f t="shared" si="42"/>
        <v>0</v>
      </c>
    </row>
    <row r="668" spans="1:21" x14ac:dyDescent="0.3">
      <c r="A668">
        <v>667</v>
      </c>
      <c r="B668" t="s">
        <v>683</v>
      </c>
      <c r="C668" s="2">
        <v>45873</v>
      </c>
      <c r="D668" s="2" t="str">
        <f t="shared" si="43"/>
        <v>Aug-2025</v>
      </c>
      <c r="E668" s="2">
        <v>45878</v>
      </c>
      <c r="F668" t="s">
        <v>1017</v>
      </c>
      <c r="G668" t="s">
        <v>1023</v>
      </c>
      <c r="H668" t="s">
        <v>1267</v>
      </c>
      <c r="I668" t="s">
        <v>1289</v>
      </c>
      <c r="J668" t="s">
        <v>1295</v>
      </c>
      <c r="K668" t="s">
        <v>1305</v>
      </c>
      <c r="L668" t="s">
        <v>1308</v>
      </c>
      <c r="M668" t="s">
        <v>1326</v>
      </c>
      <c r="N668">
        <v>2</v>
      </c>
      <c r="O668">
        <v>0.05</v>
      </c>
      <c r="P668">
        <v>13018.28</v>
      </c>
      <c r="Q668">
        <v>2723.59</v>
      </c>
      <c r="R668" t="s">
        <v>1331</v>
      </c>
      <c r="S668" t="b">
        <f t="shared" si="40"/>
        <v>0</v>
      </c>
      <c r="T668" t="b">
        <f t="shared" si="41"/>
        <v>0</v>
      </c>
      <c r="U668" t="b">
        <f t="shared" si="42"/>
        <v>0</v>
      </c>
    </row>
    <row r="669" spans="1:21" x14ac:dyDescent="0.3">
      <c r="A669">
        <v>668</v>
      </c>
      <c r="B669" t="s">
        <v>684</v>
      </c>
      <c r="C669" s="2">
        <v>45691</v>
      </c>
      <c r="D669" s="2" t="str">
        <f t="shared" si="43"/>
        <v>Feb-2025</v>
      </c>
      <c r="E669" s="2">
        <v>45693</v>
      </c>
      <c r="F669" t="s">
        <v>1019</v>
      </c>
      <c r="G669" t="s">
        <v>1072</v>
      </c>
      <c r="H669" t="s">
        <v>1285</v>
      </c>
      <c r="I669" t="s">
        <v>1287</v>
      </c>
      <c r="J669" t="s">
        <v>1299</v>
      </c>
      <c r="K669" t="s">
        <v>1304</v>
      </c>
      <c r="L669" t="s">
        <v>1306</v>
      </c>
      <c r="M669" t="s">
        <v>1328</v>
      </c>
      <c r="N669">
        <v>1</v>
      </c>
      <c r="O669">
        <v>0</v>
      </c>
      <c r="P669">
        <v>123.73</v>
      </c>
      <c r="Q669">
        <v>25.79</v>
      </c>
      <c r="R669" t="s">
        <v>1333</v>
      </c>
      <c r="S669" t="b">
        <f t="shared" si="40"/>
        <v>0</v>
      </c>
      <c r="T669" t="b">
        <f t="shared" si="41"/>
        <v>0</v>
      </c>
      <c r="U669" t="b">
        <f t="shared" si="42"/>
        <v>0</v>
      </c>
    </row>
    <row r="670" spans="1:21" x14ac:dyDescent="0.3">
      <c r="A670">
        <v>669</v>
      </c>
      <c r="B670" t="s">
        <v>685</v>
      </c>
      <c r="C670" s="2">
        <v>45691</v>
      </c>
      <c r="D670" s="2" t="str">
        <f t="shared" si="43"/>
        <v>Feb-2025</v>
      </c>
      <c r="E670" s="2">
        <v>45696</v>
      </c>
      <c r="F670" t="s">
        <v>1017</v>
      </c>
      <c r="G670" t="s">
        <v>1107</v>
      </c>
      <c r="H670" t="s">
        <v>1271</v>
      </c>
      <c r="I670" t="s">
        <v>1288</v>
      </c>
      <c r="J670" t="s">
        <v>1291</v>
      </c>
      <c r="K670" t="s">
        <v>1302</v>
      </c>
      <c r="L670" t="s">
        <v>1308</v>
      </c>
      <c r="M670" t="s">
        <v>1326</v>
      </c>
      <c r="N670">
        <v>3</v>
      </c>
      <c r="O670">
        <v>0.2</v>
      </c>
      <c r="P670">
        <v>17465.8</v>
      </c>
      <c r="Q670">
        <v>2978.31</v>
      </c>
      <c r="R670" t="s">
        <v>1333</v>
      </c>
      <c r="S670" t="b">
        <f t="shared" si="40"/>
        <v>0</v>
      </c>
      <c r="T670" t="b">
        <f t="shared" si="41"/>
        <v>0</v>
      </c>
      <c r="U670" t="b">
        <f t="shared" si="42"/>
        <v>0</v>
      </c>
    </row>
    <row r="671" spans="1:21" x14ac:dyDescent="0.3">
      <c r="A671">
        <v>670</v>
      </c>
      <c r="B671" t="s">
        <v>686</v>
      </c>
      <c r="C671" s="2">
        <v>45911</v>
      </c>
      <c r="D671" s="2" t="str">
        <f t="shared" si="43"/>
        <v>Sep-2025</v>
      </c>
      <c r="E671" s="2">
        <v>45916</v>
      </c>
      <c r="F671" t="s">
        <v>1018</v>
      </c>
      <c r="G671" t="s">
        <v>1165</v>
      </c>
      <c r="H671" t="s">
        <v>1267</v>
      </c>
      <c r="I671" t="s">
        <v>1288</v>
      </c>
      <c r="J671" t="s">
        <v>1292</v>
      </c>
      <c r="K671" t="s">
        <v>1303</v>
      </c>
      <c r="L671" t="s">
        <v>1309</v>
      </c>
      <c r="M671" t="s">
        <v>1320</v>
      </c>
      <c r="N671">
        <v>3</v>
      </c>
      <c r="O671">
        <v>0.1</v>
      </c>
      <c r="P671">
        <v>3302.93</v>
      </c>
      <c r="Q671">
        <v>502.52</v>
      </c>
      <c r="R671" t="s">
        <v>1332</v>
      </c>
      <c r="S671" t="b">
        <f t="shared" si="40"/>
        <v>0</v>
      </c>
      <c r="T671" t="b">
        <f t="shared" si="41"/>
        <v>0</v>
      </c>
      <c r="U671" t="b">
        <f t="shared" si="42"/>
        <v>0</v>
      </c>
    </row>
    <row r="672" spans="1:21" x14ac:dyDescent="0.3">
      <c r="A672">
        <v>671</v>
      </c>
      <c r="B672" t="s">
        <v>687</v>
      </c>
      <c r="C672" s="2">
        <v>45950</v>
      </c>
      <c r="D672" s="2" t="str">
        <f t="shared" si="43"/>
        <v>Oct-2025</v>
      </c>
      <c r="E672" s="2">
        <v>45955</v>
      </c>
      <c r="F672" t="s">
        <v>1018</v>
      </c>
      <c r="G672" t="s">
        <v>1148</v>
      </c>
      <c r="H672" t="s">
        <v>1269</v>
      </c>
      <c r="I672" t="s">
        <v>1287</v>
      </c>
      <c r="J672" t="s">
        <v>1301</v>
      </c>
      <c r="K672" t="s">
        <v>1303</v>
      </c>
      <c r="L672" t="s">
        <v>1309</v>
      </c>
      <c r="M672" t="s">
        <v>1320</v>
      </c>
      <c r="N672">
        <v>3</v>
      </c>
      <c r="O672">
        <v>0.05</v>
      </c>
      <c r="P672">
        <v>3260.16</v>
      </c>
      <c r="Q672">
        <v>748.91</v>
      </c>
      <c r="R672" t="s">
        <v>1331</v>
      </c>
      <c r="S672" t="b">
        <f t="shared" si="40"/>
        <v>0</v>
      </c>
      <c r="T672" t="b">
        <f t="shared" si="41"/>
        <v>0</v>
      </c>
      <c r="U672" t="b">
        <f t="shared" si="42"/>
        <v>0</v>
      </c>
    </row>
    <row r="673" spans="1:21" x14ac:dyDescent="0.3">
      <c r="A673">
        <v>672</v>
      </c>
      <c r="B673" t="s">
        <v>688</v>
      </c>
      <c r="C673" s="2">
        <v>45713</v>
      </c>
      <c r="D673" s="2" t="str">
        <f t="shared" si="43"/>
        <v>Feb-2025</v>
      </c>
      <c r="E673" s="2">
        <v>45716</v>
      </c>
      <c r="F673" t="s">
        <v>1018</v>
      </c>
      <c r="G673" t="s">
        <v>1057</v>
      </c>
      <c r="H673" t="s">
        <v>1270</v>
      </c>
      <c r="I673" t="s">
        <v>1288</v>
      </c>
      <c r="J673" t="s">
        <v>1300</v>
      </c>
      <c r="K673" t="s">
        <v>1305</v>
      </c>
      <c r="L673" t="s">
        <v>1307</v>
      </c>
      <c r="M673" t="s">
        <v>1316</v>
      </c>
      <c r="N673">
        <v>1</v>
      </c>
      <c r="O673">
        <v>0.05</v>
      </c>
      <c r="P673">
        <v>486.3</v>
      </c>
      <c r="Q673">
        <v>174.73</v>
      </c>
      <c r="R673" t="s">
        <v>1331</v>
      </c>
      <c r="S673" t="b">
        <f t="shared" si="40"/>
        <v>0</v>
      </c>
      <c r="T673" t="b">
        <f t="shared" si="41"/>
        <v>0</v>
      </c>
      <c r="U673" t="b">
        <f t="shared" si="42"/>
        <v>0</v>
      </c>
    </row>
    <row r="674" spans="1:21" x14ac:dyDescent="0.3">
      <c r="A674">
        <v>673</v>
      </c>
      <c r="B674" t="s">
        <v>689</v>
      </c>
      <c r="C674" s="2">
        <v>45686</v>
      </c>
      <c r="D674" s="2" t="str">
        <f t="shared" si="43"/>
        <v>Jan-2025</v>
      </c>
      <c r="E674" s="2">
        <v>45688</v>
      </c>
      <c r="F674" t="s">
        <v>1017</v>
      </c>
      <c r="G674" t="s">
        <v>1127</v>
      </c>
      <c r="H674" t="s">
        <v>1275</v>
      </c>
      <c r="I674" t="s">
        <v>1287</v>
      </c>
      <c r="J674" t="s">
        <v>1301</v>
      </c>
      <c r="K674" t="s">
        <v>1303</v>
      </c>
      <c r="L674" t="s">
        <v>1308</v>
      </c>
      <c r="M674" t="s">
        <v>1312</v>
      </c>
      <c r="N674">
        <v>3</v>
      </c>
      <c r="O674">
        <v>0.1</v>
      </c>
      <c r="P674">
        <v>3642.58</v>
      </c>
      <c r="Q674">
        <v>720.43</v>
      </c>
      <c r="R674" t="s">
        <v>1331</v>
      </c>
      <c r="S674" t="b">
        <f t="shared" si="40"/>
        <v>0</v>
      </c>
      <c r="T674" t="b">
        <f t="shared" si="41"/>
        <v>0</v>
      </c>
      <c r="U674" t="b">
        <f t="shared" si="42"/>
        <v>0</v>
      </c>
    </row>
    <row r="675" spans="1:21" x14ac:dyDescent="0.3">
      <c r="A675">
        <v>674</v>
      </c>
      <c r="B675" t="s">
        <v>690</v>
      </c>
      <c r="C675" s="2">
        <v>45771</v>
      </c>
      <c r="D675" s="2" t="str">
        <f t="shared" si="43"/>
        <v>Apr-2025</v>
      </c>
      <c r="E675" s="2">
        <v>45774</v>
      </c>
      <c r="F675" t="s">
        <v>1017</v>
      </c>
      <c r="G675" t="s">
        <v>1140</v>
      </c>
      <c r="H675" t="s">
        <v>1285</v>
      </c>
      <c r="I675" t="s">
        <v>1287</v>
      </c>
      <c r="J675" t="s">
        <v>1292</v>
      </c>
      <c r="K675" t="s">
        <v>1303</v>
      </c>
      <c r="L675" t="s">
        <v>1306</v>
      </c>
      <c r="M675" t="s">
        <v>1323</v>
      </c>
      <c r="N675">
        <v>4</v>
      </c>
      <c r="O675">
        <v>0.05</v>
      </c>
      <c r="P675">
        <v>707.76</v>
      </c>
      <c r="Q675">
        <v>197.82</v>
      </c>
      <c r="R675" t="s">
        <v>1330</v>
      </c>
      <c r="S675" t="b">
        <f t="shared" si="40"/>
        <v>0</v>
      </c>
      <c r="T675" t="b">
        <f t="shared" si="41"/>
        <v>0</v>
      </c>
      <c r="U675" t="b">
        <f t="shared" si="42"/>
        <v>0</v>
      </c>
    </row>
    <row r="676" spans="1:21" x14ac:dyDescent="0.3">
      <c r="A676">
        <v>675</v>
      </c>
      <c r="B676" t="s">
        <v>691</v>
      </c>
      <c r="C676" s="2">
        <v>45797</v>
      </c>
      <c r="D676" s="2" t="str">
        <f t="shared" si="43"/>
        <v>May-2025</v>
      </c>
      <c r="E676" s="2">
        <v>45799</v>
      </c>
      <c r="F676" t="s">
        <v>1017</v>
      </c>
      <c r="G676" t="s">
        <v>1254</v>
      </c>
      <c r="H676" t="s">
        <v>1280</v>
      </c>
      <c r="I676" t="s">
        <v>1288</v>
      </c>
      <c r="J676" t="s">
        <v>1300</v>
      </c>
      <c r="K676" t="s">
        <v>1305</v>
      </c>
      <c r="L676" t="s">
        <v>1308</v>
      </c>
      <c r="M676" t="s">
        <v>1312</v>
      </c>
      <c r="N676">
        <v>1</v>
      </c>
      <c r="O676">
        <v>0.15</v>
      </c>
      <c r="P676">
        <v>1117.1500000000001</v>
      </c>
      <c r="Q676">
        <v>144.35</v>
      </c>
      <c r="R676" t="s">
        <v>1331</v>
      </c>
      <c r="S676" t="b">
        <f t="shared" si="40"/>
        <v>0</v>
      </c>
      <c r="T676" t="b">
        <f t="shared" si="41"/>
        <v>0</v>
      </c>
      <c r="U676" t="b">
        <f t="shared" si="42"/>
        <v>0</v>
      </c>
    </row>
    <row r="677" spans="1:21" x14ac:dyDescent="0.3">
      <c r="A677">
        <v>676</v>
      </c>
      <c r="B677" t="s">
        <v>692</v>
      </c>
      <c r="C677" s="2">
        <v>45900</v>
      </c>
      <c r="D677" s="2" t="str">
        <f t="shared" si="43"/>
        <v>Aug-2025</v>
      </c>
      <c r="E677" s="2">
        <v>45903</v>
      </c>
      <c r="F677" t="s">
        <v>1018</v>
      </c>
      <c r="G677" t="s">
        <v>1202</v>
      </c>
      <c r="H677" t="s">
        <v>1269</v>
      </c>
      <c r="I677" t="s">
        <v>1288</v>
      </c>
      <c r="J677" t="s">
        <v>1291</v>
      </c>
      <c r="K677" t="s">
        <v>1302</v>
      </c>
      <c r="L677" t="s">
        <v>1308</v>
      </c>
      <c r="M677" t="s">
        <v>1327</v>
      </c>
      <c r="N677">
        <v>2</v>
      </c>
      <c r="O677">
        <v>0.15</v>
      </c>
      <c r="P677">
        <v>3137.3</v>
      </c>
      <c r="Q677">
        <v>335.44</v>
      </c>
      <c r="R677" t="s">
        <v>1334</v>
      </c>
      <c r="S677" t="b">
        <f t="shared" si="40"/>
        <v>0</v>
      </c>
      <c r="T677" t="b">
        <f t="shared" si="41"/>
        <v>0</v>
      </c>
      <c r="U677" t="b">
        <f t="shared" si="42"/>
        <v>0</v>
      </c>
    </row>
    <row r="678" spans="1:21" x14ac:dyDescent="0.3">
      <c r="A678">
        <v>677</v>
      </c>
      <c r="B678" t="s">
        <v>693</v>
      </c>
      <c r="C678" s="2">
        <v>45715</v>
      </c>
      <c r="D678" s="2" t="str">
        <f t="shared" si="43"/>
        <v>Feb-2025</v>
      </c>
      <c r="E678" s="2">
        <v>45719</v>
      </c>
      <c r="F678" t="s">
        <v>1017</v>
      </c>
      <c r="G678" t="s">
        <v>1080</v>
      </c>
      <c r="H678" t="s">
        <v>1282</v>
      </c>
      <c r="I678" t="s">
        <v>1287</v>
      </c>
      <c r="J678" t="s">
        <v>1292</v>
      </c>
      <c r="K678" t="s">
        <v>1303</v>
      </c>
      <c r="L678" t="s">
        <v>1307</v>
      </c>
      <c r="M678" t="s">
        <v>1314</v>
      </c>
      <c r="N678">
        <v>2</v>
      </c>
      <c r="O678">
        <v>0</v>
      </c>
      <c r="P678">
        <v>1718.75</v>
      </c>
      <c r="Q678">
        <v>566.09</v>
      </c>
      <c r="R678" t="s">
        <v>1332</v>
      </c>
      <c r="S678" t="b">
        <f t="shared" si="40"/>
        <v>0</v>
      </c>
      <c r="T678" t="b">
        <f t="shared" si="41"/>
        <v>0</v>
      </c>
      <c r="U678" t="b">
        <f t="shared" si="42"/>
        <v>0</v>
      </c>
    </row>
    <row r="679" spans="1:21" x14ac:dyDescent="0.3">
      <c r="A679">
        <v>678</v>
      </c>
      <c r="B679" t="s">
        <v>694</v>
      </c>
      <c r="C679" s="2">
        <v>46016</v>
      </c>
      <c r="D679" s="2" t="str">
        <f t="shared" si="43"/>
        <v>Dec-2025</v>
      </c>
      <c r="E679" s="2">
        <v>46021</v>
      </c>
      <c r="F679" t="s">
        <v>1018</v>
      </c>
      <c r="G679" t="s">
        <v>1255</v>
      </c>
      <c r="H679" t="s">
        <v>1282</v>
      </c>
      <c r="I679" t="s">
        <v>1287</v>
      </c>
      <c r="J679" t="s">
        <v>1300</v>
      </c>
      <c r="K679" t="s">
        <v>1305</v>
      </c>
      <c r="L679" t="s">
        <v>1309</v>
      </c>
      <c r="M679" t="s">
        <v>1320</v>
      </c>
      <c r="N679">
        <v>4</v>
      </c>
      <c r="O679">
        <v>0.2</v>
      </c>
      <c r="P679">
        <v>3953.08</v>
      </c>
      <c r="Q679">
        <v>565.37</v>
      </c>
      <c r="R679" t="s">
        <v>1331</v>
      </c>
      <c r="S679" t="b">
        <f t="shared" si="40"/>
        <v>0</v>
      </c>
      <c r="T679" t="b">
        <f t="shared" si="41"/>
        <v>0</v>
      </c>
      <c r="U679" t="b">
        <f t="shared" si="42"/>
        <v>0</v>
      </c>
    </row>
    <row r="680" spans="1:21" x14ac:dyDescent="0.3">
      <c r="A680">
        <v>679</v>
      </c>
      <c r="B680" t="s">
        <v>695</v>
      </c>
      <c r="C680" s="2">
        <v>45904</v>
      </c>
      <c r="D680" s="2" t="str">
        <f t="shared" si="43"/>
        <v>Sep-2025</v>
      </c>
      <c r="E680" s="2">
        <v>45906</v>
      </c>
      <c r="F680" t="s">
        <v>1018</v>
      </c>
      <c r="G680" t="s">
        <v>1086</v>
      </c>
      <c r="H680" t="s">
        <v>1282</v>
      </c>
      <c r="I680" t="s">
        <v>1287</v>
      </c>
      <c r="J680" t="s">
        <v>1290</v>
      </c>
      <c r="K680" t="s">
        <v>1302</v>
      </c>
      <c r="L680" t="s">
        <v>1308</v>
      </c>
      <c r="M680" t="s">
        <v>1326</v>
      </c>
      <c r="N680">
        <v>1</v>
      </c>
      <c r="O680">
        <v>0</v>
      </c>
      <c r="P680">
        <v>7326.6</v>
      </c>
      <c r="Q680">
        <v>1933.19</v>
      </c>
      <c r="R680" t="s">
        <v>1332</v>
      </c>
      <c r="S680" t="b">
        <f t="shared" si="40"/>
        <v>0</v>
      </c>
      <c r="T680" t="b">
        <f t="shared" si="41"/>
        <v>0</v>
      </c>
      <c r="U680" t="b">
        <f t="shared" si="42"/>
        <v>0</v>
      </c>
    </row>
    <row r="681" spans="1:21" x14ac:dyDescent="0.3">
      <c r="A681">
        <v>680</v>
      </c>
      <c r="B681" t="s">
        <v>696</v>
      </c>
      <c r="C681" s="2">
        <v>45925</v>
      </c>
      <c r="D681" s="2" t="str">
        <f t="shared" si="43"/>
        <v>Sep-2025</v>
      </c>
      <c r="E681" s="2">
        <v>45928</v>
      </c>
      <c r="F681" t="s">
        <v>1017</v>
      </c>
      <c r="G681" t="s">
        <v>1126</v>
      </c>
      <c r="H681" t="s">
        <v>1268</v>
      </c>
      <c r="I681" t="s">
        <v>1287</v>
      </c>
      <c r="J681" t="s">
        <v>1297</v>
      </c>
      <c r="K681" t="s">
        <v>1304</v>
      </c>
      <c r="L681" t="s">
        <v>1307</v>
      </c>
      <c r="M681" t="s">
        <v>1322</v>
      </c>
      <c r="N681">
        <v>4</v>
      </c>
      <c r="O681">
        <v>0.1</v>
      </c>
      <c r="P681">
        <v>2461.52</v>
      </c>
      <c r="Q681">
        <v>431.14</v>
      </c>
      <c r="R681" t="s">
        <v>1333</v>
      </c>
      <c r="S681" t="b">
        <f t="shared" si="40"/>
        <v>0</v>
      </c>
      <c r="T681" t="b">
        <f t="shared" si="41"/>
        <v>0</v>
      </c>
      <c r="U681" t="b">
        <f t="shared" si="42"/>
        <v>0</v>
      </c>
    </row>
    <row r="682" spans="1:21" x14ac:dyDescent="0.3">
      <c r="A682">
        <v>681</v>
      </c>
      <c r="B682" t="s">
        <v>697</v>
      </c>
      <c r="C682" s="2">
        <v>45728</v>
      </c>
      <c r="D682" s="2" t="str">
        <f t="shared" si="43"/>
        <v>Mar-2025</v>
      </c>
      <c r="E682" s="2">
        <v>45731</v>
      </c>
      <c r="F682" t="s">
        <v>1017</v>
      </c>
      <c r="G682" t="s">
        <v>1235</v>
      </c>
      <c r="H682" t="s">
        <v>1269</v>
      </c>
      <c r="I682" t="s">
        <v>1288</v>
      </c>
      <c r="J682" t="s">
        <v>1291</v>
      </c>
      <c r="K682" t="s">
        <v>1302</v>
      </c>
      <c r="L682" t="s">
        <v>1306</v>
      </c>
      <c r="M682" t="s">
        <v>1328</v>
      </c>
      <c r="N682">
        <v>2</v>
      </c>
      <c r="O682">
        <v>0.15</v>
      </c>
      <c r="P682">
        <v>196.99</v>
      </c>
      <c r="Q682">
        <v>27.21</v>
      </c>
      <c r="R682" t="s">
        <v>1331</v>
      </c>
      <c r="S682" t="b">
        <f t="shared" si="40"/>
        <v>0</v>
      </c>
      <c r="T682" t="b">
        <f t="shared" si="41"/>
        <v>0</v>
      </c>
      <c r="U682" t="b">
        <f t="shared" si="42"/>
        <v>0</v>
      </c>
    </row>
    <row r="683" spans="1:21" x14ac:dyDescent="0.3">
      <c r="A683">
        <v>682</v>
      </c>
      <c r="B683" t="s">
        <v>698</v>
      </c>
      <c r="C683" s="2">
        <v>45675</v>
      </c>
      <c r="D683" s="2" t="str">
        <f t="shared" si="43"/>
        <v>Jan-2025</v>
      </c>
      <c r="E683" s="2">
        <v>45680</v>
      </c>
      <c r="F683" t="s">
        <v>1018</v>
      </c>
      <c r="G683" t="s">
        <v>1092</v>
      </c>
      <c r="H683" t="s">
        <v>1285</v>
      </c>
      <c r="I683" t="s">
        <v>1288</v>
      </c>
      <c r="J683" t="s">
        <v>1300</v>
      </c>
      <c r="K683" t="s">
        <v>1305</v>
      </c>
      <c r="L683" t="s">
        <v>1309</v>
      </c>
      <c r="M683" t="s">
        <v>1329</v>
      </c>
      <c r="N683">
        <v>2</v>
      </c>
      <c r="O683">
        <v>0.1</v>
      </c>
      <c r="P683">
        <v>3305.63</v>
      </c>
      <c r="Q683">
        <v>447.33</v>
      </c>
      <c r="R683" t="s">
        <v>1331</v>
      </c>
      <c r="S683" t="b">
        <f t="shared" si="40"/>
        <v>0</v>
      </c>
      <c r="T683" t="b">
        <f t="shared" si="41"/>
        <v>0</v>
      </c>
      <c r="U683" t="b">
        <f t="shared" si="42"/>
        <v>0</v>
      </c>
    </row>
    <row r="684" spans="1:21" x14ac:dyDescent="0.3">
      <c r="A684">
        <v>683</v>
      </c>
      <c r="B684" t="s">
        <v>699</v>
      </c>
      <c r="C684" s="2">
        <v>45922</v>
      </c>
      <c r="D684" s="2" t="str">
        <f t="shared" si="43"/>
        <v>Sep-2025</v>
      </c>
      <c r="E684" s="2">
        <v>45925</v>
      </c>
      <c r="F684" t="s">
        <v>1017</v>
      </c>
      <c r="G684" t="s">
        <v>1232</v>
      </c>
      <c r="H684" t="s">
        <v>1273</v>
      </c>
      <c r="I684" t="s">
        <v>1287</v>
      </c>
      <c r="J684" t="s">
        <v>1301</v>
      </c>
      <c r="K684" t="s">
        <v>1303</v>
      </c>
      <c r="L684" t="s">
        <v>1306</v>
      </c>
      <c r="M684" t="s">
        <v>1310</v>
      </c>
      <c r="N684">
        <v>5</v>
      </c>
      <c r="O684">
        <v>0.15</v>
      </c>
      <c r="P684">
        <v>2783.95</v>
      </c>
      <c r="Q684">
        <v>536.37</v>
      </c>
      <c r="R684" t="s">
        <v>1330</v>
      </c>
      <c r="S684" t="b">
        <f t="shared" si="40"/>
        <v>0</v>
      </c>
      <c r="T684" t="b">
        <f t="shared" si="41"/>
        <v>0</v>
      </c>
      <c r="U684" t="b">
        <f t="shared" si="42"/>
        <v>0</v>
      </c>
    </row>
    <row r="685" spans="1:21" x14ac:dyDescent="0.3">
      <c r="A685">
        <v>684</v>
      </c>
      <c r="B685" t="s">
        <v>700</v>
      </c>
      <c r="C685" s="2">
        <v>45694</v>
      </c>
      <c r="D685" s="2" t="str">
        <f t="shared" si="43"/>
        <v>Feb-2025</v>
      </c>
      <c r="E685" s="2">
        <v>45699</v>
      </c>
      <c r="F685" t="s">
        <v>1017</v>
      </c>
      <c r="G685" t="s">
        <v>1150</v>
      </c>
      <c r="H685" t="s">
        <v>1272</v>
      </c>
      <c r="I685" t="s">
        <v>1289</v>
      </c>
      <c r="J685" t="s">
        <v>1292</v>
      </c>
      <c r="K685" t="s">
        <v>1303</v>
      </c>
      <c r="L685" t="s">
        <v>1308</v>
      </c>
      <c r="M685" t="s">
        <v>1326</v>
      </c>
      <c r="N685">
        <v>4</v>
      </c>
      <c r="O685">
        <v>0.2</v>
      </c>
      <c r="P685">
        <v>21425.84</v>
      </c>
      <c r="Q685">
        <v>4059.45</v>
      </c>
      <c r="R685" t="s">
        <v>1332</v>
      </c>
      <c r="S685" t="b">
        <f t="shared" si="40"/>
        <v>0</v>
      </c>
      <c r="T685" t="b">
        <f t="shared" si="41"/>
        <v>0</v>
      </c>
      <c r="U685" t="b">
        <f t="shared" si="42"/>
        <v>0</v>
      </c>
    </row>
    <row r="686" spans="1:21" x14ac:dyDescent="0.3">
      <c r="A686">
        <v>685</v>
      </c>
      <c r="B686" t="s">
        <v>701</v>
      </c>
      <c r="C686" s="2">
        <v>46020</v>
      </c>
      <c r="D686" s="2" t="str">
        <f t="shared" si="43"/>
        <v>Dec-2025</v>
      </c>
      <c r="E686" s="2">
        <v>46021</v>
      </c>
      <c r="F686" t="s">
        <v>1017</v>
      </c>
      <c r="G686" t="s">
        <v>1218</v>
      </c>
      <c r="H686" t="s">
        <v>1271</v>
      </c>
      <c r="I686" t="s">
        <v>1287</v>
      </c>
      <c r="J686" t="s">
        <v>1297</v>
      </c>
      <c r="K686" t="s">
        <v>1304</v>
      </c>
      <c r="L686" t="s">
        <v>1307</v>
      </c>
      <c r="M686" t="s">
        <v>1311</v>
      </c>
      <c r="N686">
        <v>4</v>
      </c>
      <c r="O686">
        <v>0.05</v>
      </c>
      <c r="P686">
        <v>1096.42</v>
      </c>
      <c r="Q686">
        <v>218.12</v>
      </c>
      <c r="R686" t="s">
        <v>1332</v>
      </c>
      <c r="S686" t="b">
        <f t="shared" si="40"/>
        <v>0</v>
      </c>
      <c r="T686" t="b">
        <f t="shared" si="41"/>
        <v>0</v>
      </c>
      <c r="U686" t="b">
        <f t="shared" si="42"/>
        <v>0</v>
      </c>
    </row>
    <row r="687" spans="1:21" x14ac:dyDescent="0.3">
      <c r="A687">
        <v>686</v>
      </c>
      <c r="B687" t="s">
        <v>702</v>
      </c>
      <c r="C687" s="2">
        <v>45862</v>
      </c>
      <c r="D687" s="2" t="str">
        <f t="shared" si="43"/>
        <v>Jul-2025</v>
      </c>
      <c r="E687" s="2">
        <v>45865</v>
      </c>
      <c r="F687" t="s">
        <v>1017</v>
      </c>
      <c r="G687" t="s">
        <v>1051</v>
      </c>
      <c r="H687" t="s">
        <v>1284</v>
      </c>
      <c r="I687" t="s">
        <v>1287</v>
      </c>
      <c r="J687" t="s">
        <v>1298</v>
      </c>
      <c r="K687" t="s">
        <v>1303</v>
      </c>
      <c r="L687" t="s">
        <v>1309</v>
      </c>
      <c r="M687" t="s">
        <v>1329</v>
      </c>
      <c r="N687">
        <v>1</v>
      </c>
      <c r="O687">
        <v>0.2</v>
      </c>
      <c r="P687">
        <v>1450.27</v>
      </c>
      <c r="Q687">
        <v>171.77</v>
      </c>
      <c r="R687" t="s">
        <v>1331</v>
      </c>
      <c r="S687" t="b">
        <f t="shared" si="40"/>
        <v>0</v>
      </c>
      <c r="T687" t="b">
        <f t="shared" si="41"/>
        <v>0</v>
      </c>
      <c r="U687" t="b">
        <f t="shared" si="42"/>
        <v>0</v>
      </c>
    </row>
    <row r="688" spans="1:21" x14ac:dyDescent="0.3">
      <c r="A688">
        <v>687</v>
      </c>
      <c r="B688" t="s">
        <v>703</v>
      </c>
      <c r="C688" s="2">
        <v>45938</v>
      </c>
      <c r="D688" s="2" t="str">
        <f t="shared" si="43"/>
        <v>Oct-2025</v>
      </c>
      <c r="E688" s="2">
        <v>45940</v>
      </c>
      <c r="F688" t="s">
        <v>1017</v>
      </c>
      <c r="G688" t="s">
        <v>1114</v>
      </c>
      <c r="H688" t="s">
        <v>1268</v>
      </c>
      <c r="I688" t="s">
        <v>1287</v>
      </c>
      <c r="J688" t="s">
        <v>1290</v>
      </c>
      <c r="K688" t="s">
        <v>1302</v>
      </c>
      <c r="L688" t="s">
        <v>1308</v>
      </c>
      <c r="M688" t="s">
        <v>1312</v>
      </c>
      <c r="N688">
        <v>1</v>
      </c>
      <c r="O688">
        <v>0.15</v>
      </c>
      <c r="P688">
        <v>1068.78</v>
      </c>
      <c r="Q688">
        <v>84.37</v>
      </c>
      <c r="R688" t="s">
        <v>1332</v>
      </c>
      <c r="S688" t="b">
        <f t="shared" si="40"/>
        <v>0</v>
      </c>
      <c r="T688" t="b">
        <f t="shared" si="41"/>
        <v>0</v>
      </c>
      <c r="U688" t="b">
        <f t="shared" si="42"/>
        <v>0</v>
      </c>
    </row>
    <row r="689" spans="1:21" x14ac:dyDescent="0.3">
      <c r="A689">
        <v>688</v>
      </c>
      <c r="B689" t="s">
        <v>704</v>
      </c>
      <c r="C689" s="2">
        <v>45713</v>
      </c>
      <c r="D689" s="2" t="str">
        <f t="shared" si="43"/>
        <v>Feb-2025</v>
      </c>
      <c r="E689" s="2">
        <v>45714</v>
      </c>
      <c r="F689" t="s">
        <v>1017</v>
      </c>
      <c r="G689" t="s">
        <v>1237</v>
      </c>
      <c r="H689" t="s">
        <v>1280</v>
      </c>
      <c r="I689" t="s">
        <v>1289</v>
      </c>
      <c r="J689" t="s">
        <v>1296</v>
      </c>
      <c r="K689" t="s">
        <v>1304</v>
      </c>
      <c r="L689" t="s">
        <v>1308</v>
      </c>
      <c r="M689" t="s">
        <v>1318</v>
      </c>
      <c r="N689">
        <v>2</v>
      </c>
      <c r="O689">
        <v>0.2</v>
      </c>
      <c r="P689">
        <v>8532.5300000000007</v>
      </c>
      <c r="Q689">
        <v>-141.31</v>
      </c>
      <c r="R689" t="s">
        <v>1331</v>
      </c>
      <c r="S689" t="b">
        <f t="shared" si="40"/>
        <v>0</v>
      </c>
      <c r="T689" t="b">
        <f t="shared" si="41"/>
        <v>0</v>
      </c>
      <c r="U689" t="b">
        <f t="shared" si="42"/>
        <v>0</v>
      </c>
    </row>
    <row r="690" spans="1:21" x14ac:dyDescent="0.3">
      <c r="A690">
        <v>689</v>
      </c>
      <c r="B690" t="s">
        <v>705</v>
      </c>
      <c r="C690" s="2">
        <v>45812</v>
      </c>
      <c r="D690" s="2" t="str">
        <f t="shared" si="43"/>
        <v>Jun-2025</v>
      </c>
      <c r="E690" s="2">
        <v>45815</v>
      </c>
      <c r="F690" t="s">
        <v>1017</v>
      </c>
      <c r="G690" t="s">
        <v>1094</v>
      </c>
      <c r="H690" t="s">
        <v>1276</v>
      </c>
      <c r="I690" t="s">
        <v>1287</v>
      </c>
      <c r="J690" t="s">
        <v>1298</v>
      </c>
      <c r="K690" t="s">
        <v>1303</v>
      </c>
      <c r="L690" t="s">
        <v>1307</v>
      </c>
      <c r="M690" t="s">
        <v>1322</v>
      </c>
      <c r="N690">
        <v>1</v>
      </c>
      <c r="O690">
        <v>0.1</v>
      </c>
      <c r="P690">
        <v>598.61</v>
      </c>
      <c r="Q690">
        <v>134.46</v>
      </c>
      <c r="R690" t="s">
        <v>1334</v>
      </c>
      <c r="S690" t="b">
        <f t="shared" si="40"/>
        <v>0</v>
      </c>
      <c r="T690" t="b">
        <f t="shared" si="41"/>
        <v>0</v>
      </c>
      <c r="U690" t="b">
        <f t="shared" si="42"/>
        <v>0</v>
      </c>
    </row>
    <row r="691" spans="1:21" x14ac:dyDescent="0.3">
      <c r="A691">
        <v>690</v>
      </c>
      <c r="B691" t="s">
        <v>706</v>
      </c>
      <c r="C691" s="2">
        <v>45960</v>
      </c>
      <c r="D691" s="2" t="str">
        <f t="shared" si="43"/>
        <v>Oct-2025</v>
      </c>
      <c r="E691" s="2">
        <v>45965</v>
      </c>
      <c r="F691" t="s">
        <v>1019</v>
      </c>
      <c r="G691" t="s">
        <v>1248</v>
      </c>
      <c r="H691" t="s">
        <v>1283</v>
      </c>
      <c r="I691" t="s">
        <v>1288</v>
      </c>
      <c r="J691" t="s">
        <v>1301</v>
      </c>
      <c r="K691" t="s">
        <v>1303</v>
      </c>
      <c r="L691" t="s">
        <v>1308</v>
      </c>
      <c r="M691" t="s">
        <v>1326</v>
      </c>
      <c r="N691">
        <v>3</v>
      </c>
      <c r="O691">
        <v>0.15</v>
      </c>
      <c r="P691">
        <v>16960.47</v>
      </c>
      <c r="Q691">
        <v>2901.16</v>
      </c>
      <c r="R691" t="s">
        <v>1332</v>
      </c>
      <c r="S691" t="b">
        <f t="shared" si="40"/>
        <v>0</v>
      </c>
      <c r="T691" t="b">
        <f t="shared" si="41"/>
        <v>0</v>
      </c>
      <c r="U691" t="b">
        <f t="shared" si="42"/>
        <v>0</v>
      </c>
    </row>
    <row r="692" spans="1:21" x14ac:dyDescent="0.3">
      <c r="A692">
        <v>691</v>
      </c>
      <c r="B692" t="s">
        <v>707</v>
      </c>
      <c r="C692" s="2">
        <v>45718</v>
      </c>
      <c r="D692" s="2" t="str">
        <f t="shared" si="43"/>
        <v>Mar-2025</v>
      </c>
      <c r="E692" s="2">
        <v>45719</v>
      </c>
      <c r="F692" t="s">
        <v>1017</v>
      </c>
      <c r="G692" t="s">
        <v>1129</v>
      </c>
      <c r="H692" t="s">
        <v>1278</v>
      </c>
      <c r="I692" t="s">
        <v>1289</v>
      </c>
      <c r="J692" t="s">
        <v>1294</v>
      </c>
      <c r="K692" t="s">
        <v>1305</v>
      </c>
      <c r="L692" t="s">
        <v>1309</v>
      </c>
      <c r="M692" t="s">
        <v>1320</v>
      </c>
      <c r="N692">
        <v>1</v>
      </c>
      <c r="O692">
        <v>0</v>
      </c>
      <c r="P692">
        <v>1195.24</v>
      </c>
      <c r="Q692">
        <v>226.79</v>
      </c>
      <c r="R692" t="s">
        <v>1333</v>
      </c>
      <c r="S692" t="b">
        <f t="shared" si="40"/>
        <v>0</v>
      </c>
      <c r="T692" t="b">
        <f t="shared" si="41"/>
        <v>0</v>
      </c>
      <c r="U692" t="b">
        <f t="shared" si="42"/>
        <v>0</v>
      </c>
    </row>
    <row r="693" spans="1:21" x14ac:dyDescent="0.3">
      <c r="A693">
        <v>692</v>
      </c>
      <c r="B693" t="s">
        <v>708</v>
      </c>
      <c r="C693" s="2">
        <v>45903</v>
      </c>
      <c r="D693" s="2" t="str">
        <f t="shared" si="43"/>
        <v>Sep-2025</v>
      </c>
      <c r="E693" s="2">
        <v>45908</v>
      </c>
      <c r="F693" t="s">
        <v>1017</v>
      </c>
      <c r="G693" t="s">
        <v>1090</v>
      </c>
      <c r="H693" t="s">
        <v>1275</v>
      </c>
      <c r="I693" t="s">
        <v>1287</v>
      </c>
      <c r="J693" t="s">
        <v>1296</v>
      </c>
      <c r="K693" t="s">
        <v>1304</v>
      </c>
      <c r="L693" t="s">
        <v>1309</v>
      </c>
      <c r="M693" t="s">
        <v>1317</v>
      </c>
      <c r="N693">
        <v>2</v>
      </c>
      <c r="O693">
        <v>0.05</v>
      </c>
      <c r="P693">
        <v>1547.07</v>
      </c>
      <c r="Q693">
        <v>304.79000000000002</v>
      </c>
      <c r="R693" t="s">
        <v>1332</v>
      </c>
      <c r="S693" t="b">
        <f t="shared" si="40"/>
        <v>0</v>
      </c>
      <c r="T693" t="b">
        <f t="shared" si="41"/>
        <v>0</v>
      </c>
      <c r="U693" t="b">
        <f t="shared" si="42"/>
        <v>0</v>
      </c>
    </row>
    <row r="694" spans="1:21" x14ac:dyDescent="0.3">
      <c r="A694">
        <v>693</v>
      </c>
      <c r="B694" t="s">
        <v>709</v>
      </c>
      <c r="C694" s="2">
        <v>45714</v>
      </c>
      <c r="D694" s="2" t="str">
        <f t="shared" si="43"/>
        <v>Feb-2025</v>
      </c>
      <c r="E694" s="2">
        <v>45719</v>
      </c>
      <c r="F694" t="s">
        <v>1018</v>
      </c>
      <c r="G694" t="s">
        <v>1048</v>
      </c>
      <c r="H694" t="s">
        <v>1285</v>
      </c>
      <c r="I694" t="s">
        <v>1287</v>
      </c>
      <c r="J694" t="s">
        <v>1292</v>
      </c>
      <c r="K694" t="s">
        <v>1303</v>
      </c>
      <c r="L694" t="s">
        <v>1308</v>
      </c>
      <c r="M694" t="s">
        <v>1326</v>
      </c>
      <c r="N694">
        <v>1</v>
      </c>
      <c r="O694">
        <v>0.05</v>
      </c>
      <c r="P694">
        <v>6930.5</v>
      </c>
      <c r="Q694">
        <v>1950.97</v>
      </c>
      <c r="R694" t="s">
        <v>1331</v>
      </c>
      <c r="S694" t="b">
        <f t="shared" si="40"/>
        <v>0</v>
      </c>
      <c r="T694" t="b">
        <f t="shared" si="41"/>
        <v>0</v>
      </c>
      <c r="U694" t="b">
        <f t="shared" si="42"/>
        <v>0</v>
      </c>
    </row>
    <row r="695" spans="1:21" x14ac:dyDescent="0.3">
      <c r="A695">
        <v>694</v>
      </c>
      <c r="B695" t="s">
        <v>710</v>
      </c>
      <c r="C695" s="2">
        <v>45661</v>
      </c>
      <c r="D695" s="2" t="str">
        <f t="shared" si="43"/>
        <v>Jan-2025</v>
      </c>
      <c r="E695" s="2">
        <v>45666</v>
      </c>
      <c r="F695" t="s">
        <v>1019</v>
      </c>
      <c r="G695" t="s">
        <v>1160</v>
      </c>
      <c r="H695" t="s">
        <v>1267</v>
      </c>
      <c r="I695" t="s">
        <v>1288</v>
      </c>
      <c r="J695" t="s">
        <v>1295</v>
      </c>
      <c r="K695" t="s">
        <v>1305</v>
      </c>
      <c r="L695" t="s">
        <v>1306</v>
      </c>
      <c r="M695" t="s">
        <v>1328</v>
      </c>
      <c r="N695">
        <v>1</v>
      </c>
      <c r="O695">
        <v>0.1</v>
      </c>
      <c r="P695">
        <v>109.94</v>
      </c>
      <c r="Q695">
        <v>20.3</v>
      </c>
      <c r="R695" t="s">
        <v>1332</v>
      </c>
      <c r="S695" t="b">
        <f t="shared" si="40"/>
        <v>0</v>
      </c>
      <c r="T695" t="b">
        <f t="shared" si="41"/>
        <v>0</v>
      </c>
      <c r="U695" t="b">
        <f t="shared" si="42"/>
        <v>0</v>
      </c>
    </row>
    <row r="696" spans="1:21" x14ac:dyDescent="0.3">
      <c r="A696">
        <v>695</v>
      </c>
      <c r="B696" t="s">
        <v>711</v>
      </c>
      <c r="C696" s="2">
        <v>46010</v>
      </c>
      <c r="D696" s="2" t="str">
        <f t="shared" si="43"/>
        <v>Dec-2025</v>
      </c>
      <c r="E696" s="2">
        <v>46014</v>
      </c>
      <c r="F696" t="s">
        <v>1018</v>
      </c>
      <c r="G696" t="s">
        <v>1253</v>
      </c>
      <c r="H696" t="s">
        <v>1283</v>
      </c>
      <c r="I696" t="s">
        <v>1287</v>
      </c>
      <c r="J696" t="s">
        <v>1297</v>
      </c>
      <c r="K696" t="s">
        <v>1304</v>
      </c>
      <c r="L696" t="s">
        <v>1306</v>
      </c>
      <c r="M696" t="s">
        <v>1324</v>
      </c>
      <c r="N696">
        <v>5</v>
      </c>
      <c r="O696">
        <v>0.15</v>
      </c>
      <c r="P696">
        <v>389.16</v>
      </c>
      <c r="Q696">
        <v>37.78</v>
      </c>
      <c r="R696" t="s">
        <v>1334</v>
      </c>
      <c r="S696" t="b">
        <f t="shared" si="40"/>
        <v>0</v>
      </c>
      <c r="T696" t="b">
        <f t="shared" si="41"/>
        <v>0</v>
      </c>
      <c r="U696" t="b">
        <f t="shared" si="42"/>
        <v>0</v>
      </c>
    </row>
    <row r="697" spans="1:21" x14ac:dyDescent="0.3">
      <c r="A697">
        <v>696</v>
      </c>
      <c r="B697" t="s">
        <v>712</v>
      </c>
      <c r="C697" s="2">
        <v>46020</v>
      </c>
      <c r="D697" s="2" t="str">
        <f t="shared" si="43"/>
        <v>Dec-2025</v>
      </c>
      <c r="E697" s="2">
        <v>46021</v>
      </c>
      <c r="F697" t="s">
        <v>1018</v>
      </c>
      <c r="G697" t="s">
        <v>1248</v>
      </c>
      <c r="H697" t="s">
        <v>1270</v>
      </c>
      <c r="I697" t="s">
        <v>1288</v>
      </c>
      <c r="J697" t="s">
        <v>1291</v>
      </c>
      <c r="K697" t="s">
        <v>1302</v>
      </c>
      <c r="L697" t="s">
        <v>1306</v>
      </c>
      <c r="M697" t="s">
        <v>1324</v>
      </c>
      <c r="N697">
        <v>5</v>
      </c>
      <c r="O697">
        <v>0.25</v>
      </c>
      <c r="P697">
        <v>334.57</v>
      </c>
      <c r="Q697">
        <v>19.059999999999999</v>
      </c>
      <c r="R697" t="s">
        <v>1332</v>
      </c>
      <c r="S697" t="b">
        <f t="shared" si="40"/>
        <v>0</v>
      </c>
      <c r="T697" t="b">
        <f t="shared" si="41"/>
        <v>0</v>
      </c>
      <c r="U697" t="b">
        <f t="shared" si="42"/>
        <v>0</v>
      </c>
    </row>
    <row r="698" spans="1:21" x14ac:dyDescent="0.3">
      <c r="A698">
        <v>697</v>
      </c>
      <c r="B698" t="s">
        <v>713</v>
      </c>
      <c r="C698" s="2">
        <v>45777</v>
      </c>
      <c r="D698" s="2" t="str">
        <f t="shared" si="43"/>
        <v>Apr-2025</v>
      </c>
      <c r="E698" s="2">
        <v>45781</v>
      </c>
      <c r="F698" t="s">
        <v>1019</v>
      </c>
      <c r="G698" t="s">
        <v>1138</v>
      </c>
      <c r="H698" t="s">
        <v>1273</v>
      </c>
      <c r="I698" t="s">
        <v>1287</v>
      </c>
      <c r="J698" t="s">
        <v>1297</v>
      </c>
      <c r="K698" t="s">
        <v>1304</v>
      </c>
      <c r="L698" t="s">
        <v>1307</v>
      </c>
      <c r="M698" t="s">
        <v>1315</v>
      </c>
      <c r="N698">
        <v>4</v>
      </c>
      <c r="O698">
        <v>0.15</v>
      </c>
      <c r="P698">
        <v>6107.6</v>
      </c>
      <c r="Q698">
        <v>865.99</v>
      </c>
      <c r="R698" t="s">
        <v>1331</v>
      </c>
      <c r="S698" t="b">
        <f t="shared" si="40"/>
        <v>0</v>
      </c>
      <c r="T698" t="b">
        <f t="shared" si="41"/>
        <v>0</v>
      </c>
      <c r="U698" t="b">
        <f t="shared" si="42"/>
        <v>0</v>
      </c>
    </row>
    <row r="699" spans="1:21" x14ac:dyDescent="0.3">
      <c r="A699">
        <v>698</v>
      </c>
      <c r="B699" t="s">
        <v>714</v>
      </c>
      <c r="C699" s="2">
        <v>45855</v>
      </c>
      <c r="D699" s="2" t="str">
        <f t="shared" si="43"/>
        <v>Jul-2025</v>
      </c>
      <c r="E699" s="2">
        <v>45858</v>
      </c>
      <c r="F699" t="s">
        <v>1017</v>
      </c>
      <c r="G699" t="s">
        <v>1148</v>
      </c>
      <c r="H699" t="s">
        <v>1269</v>
      </c>
      <c r="I699" t="s">
        <v>1288</v>
      </c>
      <c r="J699" t="s">
        <v>1293</v>
      </c>
      <c r="K699" t="s">
        <v>1304</v>
      </c>
      <c r="L699" t="s">
        <v>1306</v>
      </c>
      <c r="M699" t="s">
        <v>1324</v>
      </c>
      <c r="N699">
        <v>1</v>
      </c>
      <c r="O699">
        <v>0.25</v>
      </c>
      <c r="P699">
        <v>66.34</v>
      </c>
      <c r="Q699">
        <v>-1.33</v>
      </c>
      <c r="R699" t="s">
        <v>1330</v>
      </c>
      <c r="S699" t="b">
        <f t="shared" si="40"/>
        <v>0</v>
      </c>
      <c r="T699" t="b">
        <f t="shared" si="41"/>
        <v>0</v>
      </c>
      <c r="U699" t="b">
        <f t="shared" si="42"/>
        <v>0</v>
      </c>
    </row>
    <row r="700" spans="1:21" x14ac:dyDescent="0.3">
      <c r="A700">
        <v>699</v>
      </c>
      <c r="B700" t="s">
        <v>715</v>
      </c>
      <c r="C700" s="2">
        <v>45762</v>
      </c>
      <c r="D700" s="2" t="str">
        <f t="shared" si="43"/>
        <v>Apr-2025</v>
      </c>
      <c r="E700" s="2">
        <v>45763</v>
      </c>
      <c r="F700" t="s">
        <v>1018</v>
      </c>
      <c r="G700" t="s">
        <v>1146</v>
      </c>
      <c r="H700" t="s">
        <v>1286</v>
      </c>
      <c r="I700" t="s">
        <v>1287</v>
      </c>
      <c r="J700" t="s">
        <v>1299</v>
      </c>
      <c r="K700" t="s">
        <v>1304</v>
      </c>
      <c r="L700" t="s">
        <v>1309</v>
      </c>
      <c r="M700" t="s">
        <v>1317</v>
      </c>
      <c r="N700">
        <v>2</v>
      </c>
      <c r="O700">
        <v>0.2</v>
      </c>
      <c r="P700">
        <v>1280.07</v>
      </c>
      <c r="Q700">
        <v>74.94</v>
      </c>
      <c r="R700" t="s">
        <v>1330</v>
      </c>
      <c r="S700" t="b">
        <f t="shared" si="40"/>
        <v>0</v>
      </c>
      <c r="T700" t="b">
        <f t="shared" si="41"/>
        <v>0</v>
      </c>
      <c r="U700" t="b">
        <f t="shared" si="42"/>
        <v>0</v>
      </c>
    </row>
    <row r="701" spans="1:21" x14ac:dyDescent="0.3">
      <c r="A701">
        <v>700</v>
      </c>
      <c r="B701" t="s">
        <v>716</v>
      </c>
      <c r="C701" s="2">
        <v>45722</v>
      </c>
      <c r="D701" s="2" t="str">
        <f t="shared" si="43"/>
        <v>Mar-2025</v>
      </c>
      <c r="E701" s="2">
        <v>45725</v>
      </c>
      <c r="F701" t="s">
        <v>1018</v>
      </c>
      <c r="G701" t="s">
        <v>1229</v>
      </c>
      <c r="H701" t="s">
        <v>1270</v>
      </c>
      <c r="I701" t="s">
        <v>1289</v>
      </c>
      <c r="J701" t="s">
        <v>1290</v>
      </c>
      <c r="K701" t="s">
        <v>1302</v>
      </c>
      <c r="L701" t="s">
        <v>1308</v>
      </c>
      <c r="M701" t="s">
        <v>1319</v>
      </c>
      <c r="N701">
        <v>2</v>
      </c>
      <c r="O701">
        <v>0.05</v>
      </c>
      <c r="P701">
        <v>8302.3799999999992</v>
      </c>
      <c r="Q701">
        <v>1685.17</v>
      </c>
      <c r="R701" t="s">
        <v>1333</v>
      </c>
      <c r="S701" t="b">
        <f t="shared" si="40"/>
        <v>0</v>
      </c>
      <c r="T701" t="b">
        <f t="shared" si="41"/>
        <v>0</v>
      </c>
      <c r="U701" t="b">
        <f t="shared" si="42"/>
        <v>0</v>
      </c>
    </row>
    <row r="702" spans="1:21" x14ac:dyDescent="0.3">
      <c r="A702">
        <v>701</v>
      </c>
      <c r="B702" t="s">
        <v>717</v>
      </c>
      <c r="C702" s="2">
        <v>45762</v>
      </c>
      <c r="D702" s="2" t="str">
        <f t="shared" si="43"/>
        <v>Apr-2025</v>
      </c>
      <c r="E702" s="2">
        <v>45767</v>
      </c>
      <c r="F702" t="s">
        <v>1019</v>
      </c>
      <c r="G702" t="s">
        <v>1181</v>
      </c>
      <c r="H702" t="s">
        <v>1282</v>
      </c>
      <c r="I702" t="s">
        <v>1289</v>
      </c>
      <c r="J702" t="s">
        <v>1294</v>
      </c>
      <c r="K702" t="s">
        <v>1305</v>
      </c>
      <c r="L702" t="s">
        <v>1308</v>
      </c>
      <c r="M702" t="s">
        <v>1319</v>
      </c>
      <c r="N702">
        <v>2</v>
      </c>
      <c r="O702">
        <v>0</v>
      </c>
      <c r="P702">
        <v>9127.67</v>
      </c>
      <c r="Q702">
        <v>2373.33</v>
      </c>
      <c r="R702" t="s">
        <v>1332</v>
      </c>
      <c r="S702" t="b">
        <f t="shared" si="40"/>
        <v>0</v>
      </c>
      <c r="T702" t="b">
        <f t="shared" si="41"/>
        <v>0</v>
      </c>
      <c r="U702" t="b">
        <f t="shared" si="42"/>
        <v>0</v>
      </c>
    </row>
    <row r="703" spans="1:21" x14ac:dyDescent="0.3">
      <c r="A703">
        <v>702</v>
      </c>
      <c r="B703" t="s">
        <v>718</v>
      </c>
      <c r="C703" s="2">
        <v>45916</v>
      </c>
      <c r="D703" s="2" t="str">
        <f t="shared" si="43"/>
        <v>Sep-2025</v>
      </c>
      <c r="E703" s="2">
        <v>45919</v>
      </c>
      <c r="F703" t="s">
        <v>1018</v>
      </c>
      <c r="G703" t="s">
        <v>1126</v>
      </c>
      <c r="H703" t="s">
        <v>1274</v>
      </c>
      <c r="I703" t="s">
        <v>1287</v>
      </c>
      <c r="J703" t="s">
        <v>1299</v>
      </c>
      <c r="K703" t="s">
        <v>1304</v>
      </c>
      <c r="L703" t="s">
        <v>1306</v>
      </c>
      <c r="M703" t="s">
        <v>1310</v>
      </c>
      <c r="N703">
        <v>4</v>
      </c>
      <c r="O703">
        <v>0.1</v>
      </c>
      <c r="P703">
        <v>2371.92</v>
      </c>
      <c r="Q703">
        <v>326.18</v>
      </c>
      <c r="R703" t="s">
        <v>1333</v>
      </c>
      <c r="S703" t="b">
        <f t="shared" si="40"/>
        <v>0</v>
      </c>
      <c r="T703" t="b">
        <f t="shared" si="41"/>
        <v>0</v>
      </c>
      <c r="U703" t="b">
        <f t="shared" si="42"/>
        <v>0</v>
      </c>
    </row>
    <row r="704" spans="1:21" x14ac:dyDescent="0.3">
      <c r="A704">
        <v>703</v>
      </c>
      <c r="B704" t="s">
        <v>719</v>
      </c>
      <c r="C704" s="2">
        <v>45948</v>
      </c>
      <c r="D704" s="2" t="str">
        <f t="shared" si="43"/>
        <v>Oct-2025</v>
      </c>
      <c r="E704" s="2">
        <v>45951</v>
      </c>
      <c r="F704" t="s">
        <v>1017</v>
      </c>
      <c r="G704" t="s">
        <v>1025</v>
      </c>
      <c r="H704" t="s">
        <v>1271</v>
      </c>
      <c r="I704" t="s">
        <v>1287</v>
      </c>
      <c r="J704" t="s">
        <v>1299</v>
      </c>
      <c r="K704" t="s">
        <v>1304</v>
      </c>
      <c r="L704" t="s">
        <v>1309</v>
      </c>
      <c r="M704" t="s">
        <v>1320</v>
      </c>
      <c r="N704">
        <v>2</v>
      </c>
      <c r="O704">
        <v>0.25</v>
      </c>
      <c r="P704">
        <v>1808.52</v>
      </c>
      <c r="Q704">
        <v>-132.44</v>
      </c>
      <c r="R704" t="s">
        <v>1331</v>
      </c>
      <c r="S704" t="b">
        <f t="shared" si="40"/>
        <v>0</v>
      </c>
      <c r="T704" t="b">
        <f t="shared" si="41"/>
        <v>0</v>
      </c>
      <c r="U704" t="b">
        <f t="shared" si="42"/>
        <v>0</v>
      </c>
    </row>
    <row r="705" spans="1:21" x14ac:dyDescent="0.3">
      <c r="A705">
        <v>704</v>
      </c>
      <c r="B705" t="s">
        <v>720</v>
      </c>
      <c r="C705" s="2">
        <v>45950</v>
      </c>
      <c r="D705" s="2" t="str">
        <f t="shared" si="43"/>
        <v>Oct-2025</v>
      </c>
      <c r="E705" s="2">
        <v>45951</v>
      </c>
      <c r="F705" t="s">
        <v>1017</v>
      </c>
      <c r="G705" t="s">
        <v>1120</v>
      </c>
      <c r="H705" t="s">
        <v>1285</v>
      </c>
      <c r="I705" t="s">
        <v>1287</v>
      </c>
      <c r="J705" t="s">
        <v>1294</v>
      </c>
      <c r="K705" t="s">
        <v>1305</v>
      </c>
      <c r="L705" t="s">
        <v>1306</v>
      </c>
      <c r="M705" t="s">
        <v>1324</v>
      </c>
      <c r="N705">
        <v>2</v>
      </c>
      <c r="O705">
        <v>0.1</v>
      </c>
      <c r="P705">
        <v>165.54</v>
      </c>
      <c r="Q705">
        <v>46.25</v>
      </c>
      <c r="R705" t="s">
        <v>1331</v>
      </c>
      <c r="S705" t="b">
        <f t="shared" si="40"/>
        <v>0</v>
      </c>
      <c r="T705" t="b">
        <f t="shared" si="41"/>
        <v>0</v>
      </c>
      <c r="U705" t="b">
        <f t="shared" si="42"/>
        <v>0</v>
      </c>
    </row>
    <row r="706" spans="1:21" x14ac:dyDescent="0.3">
      <c r="A706">
        <v>705</v>
      </c>
      <c r="B706" t="s">
        <v>721</v>
      </c>
      <c r="C706" s="2">
        <v>45766</v>
      </c>
      <c r="D706" s="2" t="str">
        <f t="shared" si="43"/>
        <v>Apr-2025</v>
      </c>
      <c r="E706" s="2">
        <v>45768</v>
      </c>
      <c r="F706" t="s">
        <v>1017</v>
      </c>
      <c r="G706" t="s">
        <v>1129</v>
      </c>
      <c r="H706" t="s">
        <v>1272</v>
      </c>
      <c r="I706" t="s">
        <v>1288</v>
      </c>
      <c r="J706" t="s">
        <v>1297</v>
      </c>
      <c r="K706" t="s">
        <v>1304</v>
      </c>
      <c r="L706" t="s">
        <v>1306</v>
      </c>
      <c r="M706" t="s">
        <v>1324</v>
      </c>
      <c r="N706">
        <v>1</v>
      </c>
      <c r="O706">
        <v>0</v>
      </c>
      <c r="P706">
        <v>89.4</v>
      </c>
      <c r="Q706">
        <v>26.18</v>
      </c>
      <c r="R706" t="s">
        <v>1333</v>
      </c>
      <c r="S706" t="b">
        <f t="shared" ref="S706:S769" si="44">E706&lt;C706</f>
        <v>0</v>
      </c>
      <c r="T706" t="b">
        <f t="shared" ref="T706:T769" si="45">N706&lt;=0</f>
        <v>0</v>
      </c>
      <c r="U706" t="b">
        <f t="shared" ref="U706:U769" si="46">OR(O706&lt;0,O706&gt;1)</f>
        <v>0</v>
      </c>
    </row>
    <row r="707" spans="1:21" x14ac:dyDescent="0.3">
      <c r="A707">
        <v>706</v>
      </c>
      <c r="B707" t="s">
        <v>722</v>
      </c>
      <c r="C707" s="2">
        <v>45661</v>
      </c>
      <c r="D707" s="2" t="str">
        <f t="shared" ref="D707:D770" si="47">TEXT(C707,"mmm-yyyy")</f>
        <v>Jan-2025</v>
      </c>
      <c r="E707" s="2">
        <v>45663</v>
      </c>
      <c r="F707" t="s">
        <v>1017</v>
      </c>
      <c r="G707" t="s">
        <v>1054</v>
      </c>
      <c r="H707" t="s">
        <v>1275</v>
      </c>
      <c r="I707" t="s">
        <v>1287</v>
      </c>
      <c r="J707" t="s">
        <v>1296</v>
      </c>
      <c r="K707" t="s">
        <v>1304</v>
      </c>
      <c r="L707" t="s">
        <v>1308</v>
      </c>
      <c r="M707" t="s">
        <v>1326</v>
      </c>
      <c r="N707">
        <v>4</v>
      </c>
      <c r="O707">
        <v>0</v>
      </c>
      <c r="P707">
        <v>26692.12</v>
      </c>
      <c r="Q707">
        <v>8380.68</v>
      </c>
      <c r="R707" t="s">
        <v>1331</v>
      </c>
      <c r="S707" t="b">
        <f t="shared" si="44"/>
        <v>0</v>
      </c>
      <c r="T707" t="b">
        <f t="shared" si="45"/>
        <v>0</v>
      </c>
      <c r="U707" t="b">
        <f t="shared" si="46"/>
        <v>0</v>
      </c>
    </row>
    <row r="708" spans="1:21" x14ac:dyDescent="0.3">
      <c r="A708">
        <v>707</v>
      </c>
      <c r="B708" t="s">
        <v>723</v>
      </c>
      <c r="C708" s="2">
        <v>45963</v>
      </c>
      <c r="D708" s="2" t="str">
        <f t="shared" si="47"/>
        <v>Nov-2025</v>
      </c>
      <c r="E708" s="2">
        <v>45967</v>
      </c>
      <c r="F708" t="s">
        <v>1017</v>
      </c>
      <c r="G708" t="s">
        <v>1084</v>
      </c>
      <c r="H708" t="s">
        <v>1278</v>
      </c>
      <c r="I708" t="s">
        <v>1287</v>
      </c>
      <c r="J708" t="s">
        <v>1290</v>
      </c>
      <c r="K708" t="s">
        <v>1302</v>
      </c>
      <c r="L708" t="s">
        <v>1309</v>
      </c>
      <c r="M708" t="s">
        <v>1320</v>
      </c>
      <c r="N708">
        <v>1</v>
      </c>
      <c r="O708">
        <v>0.1</v>
      </c>
      <c r="P708">
        <v>1070.0999999999999</v>
      </c>
      <c r="Q708">
        <v>171.2</v>
      </c>
      <c r="R708" t="s">
        <v>1331</v>
      </c>
      <c r="S708" t="b">
        <f t="shared" si="44"/>
        <v>0</v>
      </c>
      <c r="T708" t="b">
        <f t="shared" si="45"/>
        <v>0</v>
      </c>
      <c r="U708" t="b">
        <f t="shared" si="46"/>
        <v>0</v>
      </c>
    </row>
    <row r="709" spans="1:21" x14ac:dyDescent="0.3">
      <c r="A709">
        <v>708</v>
      </c>
      <c r="B709" t="s">
        <v>724</v>
      </c>
      <c r="C709" s="2">
        <v>45747</v>
      </c>
      <c r="D709" s="2" t="str">
        <f t="shared" si="47"/>
        <v>Mar-2025</v>
      </c>
      <c r="E709" s="2">
        <v>45750</v>
      </c>
      <c r="F709" t="s">
        <v>1017</v>
      </c>
      <c r="G709" t="s">
        <v>1251</v>
      </c>
      <c r="H709" t="s">
        <v>1279</v>
      </c>
      <c r="I709" t="s">
        <v>1289</v>
      </c>
      <c r="J709" t="s">
        <v>1290</v>
      </c>
      <c r="K709" t="s">
        <v>1302</v>
      </c>
      <c r="L709" t="s">
        <v>1307</v>
      </c>
      <c r="M709" t="s">
        <v>1311</v>
      </c>
      <c r="N709">
        <v>1</v>
      </c>
      <c r="O709">
        <v>0</v>
      </c>
      <c r="P709">
        <v>285.94</v>
      </c>
      <c r="Q709">
        <v>45.93</v>
      </c>
      <c r="R709" t="s">
        <v>1331</v>
      </c>
      <c r="S709" t="b">
        <f t="shared" si="44"/>
        <v>0</v>
      </c>
      <c r="T709" t="b">
        <f t="shared" si="45"/>
        <v>0</v>
      </c>
      <c r="U709" t="b">
        <f t="shared" si="46"/>
        <v>0</v>
      </c>
    </row>
    <row r="710" spans="1:21" x14ac:dyDescent="0.3">
      <c r="A710">
        <v>709</v>
      </c>
      <c r="B710" t="s">
        <v>725</v>
      </c>
      <c r="C710" s="2">
        <v>45743</v>
      </c>
      <c r="D710" s="2" t="str">
        <f t="shared" si="47"/>
        <v>Mar-2025</v>
      </c>
      <c r="E710" s="2">
        <v>45746</v>
      </c>
      <c r="F710" t="s">
        <v>1017</v>
      </c>
      <c r="G710" t="s">
        <v>1041</v>
      </c>
      <c r="H710" t="s">
        <v>1268</v>
      </c>
      <c r="I710" t="s">
        <v>1287</v>
      </c>
      <c r="J710" t="s">
        <v>1298</v>
      </c>
      <c r="K710" t="s">
        <v>1303</v>
      </c>
      <c r="L710" t="s">
        <v>1309</v>
      </c>
      <c r="M710" t="s">
        <v>1313</v>
      </c>
      <c r="N710">
        <v>4</v>
      </c>
      <c r="O710">
        <v>0.2</v>
      </c>
      <c r="P710">
        <v>4904.05</v>
      </c>
      <c r="Q710">
        <v>220.01</v>
      </c>
      <c r="R710" t="s">
        <v>1330</v>
      </c>
      <c r="S710" t="b">
        <f t="shared" si="44"/>
        <v>0</v>
      </c>
      <c r="T710" t="b">
        <f t="shared" si="45"/>
        <v>0</v>
      </c>
      <c r="U710" t="b">
        <f t="shared" si="46"/>
        <v>0</v>
      </c>
    </row>
    <row r="711" spans="1:21" x14ac:dyDescent="0.3">
      <c r="A711">
        <v>710</v>
      </c>
      <c r="B711" t="s">
        <v>726</v>
      </c>
      <c r="C711" s="2">
        <v>46002</v>
      </c>
      <c r="D711" s="2" t="str">
        <f t="shared" si="47"/>
        <v>Dec-2025</v>
      </c>
      <c r="E711" s="2">
        <v>46006</v>
      </c>
      <c r="F711" t="s">
        <v>1017</v>
      </c>
      <c r="G711" t="s">
        <v>1039</v>
      </c>
      <c r="H711" t="s">
        <v>1285</v>
      </c>
      <c r="I711" t="s">
        <v>1289</v>
      </c>
      <c r="J711" t="s">
        <v>1291</v>
      </c>
      <c r="K711" t="s">
        <v>1302</v>
      </c>
      <c r="L711" t="s">
        <v>1307</v>
      </c>
      <c r="M711" t="s">
        <v>1316</v>
      </c>
      <c r="N711">
        <v>3</v>
      </c>
      <c r="O711">
        <v>0.2</v>
      </c>
      <c r="P711">
        <v>1175.23</v>
      </c>
      <c r="Q711">
        <v>21.44</v>
      </c>
      <c r="R711" t="s">
        <v>1332</v>
      </c>
      <c r="S711" t="b">
        <f t="shared" si="44"/>
        <v>0</v>
      </c>
      <c r="T711" t="b">
        <f t="shared" si="45"/>
        <v>0</v>
      </c>
      <c r="U711" t="b">
        <f t="shared" si="46"/>
        <v>0</v>
      </c>
    </row>
    <row r="712" spans="1:21" x14ac:dyDescent="0.3">
      <c r="A712">
        <v>711</v>
      </c>
      <c r="B712" t="s">
        <v>727</v>
      </c>
      <c r="C712" s="2">
        <v>45731</v>
      </c>
      <c r="D712" s="2" t="str">
        <f t="shared" si="47"/>
        <v>Mar-2025</v>
      </c>
      <c r="E712" s="2">
        <v>45735</v>
      </c>
      <c r="F712" t="s">
        <v>1017</v>
      </c>
      <c r="G712" t="s">
        <v>1215</v>
      </c>
      <c r="H712" t="s">
        <v>1281</v>
      </c>
      <c r="I712" t="s">
        <v>1287</v>
      </c>
      <c r="J712" t="s">
        <v>1291</v>
      </c>
      <c r="K712" t="s">
        <v>1302</v>
      </c>
      <c r="L712" t="s">
        <v>1308</v>
      </c>
      <c r="M712" t="s">
        <v>1326</v>
      </c>
      <c r="N712">
        <v>2</v>
      </c>
      <c r="O712">
        <v>0</v>
      </c>
      <c r="P712">
        <v>13838.23</v>
      </c>
      <c r="Q712">
        <v>2410.0500000000002</v>
      </c>
      <c r="R712" t="s">
        <v>1333</v>
      </c>
      <c r="S712" t="b">
        <f t="shared" si="44"/>
        <v>0</v>
      </c>
      <c r="T712" t="b">
        <f t="shared" si="45"/>
        <v>0</v>
      </c>
      <c r="U712" t="b">
        <f t="shared" si="46"/>
        <v>0</v>
      </c>
    </row>
    <row r="713" spans="1:21" x14ac:dyDescent="0.3">
      <c r="A713">
        <v>712</v>
      </c>
      <c r="B713" t="s">
        <v>728</v>
      </c>
      <c r="C713" s="2">
        <v>45982</v>
      </c>
      <c r="D713" s="2" t="str">
        <f t="shared" si="47"/>
        <v>Nov-2025</v>
      </c>
      <c r="E713" s="2">
        <v>45985</v>
      </c>
      <c r="F713" t="s">
        <v>1018</v>
      </c>
      <c r="G713" t="s">
        <v>1221</v>
      </c>
      <c r="H713" t="s">
        <v>1275</v>
      </c>
      <c r="I713" t="s">
        <v>1287</v>
      </c>
      <c r="J713" t="s">
        <v>1296</v>
      </c>
      <c r="K713" t="s">
        <v>1304</v>
      </c>
      <c r="L713" t="s">
        <v>1308</v>
      </c>
      <c r="M713" t="s">
        <v>1326</v>
      </c>
      <c r="N713">
        <v>1</v>
      </c>
      <c r="O713">
        <v>0.1</v>
      </c>
      <c r="P713">
        <v>6570.95</v>
      </c>
      <c r="Q713">
        <v>1240.68</v>
      </c>
      <c r="R713" t="s">
        <v>1330</v>
      </c>
      <c r="S713" t="b">
        <f t="shared" si="44"/>
        <v>0</v>
      </c>
      <c r="T713" t="b">
        <f t="shared" si="45"/>
        <v>0</v>
      </c>
      <c r="U713" t="b">
        <f t="shared" si="46"/>
        <v>0</v>
      </c>
    </row>
    <row r="714" spans="1:21" x14ac:dyDescent="0.3">
      <c r="A714">
        <v>713</v>
      </c>
      <c r="B714" t="s">
        <v>729</v>
      </c>
      <c r="C714" s="2">
        <v>45961</v>
      </c>
      <c r="D714" s="2" t="str">
        <f t="shared" si="47"/>
        <v>Oct-2025</v>
      </c>
      <c r="E714" s="2">
        <v>45966</v>
      </c>
      <c r="F714" t="s">
        <v>1017</v>
      </c>
      <c r="G714" t="s">
        <v>1081</v>
      </c>
      <c r="H714" t="s">
        <v>1277</v>
      </c>
      <c r="I714" t="s">
        <v>1287</v>
      </c>
      <c r="J714" t="s">
        <v>1301</v>
      </c>
      <c r="K714" t="s">
        <v>1303</v>
      </c>
      <c r="L714" t="s">
        <v>1307</v>
      </c>
      <c r="M714" t="s">
        <v>1314</v>
      </c>
      <c r="N714">
        <v>1</v>
      </c>
      <c r="O714">
        <v>0</v>
      </c>
      <c r="P714">
        <v>926.51</v>
      </c>
      <c r="Q714">
        <v>323.60000000000002</v>
      </c>
      <c r="R714" t="s">
        <v>1331</v>
      </c>
      <c r="S714" t="b">
        <f t="shared" si="44"/>
        <v>0</v>
      </c>
      <c r="T714" t="b">
        <f t="shared" si="45"/>
        <v>0</v>
      </c>
      <c r="U714" t="b">
        <f t="shared" si="46"/>
        <v>0</v>
      </c>
    </row>
    <row r="715" spans="1:21" x14ac:dyDescent="0.3">
      <c r="A715">
        <v>714</v>
      </c>
      <c r="B715" t="s">
        <v>730</v>
      </c>
      <c r="C715" s="2">
        <v>45849</v>
      </c>
      <c r="D715" s="2" t="str">
        <f t="shared" si="47"/>
        <v>Jul-2025</v>
      </c>
      <c r="E715" s="2">
        <v>45854</v>
      </c>
      <c r="F715" t="s">
        <v>1017</v>
      </c>
      <c r="G715" t="s">
        <v>1022</v>
      </c>
      <c r="H715" t="s">
        <v>1285</v>
      </c>
      <c r="I715" t="s">
        <v>1287</v>
      </c>
      <c r="J715" t="s">
        <v>1292</v>
      </c>
      <c r="K715" t="s">
        <v>1303</v>
      </c>
      <c r="L715" t="s">
        <v>1306</v>
      </c>
      <c r="M715" t="s">
        <v>1310</v>
      </c>
      <c r="N715">
        <v>2</v>
      </c>
      <c r="O715">
        <v>0</v>
      </c>
      <c r="P715">
        <v>1279.0899999999999</v>
      </c>
      <c r="Q715">
        <v>444.21</v>
      </c>
      <c r="R715" t="s">
        <v>1334</v>
      </c>
      <c r="S715" t="b">
        <f t="shared" si="44"/>
        <v>0</v>
      </c>
      <c r="T715" t="b">
        <f t="shared" si="45"/>
        <v>0</v>
      </c>
      <c r="U715" t="b">
        <f t="shared" si="46"/>
        <v>0</v>
      </c>
    </row>
    <row r="716" spans="1:21" x14ac:dyDescent="0.3">
      <c r="A716">
        <v>715</v>
      </c>
      <c r="B716" t="s">
        <v>731</v>
      </c>
      <c r="C716" s="2">
        <v>45763</v>
      </c>
      <c r="D716" s="2" t="str">
        <f t="shared" si="47"/>
        <v>Apr-2025</v>
      </c>
      <c r="E716" s="2">
        <v>45766</v>
      </c>
      <c r="F716" t="s">
        <v>1017</v>
      </c>
      <c r="G716" t="s">
        <v>1256</v>
      </c>
      <c r="H716" t="s">
        <v>1275</v>
      </c>
      <c r="I716" t="s">
        <v>1287</v>
      </c>
      <c r="J716" t="s">
        <v>1296</v>
      </c>
      <c r="K716" t="s">
        <v>1304</v>
      </c>
      <c r="L716" t="s">
        <v>1306</v>
      </c>
      <c r="M716" t="s">
        <v>1310</v>
      </c>
      <c r="N716">
        <v>2</v>
      </c>
      <c r="O716">
        <v>0</v>
      </c>
      <c r="P716">
        <v>1259.04</v>
      </c>
      <c r="Q716">
        <v>423.51</v>
      </c>
      <c r="R716" t="s">
        <v>1332</v>
      </c>
      <c r="S716" t="b">
        <f t="shared" si="44"/>
        <v>0</v>
      </c>
      <c r="T716" t="b">
        <f t="shared" si="45"/>
        <v>0</v>
      </c>
      <c r="U716" t="b">
        <f t="shared" si="46"/>
        <v>0</v>
      </c>
    </row>
    <row r="717" spans="1:21" x14ac:dyDescent="0.3">
      <c r="A717">
        <v>716</v>
      </c>
      <c r="B717" t="s">
        <v>732</v>
      </c>
      <c r="C717" s="2">
        <v>45658</v>
      </c>
      <c r="D717" s="2" t="str">
        <f t="shared" si="47"/>
        <v>Jan-2025</v>
      </c>
      <c r="E717" s="2">
        <v>45660</v>
      </c>
      <c r="F717" t="s">
        <v>1017</v>
      </c>
      <c r="G717" t="s">
        <v>1086</v>
      </c>
      <c r="H717" t="s">
        <v>1274</v>
      </c>
      <c r="I717" t="s">
        <v>1289</v>
      </c>
      <c r="J717" t="s">
        <v>1300</v>
      </c>
      <c r="K717" t="s">
        <v>1305</v>
      </c>
      <c r="L717" t="s">
        <v>1306</v>
      </c>
      <c r="M717" t="s">
        <v>1324</v>
      </c>
      <c r="N717">
        <v>1</v>
      </c>
      <c r="O717">
        <v>0.1</v>
      </c>
      <c r="P717">
        <v>80.81</v>
      </c>
      <c r="Q717">
        <v>11.26</v>
      </c>
      <c r="R717" t="s">
        <v>1332</v>
      </c>
      <c r="S717" t="b">
        <f t="shared" si="44"/>
        <v>0</v>
      </c>
      <c r="T717" t="b">
        <f t="shared" si="45"/>
        <v>0</v>
      </c>
      <c r="U717" t="b">
        <f t="shared" si="46"/>
        <v>0</v>
      </c>
    </row>
    <row r="718" spans="1:21" x14ac:dyDescent="0.3">
      <c r="A718">
        <v>717</v>
      </c>
      <c r="B718" t="s">
        <v>733</v>
      </c>
      <c r="C718" s="2">
        <v>45958</v>
      </c>
      <c r="D718" s="2" t="str">
        <f t="shared" si="47"/>
        <v>Oct-2025</v>
      </c>
      <c r="E718" s="2">
        <v>45961</v>
      </c>
      <c r="F718" t="s">
        <v>1017</v>
      </c>
      <c r="G718" t="s">
        <v>1257</v>
      </c>
      <c r="H718" t="s">
        <v>1271</v>
      </c>
      <c r="I718" t="s">
        <v>1287</v>
      </c>
      <c r="J718" t="s">
        <v>1294</v>
      </c>
      <c r="K718" t="s">
        <v>1305</v>
      </c>
      <c r="L718" t="s">
        <v>1307</v>
      </c>
      <c r="M718" t="s">
        <v>1315</v>
      </c>
      <c r="N718">
        <v>1</v>
      </c>
      <c r="O718">
        <v>0</v>
      </c>
      <c r="P718">
        <v>1715.62</v>
      </c>
      <c r="Q718">
        <v>377.06</v>
      </c>
      <c r="R718" t="s">
        <v>1333</v>
      </c>
      <c r="S718" t="b">
        <f t="shared" si="44"/>
        <v>0</v>
      </c>
      <c r="T718" t="b">
        <f t="shared" si="45"/>
        <v>0</v>
      </c>
      <c r="U718" t="b">
        <f t="shared" si="46"/>
        <v>0</v>
      </c>
    </row>
    <row r="719" spans="1:21" x14ac:dyDescent="0.3">
      <c r="A719">
        <v>718</v>
      </c>
      <c r="B719" t="s">
        <v>734</v>
      </c>
      <c r="C719" s="2">
        <v>45761</v>
      </c>
      <c r="D719" s="2" t="str">
        <f t="shared" si="47"/>
        <v>Apr-2025</v>
      </c>
      <c r="E719" s="2">
        <v>45763</v>
      </c>
      <c r="F719" t="s">
        <v>1017</v>
      </c>
      <c r="G719" t="s">
        <v>1171</v>
      </c>
      <c r="H719" t="s">
        <v>1277</v>
      </c>
      <c r="I719" t="s">
        <v>1288</v>
      </c>
      <c r="J719" t="s">
        <v>1300</v>
      </c>
      <c r="K719" t="s">
        <v>1305</v>
      </c>
      <c r="L719" t="s">
        <v>1306</v>
      </c>
      <c r="M719" t="s">
        <v>1310</v>
      </c>
      <c r="N719">
        <v>5</v>
      </c>
      <c r="O719">
        <v>0</v>
      </c>
      <c r="P719">
        <v>3222.93</v>
      </c>
      <c r="Q719">
        <v>957.41</v>
      </c>
      <c r="R719" t="s">
        <v>1331</v>
      </c>
      <c r="S719" t="b">
        <f t="shared" si="44"/>
        <v>0</v>
      </c>
      <c r="T719" t="b">
        <f t="shared" si="45"/>
        <v>0</v>
      </c>
      <c r="U719" t="b">
        <f t="shared" si="46"/>
        <v>0</v>
      </c>
    </row>
    <row r="720" spans="1:21" x14ac:dyDescent="0.3">
      <c r="A720">
        <v>719</v>
      </c>
      <c r="B720" t="s">
        <v>735</v>
      </c>
      <c r="C720" s="2">
        <v>45761</v>
      </c>
      <c r="D720" s="2" t="str">
        <f t="shared" si="47"/>
        <v>Apr-2025</v>
      </c>
      <c r="E720" s="2">
        <v>45766</v>
      </c>
      <c r="F720" t="s">
        <v>1018</v>
      </c>
      <c r="G720" t="s">
        <v>1092</v>
      </c>
      <c r="H720" t="s">
        <v>1278</v>
      </c>
      <c r="I720" t="s">
        <v>1287</v>
      </c>
      <c r="J720" t="s">
        <v>1292</v>
      </c>
      <c r="K720" t="s">
        <v>1303</v>
      </c>
      <c r="L720" t="s">
        <v>1308</v>
      </c>
      <c r="M720" t="s">
        <v>1326</v>
      </c>
      <c r="N720">
        <v>1</v>
      </c>
      <c r="O720">
        <v>0.05</v>
      </c>
      <c r="P720">
        <v>6349.28</v>
      </c>
      <c r="Q720">
        <v>1207.1199999999999</v>
      </c>
      <c r="R720" t="s">
        <v>1332</v>
      </c>
      <c r="S720" t="b">
        <f t="shared" si="44"/>
        <v>0</v>
      </c>
      <c r="T720" t="b">
        <f t="shared" si="45"/>
        <v>0</v>
      </c>
      <c r="U720" t="b">
        <f t="shared" si="46"/>
        <v>0</v>
      </c>
    </row>
    <row r="721" spans="1:21" x14ac:dyDescent="0.3">
      <c r="A721">
        <v>720</v>
      </c>
      <c r="B721" t="s">
        <v>736</v>
      </c>
      <c r="C721" s="2">
        <v>45834</v>
      </c>
      <c r="D721" s="2" t="str">
        <f t="shared" si="47"/>
        <v>Jun-2025</v>
      </c>
      <c r="E721" s="2">
        <v>45839</v>
      </c>
      <c r="F721" t="s">
        <v>1017</v>
      </c>
      <c r="G721" t="s">
        <v>1091</v>
      </c>
      <c r="H721" t="s">
        <v>1282</v>
      </c>
      <c r="I721" t="s">
        <v>1287</v>
      </c>
      <c r="J721" t="s">
        <v>1294</v>
      </c>
      <c r="K721" t="s">
        <v>1305</v>
      </c>
      <c r="L721" t="s">
        <v>1307</v>
      </c>
      <c r="M721" t="s">
        <v>1311</v>
      </c>
      <c r="N721">
        <v>3</v>
      </c>
      <c r="O721">
        <v>0</v>
      </c>
      <c r="P721">
        <v>854.75</v>
      </c>
      <c r="Q721">
        <v>174.86</v>
      </c>
      <c r="R721" t="s">
        <v>1331</v>
      </c>
      <c r="S721" t="b">
        <f t="shared" si="44"/>
        <v>0</v>
      </c>
      <c r="T721" t="b">
        <f t="shared" si="45"/>
        <v>0</v>
      </c>
      <c r="U721" t="b">
        <f t="shared" si="46"/>
        <v>0</v>
      </c>
    </row>
    <row r="722" spans="1:21" x14ac:dyDescent="0.3">
      <c r="A722">
        <v>721</v>
      </c>
      <c r="B722" t="s">
        <v>737</v>
      </c>
      <c r="C722" s="2">
        <v>45703</v>
      </c>
      <c r="D722" s="2" t="str">
        <f t="shared" si="47"/>
        <v>Feb-2025</v>
      </c>
      <c r="E722" s="2">
        <v>45707</v>
      </c>
      <c r="F722" t="s">
        <v>1017</v>
      </c>
      <c r="G722" t="s">
        <v>1146</v>
      </c>
      <c r="H722" t="s">
        <v>1269</v>
      </c>
      <c r="I722" t="s">
        <v>1289</v>
      </c>
      <c r="J722" t="s">
        <v>1292</v>
      </c>
      <c r="K722" t="s">
        <v>1303</v>
      </c>
      <c r="L722" t="s">
        <v>1308</v>
      </c>
      <c r="M722" t="s">
        <v>1318</v>
      </c>
      <c r="N722">
        <v>1</v>
      </c>
      <c r="O722">
        <v>0.2</v>
      </c>
      <c r="P722">
        <v>4184.8500000000004</v>
      </c>
      <c r="Q722">
        <v>10.86</v>
      </c>
      <c r="R722" t="s">
        <v>1331</v>
      </c>
      <c r="S722" t="b">
        <f t="shared" si="44"/>
        <v>0</v>
      </c>
      <c r="T722" t="b">
        <f t="shared" si="45"/>
        <v>0</v>
      </c>
      <c r="U722" t="b">
        <f t="shared" si="46"/>
        <v>0</v>
      </c>
    </row>
    <row r="723" spans="1:21" x14ac:dyDescent="0.3">
      <c r="A723">
        <v>722</v>
      </c>
      <c r="B723" t="s">
        <v>738</v>
      </c>
      <c r="C723" s="2">
        <v>45972</v>
      </c>
      <c r="D723" s="2" t="str">
        <f t="shared" si="47"/>
        <v>Nov-2025</v>
      </c>
      <c r="E723" s="2">
        <v>45974</v>
      </c>
      <c r="F723" t="s">
        <v>1018</v>
      </c>
      <c r="G723" t="s">
        <v>1085</v>
      </c>
      <c r="H723" t="s">
        <v>1270</v>
      </c>
      <c r="I723" t="s">
        <v>1289</v>
      </c>
      <c r="J723" t="s">
        <v>1292</v>
      </c>
      <c r="K723" t="s">
        <v>1303</v>
      </c>
      <c r="L723" t="s">
        <v>1308</v>
      </c>
      <c r="M723" t="s">
        <v>1327</v>
      </c>
      <c r="N723">
        <v>4</v>
      </c>
      <c r="O723">
        <v>0</v>
      </c>
      <c r="P723">
        <v>7494.58</v>
      </c>
      <c r="Q723">
        <v>2789.02</v>
      </c>
      <c r="R723" t="s">
        <v>1330</v>
      </c>
      <c r="S723" t="b">
        <f t="shared" si="44"/>
        <v>0</v>
      </c>
      <c r="T723" t="b">
        <f t="shared" si="45"/>
        <v>0</v>
      </c>
      <c r="U723" t="b">
        <f t="shared" si="46"/>
        <v>0</v>
      </c>
    </row>
    <row r="724" spans="1:21" x14ac:dyDescent="0.3">
      <c r="A724">
        <v>723</v>
      </c>
      <c r="B724" t="s">
        <v>739</v>
      </c>
      <c r="C724" s="2">
        <v>45874</v>
      </c>
      <c r="D724" s="2" t="str">
        <f t="shared" si="47"/>
        <v>Aug-2025</v>
      </c>
      <c r="E724" s="2">
        <v>45878</v>
      </c>
      <c r="F724" t="s">
        <v>1018</v>
      </c>
      <c r="G724" t="s">
        <v>1200</v>
      </c>
      <c r="H724" t="s">
        <v>1285</v>
      </c>
      <c r="I724" t="s">
        <v>1287</v>
      </c>
      <c r="J724" t="s">
        <v>1295</v>
      </c>
      <c r="K724" t="s">
        <v>1305</v>
      </c>
      <c r="L724" t="s">
        <v>1306</v>
      </c>
      <c r="M724" t="s">
        <v>1324</v>
      </c>
      <c r="N724">
        <v>1</v>
      </c>
      <c r="O724">
        <v>0</v>
      </c>
      <c r="P724">
        <v>86.4</v>
      </c>
      <c r="Q724">
        <v>25.7</v>
      </c>
      <c r="R724" t="s">
        <v>1331</v>
      </c>
      <c r="S724" t="b">
        <f t="shared" si="44"/>
        <v>0</v>
      </c>
      <c r="T724" t="b">
        <f t="shared" si="45"/>
        <v>0</v>
      </c>
      <c r="U724" t="b">
        <f t="shared" si="46"/>
        <v>0</v>
      </c>
    </row>
    <row r="725" spans="1:21" x14ac:dyDescent="0.3">
      <c r="A725">
        <v>724</v>
      </c>
      <c r="B725" t="s">
        <v>740</v>
      </c>
      <c r="C725" s="2">
        <v>45798</v>
      </c>
      <c r="D725" s="2" t="str">
        <f t="shared" si="47"/>
        <v>May-2025</v>
      </c>
      <c r="E725" s="2">
        <v>45801</v>
      </c>
      <c r="F725" t="s">
        <v>1017</v>
      </c>
      <c r="G725" t="s">
        <v>1201</v>
      </c>
      <c r="H725" t="s">
        <v>1282</v>
      </c>
      <c r="I725" t="s">
        <v>1287</v>
      </c>
      <c r="J725" t="s">
        <v>1292</v>
      </c>
      <c r="K725" t="s">
        <v>1303</v>
      </c>
      <c r="L725" t="s">
        <v>1306</v>
      </c>
      <c r="M725" t="s">
        <v>1323</v>
      </c>
      <c r="N725">
        <v>2</v>
      </c>
      <c r="O725">
        <v>0.05</v>
      </c>
      <c r="P725">
        <v>325.60000000000002</v>
      </c>
      <c r="Q725">
        <v>76.22</v>
      </c>
      <c r="R725" t="s">
        <v>1331</v>
      </c>
      <c r="S725" t="b">
        <f t="shared" si="44"/>
        <v>0</v>
      </c>
      <c r="T725" t="b">
        <f t="shared" si="45"/>
        <v>0</v>
      </c>
      <c r="U725" t="b">
        <f t="shared" si="46"/>
        <v>0</v>
      </c>
    </row>
    <row r="726" spans="1:21" x14ac:dyDescent="0.3">
      <c r="A726">
        <v>725</v>
      </c>
      <c r="B726" t="s">
        <v>741</v>
      </c>
      <c r="C726" s="2">
        <v>45718</v>
      </c>
      <c r="D726" s="2" t="str">
        <f t="shared" si="47"/>
        <v>Mar-2025</v>
      </c>
      <c r="E726" s="2">
        <v>45722</v>
      </c>
      <c r="F726" t="s">
        <v>1017</v>
      </c>
      <c r="G726" t="s">
        <v>1200</v>
      </c>
      <c r="H726" t="s">
        <v>1273</v>
      </c>
      <c r="I726" t="s">
        <v>1288</v>
      </c>
      <c r="J726" t="s">
        <v>1300</v>
      </c>
      <c r="K726" t="s">
        <v>1305</v>
      </c>
      <c r="L726" t="s">
        <v>1306</v>
      </c>
      <c r="M726" t="s">
        <v>1328</v>
      </c>
      <c r="N726">
        <v>4</v>
      </c>
      <c r="O726">
        <v>0</v>
      </c>
      <c r="P726">
        <v>477.3</v>
      </c>
      <c r="Q726">
        <v>124.9</v>
      </c>
      <c r="R726" t="s">
        <v>1333</v>
      </c>
      <c r="S726" t="b">
        <f t="shared" si="44"/>
        <v>0</v>
      </c>
      <c r="T726" t="b">
        <f t="shared" si="45"/>
        <v>0</v>
      </c>
      <c r="U726" t="b">
        <f t="shared" si="46"/>
        <v>0</v>
      </c>
    </row>
    <row r="727" spans="1:21" x14ac:dyDescent="0.3">
      <c r="A727">
        <v>726</v>
      </c>
      <c r="B727" t="s">
        <v>742</v>
      </c>
      <c r="C727" s="2">
        <v>45783</v>
      </c>
      <c r="D727" s="2" t="str">
        <f t="shared" si="47"/>
        <v>May-2025</v>
      </c>
      <c r="E727" s="2">
        <v>45787</v>
      </c>
      <c r="F727" t="s">
        <v>1018</v>
      </c>
      <c r="G727" t="s">
        <v>1023</v>
      </c>
      <c r="H727" t="s">
        <v>1286</v>
      </c>
      <c r="I727" t="s">
        <v>1288</v>
      </c>
      <c r="J727" t="s">
        <v>1292</v>
      </c>
      <c r="K727" t="s">
        <v>1303</v>
      </c>
      <c r="L727" t="s">
        <v>1308</v>
      </c>
      <c r="M727" t="s">
        <v>1326</v>
      </c>
      <c r="N727">
        <v>2</v>
      </c>
      <c r="O727">
        <v>0.2</v>
      </c>
      <c r="P727">
        <v>10759.75</v>
      </c>
      <c r="Q727">
        <v>902.7</v>
      </c>
      <c r="R727" t="s">
        <v>1332</v>
      </c>
      <c r="S727" t="b">
        <f t="shared" si="44"/>
        <v>0</v>
      </c>
      <c r="T727" t="b">
        <f t="shared" si="45"/>
        <v>0</v>
      </c>
      <c r="U727" t="b">
        <f t="shared" si="46"/>
        <v>0</v>
      </c>
    </row>
    <row r="728" spans="1:21" x14ac:dyDescent="0.3">
      <c r="A728">
        <v>727</v>
      </c>
      <c r="B728" t="s">
        <v>743</v>
      </c>
      <c r="C728" s="2">
        <v>45885</v>
      </c>
      <c r="D728" s="2" t="str">
        <f t="shared" si="47"/>
        <v>Aug-2025</v>
      </c>
      <c r="E728" s="2">
        <v>45889</v>
      </c>
      <c r="F728" t="s">
        <v>1018</v>
      </c>
      <c r="G728" t="s">
        <v>1100</v>
      </c>
      <c r="H728" t="s">
        <v>1272</v>
      </c>
      <c r="I728" t="s">
        <v>1288</v>
      </c>
      <c r="J728" t="s">
        <v>1300</v>
      </c>
      <c r="K728" t="s">
        <v>1305</v>
      </c>
      <c r="L728" t="s">
        <v>1309</v>
      </c>
      <c r="M728" t="s">
        <v>1320</v>
      </c>
      <c r="N728">
        <v>2</v>
      </c>
      <c r="O728">
        <v>0.05</v>
      </c>
      <c r="P728">
        <v>2190.29</v>
      </c>
      <c r="Q728">
        <v>552.75</v>
      </c>
      <c r="R728" t="s">
        <v>1330</v>
      </c>
      <c r="S728" t="b">
        <f t="shared" si="44"/>
        <v>0</v>
      </c>
      <c r="T728" t="b">
        <f t="shared" si="45"/>
        <v>0</v>
      </c>
      <c r="U728" t="b">
        <f t="shared" si="46"/>
        <v>0</v>
      </c>
    </row>
    <row r="729" spans="1:21" x14ac:dyDescent="0.3">
      <c r="A729">
        <v>728</v>
      </c>
      <c r="B729" t="s">
        <v>744</v>
      </c>
      <c r="C729" s="2">
        <v>45937</v>
      </c>
      <c r="D729" s="2" t="str">
        <f t="shared" si="47"/>
        <v>Oct-2025</v>
      </c>
      <c r="E729" s="2">
        <v>45939</v>
      </c>
      <c r="F729" t="s">
        <v>1017</v>
      </c>
      <c r="G729" t="s">
        <v>1021</v>
      </c>
      <c r="H729" t="s">
        <v>1273</v>
      </c>
      <c r="I729" t="s">
        <v>1287</v>
      </c>
      <c r="J729" t="s">
        <v>1299</v>
      </c>
      <c r="K729" t="s">
        <v>1304</v>
      </c>
      <c r="L729" t="s">
        <v>1309</v>
      </c>
      <c r="M729" t="s">
        <v>1313</v>
      </c>
      <c r="N729">
        <v>1</v>
      </c>
      <c r="O729">
        <v>0.2</v>
      </c>
      <c r="P729">
        <v>1206.97</v>
      </c>
      <c r="Q729">
        <v>175.9</v>
      </c>
      <c r="R729" t="s">
        <v>1331</v>
      </c>
      <c r="S729" t="b">
        <f t="shared" si="44"/>
        <v>0</v>
      </c>
      <c r="T729" t="b">
        <f t="shared" si="45"/>
        <v>0</v>
      </c>
      <c r="U729" t="b">
        <f t="shared" si="46"/>
        <v>0</v>
      </c>
    </row>
    <row r="730" spans="1:21" x14ac:dyDescent="0.3">
      <c r="A730">
        <v>729</v>
      </c>
      <c r="B730" t="s">
        <v>745</v>
      </c>
      <c r="C730" s="2">
        <v>45746</v>
      </c>
      <c r="D730" s="2" t="str">
        <f t="shared" si="47"/>
        <v>Mar-2025</v>
      </c>
      <c r="E730" s="2">
        <v>45751</v>
      </c>
      <c r="F730" t="s">
        <v>1017</v>
      </c>
      <c r="G730" t="s">
        <v>1115</v>
      </c>
      <c r="H730" t="s">
        <v>1281</v>
      </c>
      <c r="I730" t="s">
        <v>1287</v>
      </c>
      <c r="J730" t="s">
        <v>1294</v>
      </c>
      <c r="K730" t="s">
        <v>1305</v>
      </c>
      <c r="L730" t="s">
        <v>1307</v>
      </c>
      <c r="M730" t="s">
        <v>1322</v>
      </c>
      <c r="N730">
        <v>3</v>
      </c>
      <c r="O730">
        <v>0.25</v>
      </c>
      <c r="P730">
        <v>1620.5</v>
      </c>
      <c r="Q730">
        <v>97.41</v>
      </c>
      <c r="R730" t="s">
        <v>1332</v>
      </c>
      <c r="S730" t="b">
        <f t="shared" si="44"/>
        <v>0</v>
      </c>
      <c r="T730" t="b">
        <f t="shared" si="45"/>
        <v>0</v>
      </c>
      <c r="U730" t="b">
        <f t="shared" si="46"/>
        <v>0</v>
      </c>
    </row>
    <row r="731" spans="1:21" x14ac:dyDescent="0.3">
      <c r="A731">
        <v>730</v>
      </c>
      <c r="B731" t="s">
        <v>746</v>
      </c>
      <c r="C731" s="2">
        <v>45909</v>
      </c>
      <c r="D731" s="2" t="str">
        <f t="shared" si="47"/>
        <v>Sep-2025</v>
      </c>
      <c r="E731" s="2">
        <v>45914</v>
      </c>
      <c r="F731" t="s">
        <v>1018</v>
      </c>
      <c r="G731" t="s">
        <v>1134</v>
      </c>
      <c r="H731" t="s">
        <v>1268</v>
      </c>
      <c r="I731" t="s">
        <v>1287</v>
      </c>
      <c r="J731" t="s">
        <v>1297</v>
      </c>
      <c r="K731" t="s">
        <v>1304</v>
      </c>
      <c r="L731" t="s">
        <v>1308</v>
      </c>
      <c r="M731" t="s">
        <v>1327</v>
      </c>
      <c r="N731">
        <v>1</v>
      </c>
      <c r="O731">
        <v>0.15</v>
      </c>
      <c r="P731">
        <v>1551.13</v>
      </c>
      <c r="Q731">
        <v>316</v>
      </c>
      <c r="R731" t="s">
        <v>1332</v>
      </c>
      <c r="S731" t="b">
        <f t="shared" si="44"/>
        <v>0</v>
      </c>
      <c r="T731" t="b">
        <f t="shared" si="45"/>
        <v>0</v>
      </c>
      <c r="U731" t="b">
        <f t="shared" si="46"/>
        <v>0</v>
      </c>
    </row>
    <row r="732" spans="1:21" x14ac:dyDescent="0.3">
      <c r="A732">
        <v>731</v>
      </c>
      <c r="B732" t="s">
        <v>747</v>
      </c>
      <c r="C732" s="2">
        <v>45836</v>
      </c>
      <c r="D732" s="2" t="str">
        <f t="shared" si="47"/>
        <v>Jun-2025</v>
      </c>
      <c r="E732" s="2">
        <v>45841</v>
      </c>
      <c r="F732" t="s">
        <v>1017</v>
      </c>
      <c r="G732" t="s">
        <v>1095</v>
      </c>
      <c r="H732" t="s">
        <v>1280</v>
      </c>
      <c r="I732" t="s">
        <v>1289</v>
      </c>
      <c r="J732" t="s">
        <v>1291</v>
      </c>
      <c r="K732" t="s">
        <v>1302</v>
      </c>
      <c r="L732" t="s">
        <v>1306</v>
      </c>
      <c r="M732" t="s">
        <v>1321</v>
      </c>
      <c r="N732">
        <v>3</v>
      </c>
      <c r="O732">
        <v>0.1</v>
      </c>
      <c r="P732">
        <v>1222.1400000000001</v>
      </c>
      <c r="Q732">
        <v>216.41</v>
      </c>
      <c r="R732" t="s">
        <v>1331</v>
      </c>
      <c r="S732" t="b">
        <f t="shared" si="44"/>
        <v>0</v>
      </c>
      <c r="T732" t="b">
        <f t="shared" si="45"/>
        <v>0</v>
      </c>
      <c r="U732" t="b">
        <f t="shared" si="46"/>
        <v>0</v>
      </c>
    </row>
    <row r="733" spans="1:21" x14ac:dyDescent="0.3">
      <c r="A733">
        <v>732</v>
      </c>
      <c r="B733" t="s">
        <v>748</v>
      </c>
      <c r="C733" s="2">
        <v>45778</v>
      </c>
      <c r="D733" s="2" t="str">
        <f t="shared" si="47"/>
        <v>May-2025</v>
      </c>
      <c r="E733" s="2">
        <v>45780</v>
      </c>
      <c r="F733" t="s">
        <v>1017</v>
      </c>
      <c r="G733" t="s">
        <v>1059</v>
      </c>
      <c r="H733" t="s">
        <v>1273</v>
      </c>
      <c r="I733" t="s">
        <v>1288</v>
      </c>
      <c r="J733" t="s">
        <v>1293</v>
      </c>
      <c r="K733" t="s">
        <v>1304</v>
      </c>
      <c r="L733" t="s">
        <v>1307</v>
      </c>
      <c r="M733" t="s">
        <v>1315</v>
      </c>
      <c r="N733">
        <v>2</v>
      </c>
      <c r="O733">
        <v>0.15</v>
      </c>
      <c r="P733">
        <v>3076.4</v>
      </c>
      <c r="Q733">
        <v>462.72</v>
      </c>
      <c r="R733" t="s">
        <v>1331</v>
      </c>
      <c r="S733" t="b">
        <f t="shared" si="44"/>
        <v>0</v>
      </c>
      <c r="T733" t="b">
        <f t="shared" si="45"/>
        <v>0</v>
      </c>
      <c r="U733" t="b">
        <f t="shared" si="46"/>
        <v>0</v>
      </c>
    </row>
    <row r="734" spans="1:21" x14ac:dyDescent="0.3">
      <c r="A734">
        <v>733</v>
      </c>
      <c r="B734" t="s">
        <v>749</v>
      </c>
      <c r="C734" s="2">
        <v>45844</v>
      </c>
      <c r="D734" s="2" t="str">
        <f t="shared" si="47"/>
        <v>Jul-2025</v>
      </c>
      <c r="E734" s="2">
        <v>45845</v>
      </c>
      <c r="F734" t="s">
        <v>1018</v>
      </c>
      <c r="G734" t="s">
        <v>1131</v>
      </c>
      <c r="H734" t="s">
        <v>1272</v>
      </c>
      <c r="I734" t="s">
        <v>1287</v>
      </c>
      <c r="J734" t="s">
        <v>1296</v>
      </c>
      <c r="K734" t="s">
        <v>1304</v>
      </c>
      <c r="L734" t="s">
        <v>1306</v>
      </c>
      <c r="M734" t="s">
        <v>1323</v>
      </c>
      <c r="N734">
        <v>1</v>
      </c>
      <c r="O734">
        <v>0.05</v>
      </c>
      <c r="P734">
        <v>172.69</v>
      </c>
      <c r="Q734">
        <v>50.56</v>
      </c>
      <c r="R734" t="s">
        <v>1333</v>
      </c>
      <c r="S734" t="b">
        <f t="shared" si="44"/>
        <v>0</v>
      </c>
      <c r="T734" t="b">
        <f t="shared" si="45"/>
        <v>0</v>
      </c>
      <c r="U734" t="b">
        <f t="shared" si="46"/>
        <v>0</v>
      </c>
    </row>
    <row r="735" spans="1:21" x14ac:dyDescent="0.3">
      <c r="A735">
        <v>734</v>
      </c>
      <c r="B735" t="s">
        <v>750</v>
      </c>
      <c r="C735" s="2">
        <v>45719</v>
      </c>
      <c r="D735" s="2" t="str">
        <f t="shared" si="47"/>
        <v>Mar-2025</v>
      </c>
      <c r="E735" s="2">
        <v>45724</v>
      </c>
      <c r="F735" t="s">
        <v>1017</v>
      </c>
      <c r="G735" t="s">
        <v>1054</v>
      </c>
      <c r="H735" t="s">
        <v>1279</v>
      </c>
      <c r="I735" t="s">
        <v>1287</v>
      </c>
      <c r="J735" t="s">
        <v>1294</v>
      </c>
      <c r="K735" t="s">
        <v>1305</v>
      </c>
      <c r="L735" t="s">
        <v>1309</v>
      </c>
      <c r="M735" t="s">
        <v>1329</v>
      </c>
      <c r="N735">
        <v>2</v>
      </c>
      <c r="O735">
        <v>0.2</v>
      </c>
      <c r="P735">
        <v>2899.09</v>
      </c>
      <c r="Q735">
        <v>330.5</v>
      </c>
      <c r="R735" t="s">
        <v>1333</v>
      </c>
      <c r="S735" t="b">
        <f t="shared" si="44"/>
        <v>0</v>
      </c>
      <c r="T735" t="b">
        <f t="shared" si="45"/>
        <v>0</v>
      </c>
      <c r="U735" t="b">
        <f t="shared" si="46"/>
        <v>0</v>
      </c>
    </row>
    <row r="736" spans="1:21" x14ac:dyDescent="0.3">
      <c r="A736">
        <v>735</v>
      </c>
      <c r="B736" t="s">
        <v>751</v>
      </c>
      <c r="C736" s="2">
        <v>45881</v>
      </c>
      <c r="D736" s="2" t="str">
        <f t="shared" si="47"/>
        <v>Aug-2025</v>
      </c>
      <c r="E736" s="2">
        <v>45886</v>
      </c>
      <c r="F736" t="s">
        <v>1017</v>
      </c>
      <c r="G736" t="s">
        <v>1033</v>
      </c>
      <c r="H736" t="s">
        <v>1283</v>
      </c>
      <c r="I736" t="s">
        <v>1289</v>
      </c>
      <c r="J736" t="s">
        <v>1301</v>
      </c>
      <c r="K736" t="s">
        <v>1303</v>
      </c>
      <c r="L736" t="s">
        <v>1306</v>
      </c>
      <c r="M736" t="s">
        <v>1323</v>
      </c>
      <c r="N736">
        <v>3</v>
      </c>
      <c r="O736">
        <v>0</v>
      </c>
      <c r="P736">
        <v>565.71</v>
      </c>
      <c r="Q736">
        <v>203.17</v>
      </c>
      <c r="R736" t="s">
        <v>1330</v>
      </c>
      <c r="S736" t="b">
        <f t="shared" si="44"/>
        <v>0</v>
      </c>
      <c r="T736" t="b">
        <f t="shared" si="45"/>
        <v>0</v>
      </c>
      <c r="U736" t="b">
        <f t="shared" si="46"/>
        <v>0</v>
      </c>
    </row>
    <row r="737" spans="1:21" x14ac:dyDescent="0.3">
      <c r="A737">
        <v>736</v>
      </c>
      <c r="B737" t="s">
        <v>752</v>
      </c>
      <c r="C737" s="2">
        <v>45800</v>
      </c>
      <c r="D737" s="2" t="str">
        <f t="shared" si="47"/>
        <v>May-2025</v>
      </c>
      <c r="E737" s="2">
        <v>45801</v>
      </c>
      <c r="F737" t="s">
        <v>1018</v>
      </c>
      <c r="G737" t="s">
        <v>1091</v>
      </c>
      <c r="H737" t="s">
        <v>1267</v>
      </c>
      <c r="I737" t="s">
        <v>1289</v>
      </c>
      <c r="J737" t="s">
        <v>1293</v>
      </c>
      <c r="K737" t="s">
        <v>1304</v>
      </c>
      <c r="L737" t="s">
        <v>1306</v>
      </c>
      <c r="M737" t="s">
        <v>1321</v>
      </c>
      <c r="N737">
        <v>4</v>
      </c>
      <c r="O737">
        <v>0.25</v>
      </c>
      <c r="P737">
        <v>1330.8</v>
      </c>
      <c r="Q737">
        <v>-124.19</v>
      </c>
      <c r="R737" t="s">
        <v>1334</v>
      </c>
      <c r="S737" t="b">
        <f t="shared" si="44"/>
        <v>0</v>
      </c>
      <c r="T737" t="b">
        <f t="shared" si="45"/>
        <v>0</v>
      </c>
      <c r="U737" t="b">
        <f t="shared" si="46"/>
        <v>0</v>
      </c>
    </row>
    <row r="738" spans="1:21" x14ac:dyDescent="0.3">
      <c r="A738">
        <v>737</v>
      </c>
      <c r="B738" t="s">
        <v>753</v>
      </c>
      <c r="C738" s="2">
        <v>45798</v>
      </c>
      <c r="D738" s="2" t="str">
        <f t="shared" si="47"/>
        <v>May-2025</v>
      </c>
      <c r="E738" s="2">
        <v>45802</v>
      </c>
      <c r="F738" t="s">
        <v>1018</v>
      </c>
      <c r="G738" t="s">
        <v>1173</v>
      </c>
      <c r="H738" t="s">
        <v>1273</v>
      </c>
      <c r="I738" t="s">
        <v>1287</v>
      </c>
      <c r="J738" t="s">
        <v>1300</v>
      </c>
      <c r="K738" t="s">
        <v>1305</v>
      </c>
      <c r="L738" t="s">
        <v>1307</v>
      </c>
      <c r="M738" t="s">
        <v>1314</v>
      </c>
      <c r="N738">
        <v>2</v>
      </c>
      <c r="O738">
        <v>0.05</v>
      </c>
      <c r="P738">
        <v>1627.9</v>
      </c>
      <c r="Q738">
        <v>465.74</v>
      </c>
      <c r="R738" t="s">
        <v>1332</v>
      </c>
      <c r="S738" t="b">
        <f t="shared" si="44"/>
        <v>0</v>
      </c>
      <c r="T738" t="b">
        <f t="shared" si="45"/>
        <v>0</v>
      </c>
      <c r="U738" t="b">
        <f t="shared" si="46"/>
        <v>0</v>
      </c>
    </row>
    <row r="739" spans="1:21" x14ac:dyDescent="0.3">
      <c r="A739">
        <v>738</v>
      </c>
      <c r="B739" t="s">
        <v>754</v>
      </c>
      <c r="C739" s="2">
        <v>45798</v>
      </c>
      <c r="D739" s="2" t="str">
        <f t="shared" si="47"/>
        <v>May-2025</v>
      </c>
      <c r="E739" s="2">
        <v>45803</v>
      </c>
      <c r="F739" t="s">
        <v>1017</v>
      </c>
      <c r="G739" t="s">
        <v>1179</v>
      </c>
      <c r="H739" t="s">
        <v>1280</v>
      </c>
      <c r="I739" t="s">
        <v>1289</v>
      </c>
      <c r="J739" t="s">
        <v>1291</v>
      </c>
      <c r="K739" t="s">
        <v>1302</v>
      </c>
      <c r="L739" t="s">
        <v>1307</v>
      </c>
      <c r="M739" t="s">
        <v>1311</v>
      </c>
      <c r="N739">
        <v>3</v>
      </c>
      <c r="O739">
        <v>0.15</v>
      </c>
      <c r="P739">
        <v>749.55</v>
      </c>
      <c r="Q739">
        <v>57.97</v>
      </c>
      <c r="R739" t="s">
        <v>1334</v>
      </c>
      <c r="S739" t="b">
        <f t="shared" si="44"/>
        <v>0</v>
      </c>
      <c r="T739" t="b">
        <f t="shared" si="45"/>
        <v>0</v>
      </c>
      <c r="U739" t="b">
        <f t="shared" si="46"/>
        <v>0</v>
      </c>
    </row>
    <row r="740" spans="1:21" x14ac:dyDescent="0.3">
      <c r="A740">
        <v>739</v>
      </c>
      <c r="B740" t="s">
        <v>755</v>
      </c>
      <c r="C740" s="2">
        <v>46017</v>
      </c>
      <c r="D740" s="2" t="str">
        <f t="shared" si="47"/>
        <v>Dec-2025</v>
      </c>
      <c r="E740" s="2">
        <v>46022</v>
      </c>
      <c r="F740" t="s">
        <v>1017</v>
      </c>
      <c r="G740" t="s">
        <v>1026</v>
      </c>
      <c r="H740" t="s">
        <v>1283</v>
      </c>
      <c r="I740" t="s">
        <v>1288</v>
      </c>
      <c r="J740" t="s">
        <v>1293</v>
      </c>
      <c r="K740" t="s">
        <v>1304</v>
      </c>
      <c r="L740" t="s">
        <v>1309</v>
      </c>
      <c r="M740" t="s">
        <v>1313</v>
      </c>
      <c r="N740">
        <v>1</v>
      </c>
      <c r="O740">
        <v>0.1</v>
      </c>
      <c r="P740">
        <v>1399.3</v>
      </c>
      <c r="Q740">
        <v>383.3</v>
      </c>
      <c r="R740" t="s">
        <v>1333</v>
      </c>
      <c r="S740" t="b">
        <f t="shared" si="44"/>
        <v>0</v>
      </c>
      <c r="T740" t="b">
        <f t="shared" si="45"/>
        <v>0</v>
      </c>
      <c r="U740" t="b">
        <f t="shared" si="46"/>
        <v>0</v>
      </c>
    </row>
    <row r="741" spans="1:21" x14ac:dyDescent="0.3">
      <c r="A741">
        <v>740</v>
      </c>
      <c r="B741" t="s">
        <v>756</v>
      </c>
      <c r="C741" s="2">
        <v>46022</v>
      </c>
      <c r="D741" s="2" t="str">
        <f t="shared" si="47"/>
        <v>Dec-2025</v>
      </c>
      <c r="E741" s="2">
        <v>46023</v>
      </c>
      <c r="F741" t="s">
        <v>1017</v>
      </c>
      <c r="G741" t="s">
        <v>1063</v>
      </c>
      <c r="H741" t="s">
        <v>1285</v>
      </c>
      <c r="I741" t="s">
        <v>1287</v>
      </c>
      <c r="J741" t="s">
        <v>1292</v>
      </c>
      <c r="K741" t="s">
        <v>1303</v>
      </c>
      <c r="L741" t="s">
        <v>1309</v>
      </c>
      <c r="M741" t="s">
        <v>1325</v>
      </c>
      <c r="N741">
        <v>1</v>
      </c>
      <c r="O741">
        <v>0.05</v>
      </c>
      <c r="P741">
        <v>1225.76</v>
      </c>
      <c r="Q741">
        <v>292.27999999999997</v>
      </c>
      <c r="R741" t="s">
        <v>1333</v>
      </c>
      <c r="S741" t="b">
        <f t="shared" si="44"/>
        <v>0</v>
      </c>
      <c r="T741" t="b">
        <f t="shared" si="45"/>
        <v>0</v>
      </c>
      <c r="U741" t="b">
        <f t="shared" si="46"/>
        <v>0</v>
      </c>
    </row>
    <row r="742" spans="1:21" x14ac:dyDescent="0.3">
      <c r="A742">
        <v>741</v>
      </c>
      <c r="B742" t="s">
        <v>757</v>
      </c>
      <c r="C742" s="2">
        <v>45960</v>
      </c>
      <c r="D742" s="2" t="str">
        <f t="shared" si="47"/>
        <v>Oct-2025</v>
      </c>
      <c r="E742" s="2">
        <v>45962</v>
      </c>
      <c r="F742" t="s">
        <v>1018</v>
      </c>
      <c r="G742" t="s">
        <v>1097</v>
      </c>
      <c r="H742" t="s">
        <v>1277</v>
      </c>
      <c r="I742" t="s">
        <v>1289</v>
      </c>
      <c r="J742" t="s">
        <v>1296</v>
      </c>
      <c r="K742" t="s">
        <v>1304</v>
      </c>
      <c r="L742" t="s">
        <v>1306</v>
      </c>
      <c r="M742" t="s">
        <v>1324</v>
      </c>
      <c r="N742">
        <v>2</v>
      </c>
      <c r="O742">
        <v>0.1</v>
      </c>
      <c r="P742">
        <v>160.34</v>
      </c>
      <c r="Q742">
        <v>33.33</v>
      </c>
      <c r="R742" t="s">
        <v>1332</v>
      </c>
      <c r="S742" t="b">
        <f t="shared" si="44"/>
        <v>0</v>
      </c>
      <c r="T742" t="b">
        <f t="shared" si="45"/>
        <v>0</v>
      </c>
      <c r="U742" t="b">
        <f t="shared" si="46"/>
        <v>0</v>
      </c>
    </row>
    <row r="743" spans="1:21" x14ac:dyDescent="0.3">
      <c r="A743">
        <v>742</v>
      </c>
      <c r="B743" t="s">
        <v>758</v>
      </c>
      <c r="C743" s="2">
        <v>45725</v>
      </c>
      <c r="D743" s="2" t="str">
        <f t="shared" si="47"/>
        <v>Mar-2025</v>
      </c>
      <c r="E743" s="2">
        <v>45730</v>
      </c>
      <c r="F743" t="s">
        <v>1017</v>
      </c>
      <c r="G743" t="s">
        <v>1148</v>
      </c>
      <c r="H743" t="s">
        <v>1277</v>
      </c>
      <c r="I743" t="s">
        <v>1288</v>
      </c>
      <c r="J743" t="s">
        <v>1300</v>
      </c>
      <c r="K743" t="s">
        <v>1305</v>
      </c>
      <c r="L743" t="s">
        <v>1308</v>
      </c>
      <c r="M743" t="s">
        <v>1326</v>
      </c>
      <c r="N743">
        <v>4</v>
      </c>
      <c r="O743">
        <v>0</v>
      </c>
      <c r="P743">
        <v>28526.83</v>
      </c>
      <c r="Q743">
        <v>7366.07</v>
      </c>
      <c r="R743" t="s">
        <v>1333</v>
      </c>
      <c r="S743" t="b">
        <f t="shared" si="44"/>
        <v>0</v>
      </c>
      <c r="T743" t="b">
        <f t="shared" si="45"/>
        <v>0</v>
      </c>
      <c r="U743" t="b">
        <f t="shared" si="46"/>
        <v>0</v>
      </c>
    </row>
    <row r="744" spans="1:21" x14ac:dyDescent="0.3">
      <c r="A744">
        <v>743</v>
      </c>
      <c r="B744" t="s">
        <v>759</v>
      </c>
      <c r="C744" s="2">
        <v>46019</v>
      </c>
      <c r="D744" s="2" t="str">
        <f t="shared" si="47"/>
        <v>Dec-2025</v>
      </c>
      <c r="E744" s="2">
        <v>46024</v>
      </c>
      <c r="F744" t="s">
        <v>1018</v>
      </c>
      <c r="G744" t="s">
        <v>1204</v>
      </c>
      <c r="H744" t="s">
        <v>1279</v>
      </c>
      <c r="I744" t="s">
        <v>1287</v>
      </c>
      <c r="J744" t="s">
        <v>1293</v>
      </c>
      <c r="K744" t="s">
        <v>1304</v>
      </c>
      <c r="L744" t="s">
        <v>1307</v>
      </c>
      <c r="M744" t="s">
        <v>1322</v>
      </c>
      <c r="N744">
        <v>4</v>
      </c>
      <c r="O744">
        <v>0.1</v>
      </c>
      <c r="P744">
        <v>2398.4699999999998</v>
      </c>
      <c r="Q744">
        <v>569.74</v>
      </c>
      <c r="R744" t="s">
        <v>1334</v>
      </c>
      <c r="S744" t="b">
        <f t="shared" si="44"/>
        <v>0</v>
      </c>
      <c r="T744" t="b">
        <f t="shared" si="45"/>
        <v>0</v>
      </c>
      <c r="U744" t="b">
        <f t="shared" si="46"/>
        <v>0</v>
      </c>
    </row>
    <row r="745" spans="1:21" x14ac:dyDescent="0.3">
      <c r="A745">
        <v>744</v>
      </c>
      <c r="B745" t="s">
        <v>760</v>
      </c>
      <c r="C745" s="2">
        <v>45725</v>
      </c>
      <c r="D745" s="2" t="str">
        <f t="shared" si="47"/>
        <v>Mar-2025</v>
      </c>
      <c r="E745" s="2">
        <v>45730</v>
      </c>
      <c r="F745" t="s">
        <v>1017</v>
      </c>
      <c r="G745" t="s">
        <v>1134</v>
      </c>
      <c r="H745" t="s">
        <v>1275</v>
      </c>
      <c r="I745" t="s">
        <v>1287</v>
      </c>
      <c r="J745" t="s">
        <v>1291</v>
      </c>
      <c r="K745" t="s">
        <v>1302</v>
      </c>
      <c r="L745" t="s">
        <v>1307</v>
      </c>
      <c r="M745" t="s">
        <v>1311</v>
      </c>
      <c r="N745">
        <v>2</v>
      </c>
      <c r="O745">
        <v>0.2</v>
      </c>
      <c r="P745">
        <v>469.33</v>
      </c>
      <c r="Q745">
        <v>20.100000000000001</v>
      </c>
      <c r="R745" t="s">
        <v>1333</v>
      </c>
      <c r="S745" t="b">
        <f t="shared" si="44"/>
        <v>0</v>
      </c>
      <c r="T745" t="b">
        <f t="shared" si="45"/>
        <v>0</v>
      </c>
      <c r="U745" t="b">
        <f t="shared" si="46"/>
        <v>0</v>
      </c>
    </row>
    <row r="746" spans="1:21" x14ac:dyDescent="0.3">
      <c r="A746">
        <v>745</v>
      </c>
      <c r="B746" t="s">
        <v>761</v>
      </c>
      <c r="C746" s="2">
        <v>45699</v>
      </c>
      <c r="D746" s="2" t="str">
        <f t="shared" si="47"/>
        <v>Feb-2025</v>
      </c>
      <c r="E746" s="2">
        <v>45700</v>
      </c>
      <c r="F746" t="s">
        <v>1017</v>
      </c>
      <c r="G746" t="s">
        <v>1073</v>
      </c>
      <c r="H746" t="s">
        <v>1274</v>
      </c>
      <c r="I746" t="s">
        <v>1287</v>
      </c>
      <c r="J746" t="s">
        <v>1300</v>
      </c>
      <c r="K746" t="s">
        <v>1305</v>
      </c>
      <c r="L746" t="s">
        <v>1309</v>
      </c>
      <c r="M746" t="s">
        <v>1329</v>
      </c>
      <c r="N746">
        <v>1</v>
      </c>
      <c r="O746">
        <v>0.1</v>
      </c>
      <c r="P746">
        <v>1715.07</v>
      </c>
      <c r="Q746">
        <v>405.33</v>
      </c>
      <c r="R746" t="s">
        <v>1331</v>
      </c>
      <c r="S746" t="b">
        <f t="shared" si="44"/>
        <v>0</v>
      </c>
      <c r="T746" t="b">
        <f t="shared" si="45"/>
        <v>0</v>
      </c>
      <c r="U746" t="b">
        <f t="shared" si="46"/>
        <v>0</v>
      </c>
    </row>
    <row r="747" spans="1:21" x14ac:dyDescent="0.3">
      <c r="A747">
        <v>746</v>
      </c>
      <c r="B747" t="s">
        <v>762</v>
      </c>
      <c r="C747" s="2">
        <v>45964</v>
      </c>
      <c r="D747" s="2" t="str">
        <f t="shared" si="47"/>
        <v>Nov-2025</v>
      </c>
      <c r="E747" s="2">
        <v>45969</v>
      </c>
      <c r="F747" t="s">
        <v>1017</v>
      </c>
      <c r="G747" t="s">
        <v>1105</v>
      </c>
      <c r="H747" t="s">
        <v>1275</v>
      </c>
      <c r="I747" t="s">
        <v>1288</v>
      </c>
      <c r="J747" t="s">
        <v>1298</v>
      </c>
      <c r="K747" t="s">
        <v>1303</v>
      </c>
      <c r="L747" t="s">
        <v>1307</v>
      </c>
      <c r="M747" t="s">
        <v>1316</v>
      </c>
      <c r="N747">
        <v>2</v>
      </c>
      <c r="O747">
        <v>0.1</v>
      </c>
      <c r="P747">
        <v>853.81</v>
      </c>
      <c r="Q747">
        <v>149.36000000000001</v>
      </c>
      <c r="R747" t="s">
        <v>1333</v>
      </c>
      <c r="S747" t="b">
        <f t="shared" si="44"/>
        <v>0</v>
      </c>
      <c r="T747" t="b">
        <f t="shared" si="45"/>
        <v>0</v>
      </c>
      <c r="U747" t="b">
        <f t="shared" si="46"/>
        <v>0</v>
      </c>
    </row>
    <row r="748" spans="1:21" x14ac:dyDescent="0.3">
      <c r="A748">
        <v>747</v>
      </c>
      <c r="B748" t="s">
        <v>763</v>
      </c>
      <c r="C748" s="2">
        <v>45704</v>
      </c>
      <c r="D748" s="2" t="str">
        <f t="shared" si="47"/>
        <v>Feb-2025</v>
      </c>
      <c r="E748" s="2">
        <v>45708</v>
      </c>
      <c r="F748" t="s">
        <v>1018</v>
      </c>
      <c r="G748" t="s">
        <v>1169</v>
      </c>
      <c r="H748" t="s">
        <v>1286</v>
      </c>
      <c r="I748" t="s">
        <v>1287</v>
      </c>
      <c r="J748" t="s">
        <v>1298</v>
      </c>
      <c r="K748" t="s">
        <v>1303</v>
      </c>
      <c r="L748" t="s">
        <v>1307</v>
      </c>
      <c r="M748" t="s">
        <v>1315</v>
      </c>
      <c r="N748">
        <v>1</v>
      </c>
      <c r="O748">
        <v>0.25</v>
      </c>
      <c r="P748">
        <v>1283.9000000000001</v>
      </c>
      <c r="Q748">
        <v>-167.48</v>
      </c>
      <c r="R748" t="s">
        <v>1332</v>
      </c>
      <c r="S748" t="b">
        <f t="shared" si="44"/>
        <v>0</v>
      </c>
      <c r="T748" t="b">
        <f t="shared" si="45"/>
        <v>0</v>
      </c>
      <c r="U748" t="b">
        <f t="shared" si="46"/>
        <v>0</v>
      </c>
    </row>
    <row r="749" spans="1:21" x14ac:dyDescent="0.3">
      <c r="A749">
        <v>748</v>
      </c>
      <c r="B749" t="s">
        <v>764</v>
      </c>
      <c r="C749" s="2">
        <v>45949</v>
      </c>
      <c r="D749" s="2" t="str">
        <f t="shared" si="47"/>
        <v>Oct-2025</v>
      </c>
      <c r="E749" s="2">
        <v>45952</v>
      </c>
      <c r="F749" t="s">
        <v>1018</v>
      </c>
      <c r="G749" t="s">
        <v>1040</v>
      </c>
      <c r="H749" t="s">
        <v>1272</v>
      </c>
      <c r="I749" t="s">
        <v>1287</v>
      </c>
      <c r="J749" t="s">
        <v>1299</v>
      </c>
      <c r="K749" t="s">
        <v>1304</v>
      </c>
      <c r="L749" t="s">
        <v>1307</v>
      </c>
      <c r="M749" t="s">
        <v>1322</v>
      </c>
      <c r="N749">
        <v>2</v>
      </c>
      <c r="O749">
        <v>0.2</v>
      </c>
      <c r="P749">
        <v>1107.7</v>
      </c>
      <c r="Q749">
        <v>195.65</v>
      </c>
      <c r="R749" t="s">
        <v>1331</v>
      </c>
      <c r="S749" t="b">
        <f t="shared" si="44"/>
        <v>0</v>
      </c>
      <c r="T749" t="b">
        <f t="shared" si="45"/>
        <v>0</v>
      </c>
      <c r="U749" t="b">
        <f t="shared" si="46"/>
        <v>0</v>
      </c>
    </row>
    <row r="750" spans="1:21" x14ac:dyDescent="0.3">
      <c r="A750">
        <v>749</v>
      </c>
      <c r="B750" t="s">
        <v>765</v>
      </c>
      <c r="C750" s="2">
        <v>45681</v>
      </c>
      <c r="D750" s="2" t="str">
        <f t="shared" si="47"/>
        <v>Jan-2025</v>
      </c>
      <c r="E750" s="2">
        <v>45684</v>
      </c>
      <c r="F750" t="s">
        <v>1017</v>
      </c>
      <c r="G750" t="s">
        <v>1196</v>
      </c>
      <c r="H750" t="s">
        <v>1270</v>
      </c>
      <c r="I750" t="s">
        <v>1288</v>
      </c>
      <c r="J750" t="s">
        <v>1296</v>
      </c>
      <c r="K750" t="s">
        <v>1304</v>
      </c>
      <c r="L750" t="s">
        <v>1308</v>
      </c>
      <c r="M750" t="s">
        <v>1318</v>
      </c>
      <c r="N750">
        <v>2</v>
      </c>
      <c r="O750">
        <v>0.1</v>
      </c>
      <c r="P750">
        <v>10304.81</v>
      </c>
      <c r="Q750">
        <v>1623.97</v>
      </c>
      <c r="R750" t="s">
        <v>1333</v>
      </c>
      <c r="S750" t="b">
        <f t="shared" si="44"/>
        <v>0</v>
      </c>
      <c r="T750" t="b">
        <f t="shared" si="45"/>
        <v>0</v>
      </c>
      <c r="U750" t="b">
        <f t="shared" si="46"/>
        <v>0</v>
      </c>
    </row>
    <row r="751" spans="1:21" x14ac:dyDescent="0.3">
      <c r="A751">
        <v>750</v>
      </c>
      <c r="B751" t="s">
        <v>766</v>
      </c>
      <c r="C751" s="2">
        <v>45913</v>
      </c>
      <c r="D751" s="2" t="str">
        <f t="shared" si="47"/>
        <v>Sep-2025</v>
      </c>
      <c r="E751" s="2">
        <v>45917</v>
      </c>
      <c r="F751" t="s">
        <v>1017</v>
      </c>
      <c r="G751" t="s">
        <v>1233</v>
      </c>
      <c r="H751" t="s">
        <v>1268</v>
      </c>
      <c r="I751" t="s">
        <v>1287</v>
      </c>
      <c r="J751" t="s">
        <v>1296</v>
      </c>
      <c r="K751" t="s">
        <v>1304</v>
      </c>
      <c r="L751" t="s">
        <v>1309</v>
      </c>
      <c r="M751" t="s">
        <v>1329</v>
      </c>
      <c r="N751">
        <v>2</v>
      </c>
      <c r="O751">
        <v>0.1</v>
      </c>
      <c r="P751">
        <v>3334.83</v>
      </c>
      <c r="Q751">
        <v>888.66</v>
      </c>
      <c r="R751" t="s">
        <v>1332</v>
      </c>
      <c r="S751" t="b">
        <f t="shared" si="44"/>
        <v>0</v>
      </c>
      <c r="T751" t="b">
        <f t="shared" si="45"/>
        <v>0</v>
      </c>
      <c r="U751" t="b">
        <f t="shared" si="46"/>
        <v>0</v>
      </c>
    </row>
    <row r="752" spans="1:21" x14ac:dyDescent="0.3">
      <c r="A752">
        <v>751</v>
      </c>
      <c r="B752" t="s">
        <v>767</v>
      </c>
      <c r="C752" s="2">
        <v>45893</v>
      </c>
      <c r="D752" s="2" t="str">
        <f t="shared" si="47"/>
        <v>Aug-2025</v>
      </c>
      <c r="E752" s="2">
        <v>45895</v>
      </c>
      <c r="F752" t="s">
        <v>1018</v>
      </c>
      <c r="G752" t="s">
        <v>1122</v>
      </c>
      <c r="H752" t="s">
        <v>1284</v>
      </c>
      <c r="I752" t="s">
        <v>1289</v>
      </c>
      <c r="J752" t="s">
        <v>1290</v>
      </c>
      <c r="K752" t="s">
        <v>1302</v>
      </c>
      <c r="L752" t="s">
        <v>1309</v>
      </c>
      <c r="M752" t="s">
        <v>1313</v>
      </c>
      <c r="N752">
        <v>1</v>
      </c>
      <c r="O752">
        <v>0</v>
      </c>
      <c r="P752">
        <v>1528.3</v>
      </c>
      <c r="Q752">
        <v>389.47</v>
      </c>
      <c r="R752" t="s">
        <v>1333</v>
      </c>
      <c r="S752" t="b">
        <f t="shared" si="44"/>
        <v>0</v>
      </c>
      <c r="T752" t="b">
        <f t="shared" si="45"/>
        <v>0</v>
      </c>
      <c r="U752" t="b">
        <f t="shared" si="46"/>
        <v>0</v>
      </c>
    </row>
    <row r="753" spans="1:21" x14ac:dyDescent="0.3">
      <c r="A753">
        <v>752</v>
      </c>
      <c r="B753" t="s">
        <v>768</v>
      </c>
      <c r="C753" s="2">
        <v>45936</v>
      </c>
      <c r="D753" s="2" t="str">
        <f t="shared" si="47"/>
        <v>Oct-2025</v>
      </c>
      <c r="E753" s="2">
        <v>45940</v>
      </c>
      <c r="F753" t="s">
        <v>1018</v>
      </c>
      <c r="G753" t="s">
        <v>1210</v>
      </c>
      <c r="H753" t="s">
        <v>1272</v>
      </c>
      <c r="I753" t="s">
        <v>1289</v>
      </c>
      <c r="J753" t="s">
        <v>1294</v>
      </c>
      <c r="K753" t="s">
        <v>1305</v>
      </c>
      <c r="L753" t="s">
        <v>1306</v>
      </c>
      <c r="M753" t="s">
        <v>1310</v>
      </c>
      <c r="N753">
        <v>4</v>
      </c>
      <c r="O753">
        <v>0.1</v>
      </c>
      <c r="P753">
        <v>2273.61</v>
      </c>
      <c r="Q753">
        <v>241.87</v>
      </c>
      <c r="R753" t="s">
        <v>1331</v>
      </c>
      <c r="S753" t="b">
        <f t="shared" si="44"/>
        <v>0</v>
      </c>
      <c r="T753" t="b">
        <f t="shared" si="45"/>
        <v>0</v>
      </c>
      <c r="U753" t="b">
        <f t="shared" si="46"/>
        <v>0</v>
      </c>
    </row>
    <row r="754" spans="1:21" x14ac:dyDescent="0.3">
      <c r="A754">
        <v>753</v>
      </c>
      <c r="B754" t="s">
        <v>769</v>
      </c>
      <c r="C754" s="2">
        <v>45785</v>
      </c>
      <c r="D754" s="2" t="str">
        <f t="shared" si="47"/>
        <v>May-2025</v>
      </c>
      <c r="E754" s="2">
        <v>45788</v>
      </c>
      <c r="F754" t="s">
        <v>1017</v>
      </c>
      <c r="G754" t="s">
        <v>1022</v>
      </c>
      <c r="H754" t="s">
        <v>1269</v>
      </c>
      <c r="I754" t="s">
        <v>1287</v>
      </c>
      <c r="J754" t="s">
        <v>1290</v>
      </c>
      <c r="K754" t="s">
        <v>1302</v>
      </c>
      <c r="L754" t="s">
        <v>1309</v>
      </c>
      <c r="M754" t="s">
        <v>1320</v>
      </c>
      <c r="N754">
        <v>3</v>
      </c>
      <c r="O754">
        <v>0.1</v>
      </c>
      <c r="P754">
        <v>3171.4</v>
      </c>
      <c r="Q754">
        <v>739.73</v>
      </c>
      <c r="R754" t="s">
        <v>1333</v>
      </c>
      <c r="S754" t="b">
        <f t="shared" si="44"/>
        <v>0</v>
      </c>
      <c r="T754" t="b">
        <f t="shared" si="45"/>
        <v>0</v>
      </c>
      <c r="U754" t="b">
        <f t="shared" si="46"/>
        <v>0</v>
      </c>
    </row>
    <row r="755" spans="1:21" x14ac:dyDescent="0.3">
      <c r="A755">
        <v>754</v>
      </c>
      <c r="B755" t="s">
        <v>770</v>
      </c>
      <c r="C755" s="2">
        <v>45905</v>
      </c>
      <c r="D755" s="2" t="str">
        <f t="shared" si="47"/>
        <v>Sep-2025</v>
      </c>
      <c r="E755" s="2">
        <v>45906</v>
      </c>
      <c r="F755" t="s">
        <v>1017</v>
      </c>
      <c r="G755" t="s">
        <v>1210</v>
      </c>
      <c r="H755" t="s">
        <v>1273</v>
      </c>
      <c r="I755" t="s">
        <v>1288</v>
      </c>
      <c r="J755" t="s">
        <v>1300</v>
      </c>
      <c r="K755" t="s">
        <v>1305</v>
      </c>
      <c r="L755" t="s">
        <v>1308</v>
      </c>
      <c r="M755" t="s">
        <v>1327</v>
      </c>
      <c r="N755">
        <v>1</v>
      </c>
      <c r="O755">
        <v>0.05</v>
      </c>
      <c r="P755">
        <v>1627.65</v>
      </c>
      <c r="Q755">
        <v>483.56</v>
      </c>
      <c r="R755" t="s">
        <v>1331</v>
      </c>
      <c r="S755" t="b">
        <f t="shared" si="44"/>
        <v>0</v>
      </c>
      <c r="T755" t="b">
        <f t="shared" si="45"/>
        <v>0</v>
      </c>
      <c r="U755" t="b">
        <f t="shared" si="46"/>
        <v>0</v>
      </c>
    </row>
    <row r="756" spans="1:21" x14ac:dyDescent="0.3">
      <c r="A756">
        <v>755</v>
      </c>
      <c r="B756" t="s">
        <v>771</v>
      </c>
      <c r="C756" s="2">
        <v>45885</v>
      </c>
      <c r="D756" s="2" t="str">
        <f t="shared" si="47"/>
        <v>Aug-2025</v>
      </c>
      <c r="E756" s="2">
        <v>45887</v>
      </c>
      <c r="F756" t="s">
        <v>1017</v>
      </c>
      <c r="G756" t="s">
        <v>1258</v>
      </c>
      <c r="H756" t="s">
        <v>1268</v>
      </c>
      <c r="I756" t="s">
        <v>1289</v>
      </c>
      <c r="J756" t="s">
        <v>1297</v>
      </c>
      <c r="K756" t="s">
        <v>1304</v>
      </c>
      <c r="L756" t="s">
        <v>1307</v>
      </c>
      <c r="M756" t="s">
        <v>1314</v>
      </c>
      <c r="N756">
        <v>3</v>
      </c>
      <c r="O756">
        <v>0.1</v>
      </c>
      <c r="P756">
        <v>2430.2199999999998</v>
      </c>
      <c r="Q756">
        <v>462.03</v>
      </c>
      <c r="R756" t="s">
        <v>1330</v>
      </c>
      <c r="S756" t="b">
        <f t="shared" si="44"/>
        <v>0</v>
      </c>
      <c r="T756" t="b">
        <f t="shared" si="45"/>
        <v>0</v>
      </c>
      <c r="U756" t="b">
        <f t="shared" si="46"/>
        <v>0</v>
      </c>
    </row>
    <row r="757" spans="1:21" x14ac:dyDescent="0.3">
      <c r="A757">
        <v>756</v>
      </c>
      <c r="B757" t="s">
        <v>772</v>
      </c>
      <c r="C757" s="2">
        <v>45816</v>
      </c>
      <c r="D757" s="2" t="str">
        <f t="shared" si="47"/>
        <v>Jun-2025</v>
      </c>
      <c r="E757" s="2">
        <v>45821</v>
      </c>
      <c r="F757" t="s">
        <v>1018</v>
      </c>
      <c r="G757" t="s">
        <v>1218</v>
      </c>
      <c r="H757" t="s">
        <v>1278</v>
      </c>
      <c r="I757" t="s">
        <v>1288</v>
      </c>
      <c r="J757" t="s">
        <v>1291</v>
      </c>
      <c r="K757" t="s">
        <v>1302</v>
      </c>
      <c r="L757" t="s">
        <v>1307</v>
      </c>
      <c r="M757" t="s">
        <v>1322</v>
      </c>
      <c r="N757">
        <v>1</v>
      </c>
      <c r="O757">
        <v>0.05</v>
      </c>
      <c r="P757">
        <v>687.06</v>
      </c>
      <c r="Q757">
        <v>183.06</v>
      </c>
      <c r="R757" t="s">
        <v>1331</v>
      </c>
      <c r="S757" t="b">
        <f t="shared" si="44"/>
        <v>0</v>
      </c>
      <c r="T757" t="b">
        <f t="shared" si="45"/>
        <v>0</v>
      </c>
      <c r="U757" t="b">
        <f t="shared" si="46"/>
        <v>0</v>
      </c>
    </row>
    <row r="758" spans="1:21" x14ac:dyDescent="0.3">
      <c r="A758">
        <v>757</v>
      </c>
      <c r="B758" t="s">
        <v>773</v>
      </c>
      <c r="C758" s="2">
        <v>45955</v>
      </c>
      <c r="D758" s="2" t="str">
        <f t="shared" si="47"/>
        <v>Oct-2025</v>
      </c>
      <c r="E758" s="2">
        <v>45959</v>
      </c>
      <c r="F758" t="s">
        <v>1018</v>
      </c>
      <c r="G758" t="s">
        <v>1151</v>
      </c>
      <c r="H758" t="s">
        <v>1280</v>
      </c>
      <c r="I758" t="s">
        <v>1288</v>
      </c>
      <c r="J758" t="s">
        <v>1301</v>
      </c>
      <c r="K758" t="s">
        <v>1303</v>
      </c>
      <c r="L758" t="s">
        <v>1306</v>
      </c>
      <c r="M758" t="s">
        <v>1310</v>
      </c>
      <c r="N758">
        <v>3</v>
      </c>
      <c r="O758">
        <v>0.1</v>
      </c>
      <c r="P758">
        <v>1772.93</v>
      </c>
      <c r="Q758">
        <v>371.65</v>
      </c>
      <c r="R758" t="s">
        <v>1331</v>
      </c>
      <c r="S758" t="b">
        <f t="shared" si="44"/>
        <v>0</v>
      </c>
      <c r="T758" t="b">
        <f t="shared" si="45"/>
        <v>0</v>
      </c>
      <c r="U758" t="b">
        <f t="shared" si="46"/>
        <v>0</v>
      </c>
    </row>
    <row r="759" spans="1:21" x14ac:dyDescent="0.3">
      <c r="A759">
        <v>758</v>
      </c>
      <c r="B759" t="s">
        <v>774</v>
      </c>
      <c r="C759" s="2">
        <v>45738</v>
      </c>
      <c r="D759" s="2" t="str">
        <f t="shared" si="47"/>
        <v>Mar-2025</v>
      </c>
      <c r="E759" s="2">
        <v>45741</v>
      </c>
      <c r="F759" t="s">
        <v>1018</v>
      </c>
      <c r="G759" t="s">
        <v>1168</v>
      </c>
      <c r="H759" t="s">
        <v>1271</v>
      </c>
      <c r="I759" t="s">
        <v>1288</v>
      </c>
      <c r="J759" t="s">
        <v>1298</v>
      </c>
      <c r="K759" t="s">
        <v>1303</v>
      </c>
      <c r="L759" t="s">
        <v>1307</v>
      </c>
      <c r="M759" t="s">
        <v>1311</v>
      </c>
      <c r="N759">
        <v>2</v>
      </c>
      <c r="O759">
        <v>0</v>
      </c>
      <c r="P759">
        <v>580.54</v>
      </c>
      <c r="Q759">
        <v>169.39</v>
      </c>
      <c r="R759" t="s">
        <v>1333</v>
      </c>
      <c r="S759" t="b">
        <f t="shared" si="44"/>
        <v>0</v>
      </c>
      <c r="T759" t="b">
        <f t="shared" si="45"/>
        <v>0</v>
      </c>
      <c r="U759" t="b">
        <f t="shared" si="46"/>
        <v>0</v>
      </c>
    </row>
    <row r="760" spans="1:21" x14ac:dyDescent="0.3">
      <c r="A760">
        <v>759</v>
      </c>
      <c r="B760" t="s">
        <v>775</v>
      </c>
      <c r="C760" s="2">
        <v>45774</v>
      </c>
      <c r="D760" s="2" t="str">
        <f t="shared" si="47"/>
        <v>Apr-2025</v>
      </c>
      <c r="E760" s="2">
        <v>45776</v>
      </c>
      <c r="F760" t="s">
        <v>1018</v>
      </c>
      <c r="G760" t="s">
        <v>1031</v>
      </c>
      <c r="H760" t="s">
        <v>1279</v>
      </c>
      <c r="I760" t="s">
        <v>1288</v>
      </c>
      <c r="J760" t="s">
        <v>1298</v>
      </c>
      <c r="K760" t="s">
        <v>1303</v>
      </c>
      <c r="L760" t="s">
        <v>1308</v>
      </c>
      <c r="M760" t="s">
        <v>1318</v>
      </c>
      <c r="N760">
        <v>1</v>
      </c>
      <c r="O760">
        <v>0.1</v>
      </c>
      <c r="P760">
        <v>5045.74</v>
      </c>
      <c r="Q760">
        <v>1258.19</v>
      </c>
      <c r="R760" t="s">
        <v>1331</v>
      </c>
      <c r="S760" t="b">
        <f t="shared" si="44"/>
        <v>0</v>
      </c>
      <c r="T760" t="b">
        <f t="shared" si="45"/>
        <v>0</v>
      </c>
      <c r="U760" t="b">
        <f t="shared" si="46"/>
        <v>0</v>
      </c>
    </row>
    <row r="761" spans="1:21" x14ac:dyDescent="0.3">
      <c r="A761">
        <v>760</v>
      </c>
      <c r="B761" t="s">
        <v>776</v>
      </c>
      <c r="C761" s="2">
        <v>45708</v>
      </c>
      <c r="D761" s="2" t="str">
        <f t="shared" si="47"/>
        <v>Feb-2025</v>
      </c>
      <c r="E761" s="2">
        <v>45711</v>
      </c>
      <c r="F761" t="s">
        <v>1017</v>
      </c>
      <c r="G761" t="s">
        <v>1148</v>
      </c>
      <c r="H761" t="s">
        <v>1279</v>
      </c>
      <c r="I761" t="s">
        <v>1289</v>
      </c>
      <c r="J761" t="s">
        <v>1299</v>
      </c>
      <c r="K761" t="s">
        <v>1304</v>
      </c>
      <c r="L761" t="s">
        <v>1307</v>
      </c>
      <c r="M761" t="s">
        <v>1314</v>
      </c>
      <c r="N761">
        <v>1</v>
      </c>
      <c r="O761">
        <v>0.05</v>
      </c>
      <c r="P761">
        <v>841.05</v>
      </c>
      <c r="Q761">
        <v>126.09</v>
      </c>
      <c r="R761" t="s">
        <v>1331</v>
      </c>
      <c r="S761" t="b">
        <f t="shared" si="44"/>
        <v>0</v>
      </c>
      <c r="T761" t="b">
        <f t="shared" si="45"/>
        <v>0</v>
      </c>
      <c r="U761" t="b">
        <f t="shared" si="46"/>
        <v>0</v>
      </c>
    </row>
    <row r="762" spans="1:21" x14ac:dyDescent="0.3">
      <c r="A762">
        <v>761</v>
      </c>
      <c r="B762" t="s">
        <v>777</v>
      </c>
      <c r="C762" s="2">
        <v>45951</v>
      </c>
      <c r="D762" s="2" t="str">
        <f t="shared" si="47"/>
        <v>Oct-2025</v>
      </c>
      <c r="E762" s="2">
        <v>45956</v>
      </c>
      <c r="F762" t="s">
        <v>1017</v>
      </c>
      <c r="G762" t="s">
        <v>1168</v>
      </c>
      <c r="H762" t="s">
        <v>1278</v>
      </c>
      <c r="I762" t="s">
        <v>1289</v>
      </c>
      <c r="J762" t="s">
        <v>1295</v>
      </c>
      <c r="K762" t="s">
        <v>1305</v>
      </c>
      <c r="L762" t="s">
        <v>1307</v>
      </c>
      <c r="M762" t="s">
        <v>1316</v>
      </c>
      <c r="N762">
        <v>2</v>
      </c>
      <c r="O762">
        <v>0.2</v>
      </c>
      <c r="P762">
        <v>773.97</v>
      </c>
      <c r="Q762">
        <v>98.35</v>
      </c>
      <c r="R762" t="s">
        <v>1332</v>
      </c>
      <c r="S762" t="b">
        <f t="shared" si="44"/>
        <v>0</v>
      </c>
      <c r="T762" t="b">
        <f t="shared" si="45"/>
        <v>0</v>
      </c>
      <c r="U762" t="b">
        <f t="shared" si="46"/>
        <v>0</v>
      </c>
    </row>
    <row r="763" spans="1:21" x14ac:dyDescent="0.3">
      <c r="A763">
        <v>762</v>
      </c>
      <c r="B763" t="s">
        <v>778</v>
      </c>
      <c r="C763" s="2">
        <v>45939</v>
      </c>
      <c r="D763" s="2" t="str">
        <f t="shared" si="47"/>
        <v>Oct-2025</v>
      </c>
      <c r="E763" s="2">
        <v>45943</v>
      </c>
      <c r="F763" t="s">
        <v>1018</v>
      </c>
      <c r="G763" t="s">
        <v>1133</v>
      </c>
      <c r="H763" t="s">
        <v>1275</v>
      </c>
      <c r="I763" t="s">
        <v>1287</v>
      </c>
      <c r="J763" t="s">
        <v>1300</v>
      </c>
      <c r="K763" t="s">
        <v>1305</v>
      </c>
      <c r="L763" t="s">
        <v>1308</v>
      </c>
      <c r="M763" t="s">
        <v>1326</v>
      </c>
      <c r="N763">
        <v>4</v>
      </c>
      <c r="O763">
        <v>0</v>
      </c>
      <c r="P763">
        <v>28542.81</v>
      </c>
      <c r="Q763">
        <v>8892.7099999999991</v>
      </c>
      <c r="R763" t="s">
        <v>1330</v>
      </c>
      <c r="S763" t="b">
        <f t="shared" si="44"/>
        <v>0</v>
      </c>
      <c r="T763" t="b">
        <f t="shared" si="45"/>
        <v>0</v>
      </c>
      <c r="U763" t="b">
        <f t="shared" si="46"/>
        <v>0</v>
      </c>
    </row>
    <row r="764" spans="1:21" x14ac:dyDescent="0.3">
      <c r="A764">
        <v>763</v>
      </c>
      <c r="B764" t="s">
        <v>779</v>
      </c>
      <c r="C764" s="2">
        <v>45724</v>
      </c>
      <c r="D764" s="2" t="str">
        <f t="shared" si="47"/>
        <v>Mar-2025</v>
      </c>
      <c r="E764" s="2">
        <v>45729</v>
      </c>
      <c r="F764" t="s">
        <v>1019</v>
      </c>
      <c r="G764" t="s">
        <v>1147</v>
      </c>
      <c r="H764" t="s">
        <v>1274</v>
      </c>
      <c r="I764" t="s">
        <v>1287</v>
      </c>
      <c r="J764" t="s">
        <v>1292</v>
      </c>
      <c r="K764" t="s">
        <v>1303</v>
      </c>
      <c r="L764" t="s">
        <v>1308</v>
      </c>
      <c r="M764" t="s">
        <v>1326</v>
      </c>
      <c r="N764">
        <v>4</v>
      </c>
      <c r="O764">
        <v>0.2</v>
      </c>
      <c r="P764">
        <v>22312.01</v>
      </c>
      <c r="Q764">
        <v>1879.72</v>
      </c>
      <c r="R764" t="s">
        <v>1331</v>
      </c>
      <c r="S764" t="b">
        <f t="shared" si="44"/>
        <v>0</v>
      </c>
      <c r="T764" t="b">
        <f t="shared" si="45"/>
        <v>0</v>
      </c>
      <c r="U764" t="b">
        <f t="shared" si="46"/>
        <v>0</v>
      </c>
    </row>
    <row r="765" spans="1:21" x14ac:dyDescent="0.3">
      <c r="A765">
        <v>764</v>
      </c>
      <c r="B765" t="s">
        <v>780</v>
      </c>
      <c r="C765" s="2">
        <v>45848</v>
      </c>
      <c r="D765" s="2" t="str">
        <f t="shared" si="47"/>
        <v>Jul-2025</v>
      </c>
      <c r="E765" s="2">
        <v>45849</v>
      </c>
      <c r="F765" t="s">
        <v>1017</v>
      </c>
      <c r="G765" t="s">
        <v>1239</v>
      </c>
      <c r="H765" t="s">
        <v>1283</v>
      </c>
      <c r="I765" t="s">
        <v>1287</v>
      </c>
      <c r="J765" t="s">
        <v>1295</v>
      </c>
      <c r="K765" t="s">
        <v>1305</v>
      </c>
      <c r="L765" t="s">
        <v>1306</v>
      </c>
      <c r="M765" t="s">
        <v>1321</v>
      </c>
      <c r="N765">
        <v>1</v>
      </c>
      <c r="O765">
        <v>0.2</v>
      </c>
      <c r="P765">
        <v>353.24</v>
      </c>
      <c r="Q765">
        <v>73.11</v>
      </c>
      <c r="R765" t="s">
        <v>1333</v>
      </c>
      <c r="S765" t="b">
        <f t="shared" si="44"/>
        <v>0</v>
      </c>
      <c r="T765" t="b">
        <f t="shared" si="45"/>
        <v>0</v>
      </c>
      <c r="U765" t="b">
        <f t="shared" si="46"/>
        <v>0</v>
      </c>
    </row>
    <row r="766" spans="1:21" x14ac:dyDescent="0.3">
      <c r="A766">
        <v>765</v>
      </c>
      <c r="B766" t="s">
        <v>781</v>
      </c>
      <c r="C766" s="2">
        <v>45686</v>
      </c>
      <c r="D766" s="2" t="str">
        <f t="shared" si="47"/>
        <v>Jan-2025</v>
      </c>
      <c r="E766" s="2">
        <v>45691</v>
      </c>
      <c r="F766" t="s">
        <v>1017</v>
      </c>
      <c r="G766" t="s">
        <v>1023</v>
      </c>
      <c r="H766" t="s">
        <v>1280</v>
      </c>
      <c r="I766" t="s">
        <v>1287</v>
      </c>
      <c r="J766" t="s">
        <v>1297</v>
      </c>
      <c r="K766" t="s">
        <v>1304</v>
      </c>
      <c r="L766" t="s">
        <v>1309</v>
      </c>
      <c r="M766" t="s">
        <v>1317</v>
      </c>
      <c r="N766">
        <v>3</v>
      </c>
      <c r="O766">
        <v>0</v>
      </c>
      <c r="P766">
        <v>2430.89</v>
      </c>
      <c r="Q766">
        <v>575.54999999999995</v>
      </c>
      <c r="R766" t="s">
        <v>1331</v>
      </c>
      <c r="S766" t="b">
        <f t="shared" si="44"/>
        <v>0</v>
      </c>
      <c r="T766" t="b">
        <f t="shared" si="45"/>
        <v>0</v>
      </c>
      <c r="U766" t="b">
        <f t="shared" si="46"/>
        <v>0</v>
      </c>
    </row>
    <row r="767" spans="1:21" x14ac:dyDescent="0.3">
      <c r="A767">
        <v>766</v>
      </c>
      <c r="B767" t="s">
        <v>782</v>
      </c>
      <c r="C767" s="2">
        <v>45813</v>
      </c>
      <c r="D767" s="2" t="str">
        <f t="shared" si="47"/>
        <v>Jun-2025</v>
      </c>
      <c r="E767" s="2">
        <v>45815</v>
      </c>
      <c r="F767" t="s">
        <v>1019</v>
      </c>
      <c r="G767" t="s">
        <v>1164</v>
      </c>
      <c r="H767" t="s">
        <v>1281</v>
      </c>
      <c r="I767" t="s">
        <v>1289</v>
      </c>
      <c r="J767" t="s">
        <v>1294</v>
      </c>
      <c r="K767" t="s">
        <v>1305</v>
      </c>
      <c r="L767" t="s">
        <v>1308</v>
      </c>
      <c r="M767" t="s">
        <v>1318</v>
      </c>
      <c r="N767">
        <v>3</v>
      </c>
      <c r="O767">
        <v>0.05</v>
      </c>
      <c r="P767">
        <v>14981.81</v>
      </c>
      <c r="Q767">
        <v>3851.85</v>
      </c>
      <c r="R767" t="s">
        <v>1331</v>
      </c>
      <c r="S767" t="b">
        <f t="shared" si="44"/>
        <v>0</v>
      </c>
      <c r="T767" t="b">
        <f t="shared" si="45"/>
        <v>0</v>
      </c>
      <c r="U767" t="b">
        <f t="shared" si="46"/>
        <v>0</v>
      </c>
    </row>
    <row r="768" spans="1:21" x14ac:dyDescent="0.3">
      <c r="A768">
        <v>767</v>
      </c>
      <c r="B768" t="s">
        <v>783</v>
      </c>
      <c r="C768" s="2">
        <v>45663</v>
      </c>
      <c r="D768" s="2" t="str">
        <f t="shared" si="47"/>
        <v>Jan-2025</v>
      </c>
      <c r="E768" s="2">
        <v>45665</v>
      </c>
      <c r="F768" t="s">
        <v>1019</v>
      </c>
      <c r="G768" t="s">
        <v>1140</v>
      </c>
      <c r="H768" t="s">
        <v>1271</v>
      </c>
      <c r="I768" t="s">
        <v>1288</v>
      </c>
      <c r="J768" t="s">
        <v>1291</v>
      </c>
      <c r="K768" t="s">
        <v>1302</v>
      </c>
      <c r="L768" t="s">
        <v>1308</v>
      </c>
      <c r="M768" t="s">
        <v>1312</v>
      </c>
      <c r="N768">
        <v>1</v>
      </c>
      <c r="O768">
        <v>0.15</v>
      </c>
      <c r="P768">
        <v>1127.8</v>
      </c>
      <c r="Q768">
        <v>304.36</v>
      </c>
      <c r="R768" t="s">
        <v>1333</v>
      </c>
      <c r="S768" t="b">
        <f t="shared" si="44"/>
        <v>0</v>
      </c>
      <c r="T768" t="b">
        <f t="shared" si="45"/>
        <v>0</v>
      </c>
      <c r="U768" t="b">
        <f t="shared" si="46"/>
        <v>0</v>
      </c>
    </row>
    <row r="769" spans="1:21" x14ac:dyDescent="0.3">
      <c r="A769">
        <v>768</v>
      </c>
      <c r="B769" t="s">
        <v>784</v>
      </c>
      <c r="C769" s="2">
        <v>45807</v>
      </c>
      <c r="D769" s="2" t="str">
        <f t="shared" si="47"/>
        <v>May-2025</v>
      </c>
      <c r="E769" s="2">
        <v>45810</v>
      </c>
      <c r="F769" t="s">
        <v>1018</v>
      </c>
      <c r="G769" t="s">
        <v>1119</v>
      </c>
      <c r="H769" t="s">
        <v>1275</v>
      </c>
      <c r="I769" t="s">
        <v>1289</v>
      </c>
      <c r="J769" t="s">
        <v>1294</v>
      </c>
      <c r="K769" t="s">
        <v>1305</v>
      </c>
      <c r="L769" t="s">
        <v>1309</v>
      </c>
      <c r="M769" t="s">
        <v>1313</v>
      </c>
      <c r="N769">
        <v>2</v>
      </c>
      <c r="O769">
        <v>0.1</v>
      </c>
      <c r="P769">
        <v>2659.07</v>
      </c>
      <c r="Q769">
        <v>756.81</v>
      </c>
      <c r="R769" t="s">
        <v>1331</v>
      </c>
      <c r="S769" t="b">
        <f t="shared" si="44"/>
        <v>0</v>
      </c>
      <c r="T769" t="b">
        <f t="shared" si="45"/>
        <v>0</v>
      </c>
      <c r="U769" t="b">
        <f t="shared" si="46"/>
        <v>0</v>
      </c>
    </row>
    <row r="770" spans="1:21" x14ac:dyDescent="0.3">
      <c r="A770">
        <v>769</v>
      </c>
      <c r="B770" t="s">
        <v>785</v>
      </c>
      <c r="C770" s="2">
        <v>45666</v>
      </c>
      <c r="D770" s="2" t="str">
        <f t="shared" si="47"/>
        <v>Jan-2025</v>
      </c>
      <c r="E770" s="2">
        <v>45669</v>
      </c>
      <c r="F770" t="s">
        <v>1018</v>
      </c>
      <c r="G770" t="s">
        <v>1256</v>
      </c>
      <c r="H770" t="s">
        <v>1273</v>
      </c>
      <c r="I770" t="s">
        <v>1288</v>
      </c>
      <c r="J770" t="s">
        <v>1299</v>
      </c>
      <c r="K770" t="s">
        <v>1304</v>
      </c>
      <c r="L770" t="s">
        <v>1308</v>
      </c>
      <c r="M770" t="s">
        <v>1312</v>
      </c>
      <c r="N770">
        <v>2</v>
      </c>
      <c r="O770">
        <v>0.1</v>
      </c>
      <c r="P770">
        <v>2390.0100000000002</v>
      </c>
      <c r="Q770">
        <v>632.52</v>
      </c>
      <c r="R770" t="s">
        <v>1330</v>
      </c>
      <c r="S770" t="b">
        <f t="shared" ref="S770:S833" si="48">E770&lt;C770</f>
        <v>0</v>
      </c>
      <c r="T770" t="b">
        <f t="shared" ref="T770:T833" si="49">N770&lt;=0</f>
        <v>0</v>
      </c>
      <c r="U770" t="b">
        <f t="shared" ref="U770:U833" si="50">OR(O770&lt;0,O770&gt;1)</f>
        <v>0</v>
      </c>
    </row>
    <row r="771" spans="1:21" x14ac:dyDescent="0.3">
      <c r="A771">
        <v>770</v>
      </c>
      <c r="B771" t="s">
        <v>786</v>
      </c>
      <c r="C771" s="2">
        <v>45922</v>
      </c>
      <c r="D771" s="2" t="str">
        <f t="shared" ref="D771:D834" si="51">TEXT(C771,"mmm-yyyy")</f>
        <v>Sep-2025</v>
      </c>
      <c r="E771" s="2">
        <v>45924</v>
      </c>
      <c r="F771" t="s">
        <v>1017</v>
      </c>
      <c r="G771" t="s">
        <v>1198</v>
      </c>
      <c r="H771" t="s">
        <v>1279</v>
      </c>
      <c r="I771" t="s">
        <v>1289</v>
      </c>
      <c r="J771" t="s">
        <v>1298</v>
      </c>
      <c r="K771" t="s">
        <v>1303</v>
      </c>
      <c r="L771" t="s">
        <v>1309</v>
      </c>
      <c r="M771" t="s">
        <v>1329</v>
      </c>
      <c r="N771">
        <v>5</v>
      </c>
      <c r="O771">
        <v>0.2</v>
      </c>
      <c r="P771">
        <v>7296.68</v>
      </c>
      <c r="Q771">
        <v>1196.6300000000001</v>
      </c>
      <c r="R771" t="s">
        <v>1330</v>
      </c>
      <c r="S771" t="b">
        <f t="shared" si="48"/>
        <v>0</v>
      </c>
      <c r="T771" t="b">
        <f t="shared" si="49"/>
        <v>0</v>
      </c>
      <c r="U771" t="b">
        <f t="shared" si="50"/>
        <v>0</v>
      </c>
    </row>
    <row r="772" spans="1:21" x14ac:dyDescent="0.3">
      <c r="A772">
        <v>771</v>
      </c>
      <c r="B772" t="s">
        <v>787</v>
      </c>
      <c r="C772" s="2">
        <v>46013</v>
      </c>
      <c r="D772" s="2" t="str">
        <f t="shared" si="51"/>
        <v>Dec-2025</v>
      </c>
      <c r="E772" s="2">
        <v>46017</v>
      </c>
      <c r="F772" t="s">
        <v>1017</v>
      </c>
      <c r="G772" t="s">
        <v>1138</v>
      </c>
      <c r="H772" t="s">
        <v>1275</v>
      </c>
      <c r="I772" t="s">
        <v>1287</v>
      </c>
      <c r="J772" t="s">
        <v>1292</v>
      </c>
      <c r="K772" t="s">
        <v>1303</v>
      </c>
      <c r="L772" t="s">
        <v>1308</v>
      </c>
      <c r="M772" t="s">
        <v>1318</v>
      </c>
      <c r="N772">
        <v>2</v>
      </c>
      <c r="O772">
        <v>0.1</v>
      </c>
      <c r="P772">
        <v>9446.25</v>
      </c>
      <c r="Q772">
        <v>1860.98</v>
      </c>
      <c r="R772" t="s">
        <v>1333</v>
      </c>
      <c r="S772" t="b">
        <f t="shared" si="48"/>
        <v>0</v>
      </c>
      <c r="T772" t="b">
        <f t="shared" si="49"/>
        <v>0</v>
      </c>
      <c r="U772" t="b">
        <f t="shared" si="50"/>
        <v>0</v>
      </c>
    </row>
    <row r="773" spans="1:21" x14ac:dyDescent="0.3">
      <c r="A773">
        <v>772</v>
      </c>
      <c r="B773" t="s">
        <v>788</v>
      </c>
      <c r="C773" s="2">
        <v>45897</v>
      </c>
      <c r="D773" s="2" t="str">
        <f t="shared" si="51"/>
        <v>Aug-2025</v>
      </c>
      <c r="E773" s="2">
        <v>45901</v>
      </c>
      <c r="F773" t="s">
        <v>1017</v>
      </c>
      <c r="G773" t="s">
        <v>1201</v>
      </c>
      <c r="H773" t="s">
        <v>1269</v>
      </c>
      <c r="I773" t="s">
        <v>1287</v>
      </c>
      <c r="J773" t="s">
        <v>1300</v>
      </c>
      <c r="K773" t="s">
        <v>1305</v>
      </c>
      <c r="L773" t="s">
        <v>1307</v>
      </c>
      <c r="M773" t="s">
        <v>1315</v>
      </c>
      <c r="N773">
        <v>2</v>
      </c>
      <c r="O773">
        <v>0.15</v>
      </c>
      <c r="P773">
        <v>3072.2</v>
      </c>
      <c r="Q773">
        <v>157.77000000000001</v>
      </c>
      <c r="R773" t="s">
        <v>1333</v>
      </c>
      <c r="S773" t="b">
        <f t="shared" si="48"/>
        <v>0</v>
      </c>
      <c r="T773" t="b">
        <f t="shared" si="49"/>
        <v>0</v>
      </c>
      <c r="U773" t="b">
        <f t="shared" si="50"/>
        <v>0</v>
      </c>
    </row>
    <row r="774" spans="1:21" x14ac:dyDescent="0.3">
      <c r="A774">
        <v>773</v>
      </c>
      <c r="B774" t="s">
        <v>789</v>
      </c>
      <c r="C774" s="2">
        <v>45741</v>
      </c>
      <c r="D774" s="2" t="str">
        <f t="shared" si="51"/>
        <v>Mar-2025</v>
      </c>
      <c r="E774" s="2">
        <v>45743</v>
      </c>
      <c r="F774" t="s">
        <v>1017</v>
      </c>
      <c r="G774" t="s">
        <v>1098</v>
      </c>
      <c r="H774" t="s">
        <v>1270</v>
      </c>
      <c r="I774" t="s">
        <v>1287</v>
      </c>
      <c r="J774" t="s">
        <v>1293</v>
      </c>
      <c r="K774" t="s">
        <v>1304</v>
      </c>
      <c r="L774" t="s">
        <v>1309</v>
      </c>
      <c r="M774" t="s">
        <v>1329</v>
      </c>
      <c r="N774">
        <v>3</v>
      </c>
      <c r="O774">
        <v>0.1</v>
      </c>
      <c r="P774">
        <v>5200.2700000000004</v>
      </c>
      <c r="Q774">
        <v>1353.56</v>
      </c>
      <c r="R774" t="s">
        <v>1330</v>
      </c>
      <c r="S774" t="b">
        <f t="shared" si="48"/>
        <v>0</v>
      </c>
      <c r="T774" t="b">
        <f t="shared" si="49"/>
        <v>0</v>
      </c>
      <c r="U774" t="b">
        <f t="shared" si="50"/>
        <v>0</v>
      </c>
    </row>
    <row r="775" spans="1:21" x14ac:dyDescent="0.3">
      <c r="A775">
        <v>774</v>
      </c>
      <c r="B775" t="s">
        <v>790</v>
      </c>
      <c r="C775" s="2">
        <v>45813</v>
      </c>
      <c r="D775" s="2" t="str">
        <f t="shared" si="51"/>
        <v>Jun-2025</v>
      </c>
      <c r="E775" s="2">
        <v>45815</v>
      </c>
      <c r="F775" t="s">
        <v>1017</v>
      </c>
      <c r="G775" t="s">
        <v>1246</v>
      </c>
      <c r="H775" t="s">
        <v>1280</v>
      </c>
      <c r="I775" t="s">
        <v>1287</v>
      </c>
      <c r="J775" t="s">
        <v>1295</v>
      </c>
      <c r="K775" t="s">
        <v>1305</v>
      </c>
      <c r="L775" t="s">
        <v>1307</v>
      </c>
      <c r="M775" t="s">
        <v>1315</v>
      </c>
      <c r="N775">
        <v>2</v>
      </c>
      <c r="O775">
        <v>0.2</v>
      </c>
      <c r="P775">
        <v>3019.12</v>
      </c>
      <c r="Q775">
        <v>105.41</v>
      </c>
      <c r="R775" t="s">
        <v>1331</v>
      </c>
      <c r="S775" t="b">
        <f t="shared" si="48"/>
        <v>0</v>
      </c>
      <c r="T775" t="b">
        <f t="shared" si="49"/>
        <v>0</v>
      </c>
      <c r="U775" t="b">
        <f t="shared" si="50"/>
        <v>0</v>
      </c>
    </row>
    <row r="776" spans="1:21" x14ac:dyDescent="0.3">
      <c r="A776">
        <v>775</v>
      </c>
      <c r="B776" t="s">
        <v>791</v>
      </c>
      <c r="C776" s="2">
        <v>45961</v>
      </c>
      <c r="D776" s="2" t="str">
        <f t="shared" si="51"/>
        <v>Oct-2025</v>
      </c>
      <c r="E776" s="2">
        <v>45964</v>
      </c>
      <c r="F776" t="s">
        <v>1017</v>
      </c>
      <c r="G776" t="s">
        <v>1076</v>
      </c>
      <c r="H776" t="s">
        <v>1285</v>
      </c>
      <c r="I776" t="s">
        <v>1287</v>
      </c>
      <c r="J776" t="s">
        <v>1294</v>
      </c>
      <c r="K776" t="s">
        <v>1305</v>
      </c>
      <c r="L776" t="s">
        <v>1309</v>
      </c>
      <c r="M776" t="s">
        <v>1329</v>
      </c>
      <c r="N776">
        <v>3</v>
      </c>
      <c r="O776">
        <v>0.1</v>
      </c>
      <c r="P776">
        <v>4906.43</v>
      </c>
      <c r="Q776">
        <v>1134.58</v>
      </c>
      <c r="R776" t="s">
        <v>1331</v>
      </c>
      <c r="S776" t="b">
        <f t="shared" si="48"/>
        <v>0</v>
      </c>
      <c r="T776" t="b">
        <f t="shared" si="49"/>
        <v>0</v>
      </c>
      <c r="U776" t="b">
        <f t="shared" si="50"/>
        <v>0</v>
      </c>
    </row>
    <row r="777" spans="1:21" x14ac:dyDescent="0.3">
      <c r="A777">
        <v>776</v>
      </c>
      <c r="B777" t="s">
        <v>792</v>
      </c>
      <c r="C777" s="2">
        <v>45722</v>
      </c>
      <c r="D777" s="2" t="str">
        <f t="shared" si="51"/>
        <v>Mar-2025</v>
      </c>
      <c r="E777" s="2">
        <v>45725</v>
      </c>
      <c r="F777" t="s">
        <v>1019</v>
      </c>
      <c r="G777" t="s">
        <v>1152</v>
      </c>
      <c r="H777" t="s">
        <v>1277</v>
      </c>
      <c r="I777" t="s">
        <v>1287</v>
      </c>
      <c r="J777" t="s">
        <v>1295</v>
      </c>
      <c r="K777" t="s">
        <v>1305</v>
      </c>
      <c r="L777" t="s">
        <v>1306</v>
      </c>
      <c r="M777" t="s">
        <v>1328</v>
      </c>
      <c r="N777">
        <v>3</v>
      </c>
      <c r="O777">
        <v>0</v>
      </c>
      <c r="P777">
        <v>354.17</v>
      </c>
      <c r="Q777">
        <v>108.65</v>
      </c>
      <c r="R777" t="s">
        <v>1333</v>
      </c>
      <c r="S777" t="b">
        <f t="shared" si="48"/>
        <v>0</v>
      </c>
      <c r="T777" t="b">
        <f t="shared" si="49"/>
        <v>0</v>
      </c>
      <c r="U777" t="b">
        <f t="shared" si="50"/>
        <v>0</v>
      </c>
    </row>
    <row r="778" spans="1:21" x14ac:dyDescent="0.3">
      <c r="A778">
        <v>777</v>
      </c>
      <c r="B778" t="s">
        <v>793</v>
      </c>
      <c r="C778" s="2">
        <v>45816</v>
      </c>
      <c r="D778" s="2" t="str">
        <f t="shared" si="51"/>
        <v>Jun-2025</v>
      </c>
      <c r="E778" s="2">
        <v>45820</v>
      </c>
      <c r="F778" t="s">
        <v>1017</v>
      </c>
      <c r="G778" t="s">
        <v>1136</v>
      </c>
      <c r="H778" t="s">
        <v>1283</v>
      </c>
      <c r="I778" t="s">
        <v>1287</v>
      </c>
      <c r="J778" t="s">
        <v>1295</v>
      </c>
      <c r="K778" t="s">
        <v>1305</v>
      </c>
      <c r="L778" t="s">
        <v>1308</v>
      </c>
      <c r="M778" t="s">
        <v>1327</v>
      </c>
      <c r="N778">
        <v>4</v>
      </c>
      <c r="O778">
        <v>0</v>
      </c>
      <c r="P778">
        <v>7220.49</v>
      </c>
      <c r="Q778">
        <v>2213.2800000000002</v>
      </c>
      <c r="R778" t="s">
        <v>1334</v>
      </c>
      <c r="S778" t="b">
        <f t="shared" si="48"/>
        <v>0</v>
      </c>
      <c r="T778" t="b">
        <f t="shared" si="49"/>
        <v>0</v>
      </c>
      <c r="U778" t="b">
        <f t="shared" si="50"/>
        <v>0</v>
      </c>
    </row>
    <row r="779" spans="1:21" x14ac:dyDescent="0.3">
      <c r="A779">
        <v>778</v>
      </c>
      <c r="B779" t="s">
        <v>794</v>
      </c>
      <c r="C779" s="2">
        <v>45929</v>
      </c>
      <c r="D779" s="2" t="str">
        <f t="shared" si="51"/>
        <v>Sep-2025</v>
      </c>
      <c r="E779" s="2">
        <v>45931</v>
      </c>
      <c r="F779" t="s">
        <v>1017</v>
      </c>
      <c r="G779" t="s">
        <v>1130</v>
      </c>
      <c r="H779" t="s">
        <v>1268</v>
      </c>
      <c r="I779" t="s">
        <v>1287</v>
      </c>
      <c r="J779" t="s">
        <v>1292</v>
      </c>
      <c r="K779" t="s">
        <v>1303</v>
      </c>
      <c r="L779" t="s">
        <v>1306</v>
      </c>
      <c r="M779" t="s">
        <v>1321</v>
      </c>
      <c r="N779">
        <v>1</v>
      </c>
      <c r="O779">
        <v>0</v>
      </c>
      <c r="P779">
        <v>459.81</v>
      </c>
      <c r="Q779">
        <v>113.96</v>
      </c>
      <c r="R779" t="s">
        <v>1331</v>
      </c>
      <c r="S779" t="b">
        <f t="shared" si="48"/>
        <v>0</v>
      </c>
      <c r="T779" t="b">
        <f t="shared" si="49"/>
        <v>0</v>
      </c>
      <c r="U779" t="b">
        <f t="shared" si="50"/>
        <v>0</v>
      </c>
    </row>
    <row r="780" spans="1:21" x14ac:dyDescent="0.3">
      <c r="A780">
        <v>779</v>
      </c>
      <c r="B780" t="s">
        <v>795</v>
      </c>
      <c r="C780" s="2">
        <v>45725</v>
      </c>
      <c r="D780" s="2" t="str">
        <f t="shared" si="51"/>
        <v>Mar-2025</v>
      </c>
      <c r="E780" s="2">
        <v>45730</v>
      </c>
      <c r="F780" t="s">
        <v>1018</v>
      </c>
      <c r="G780" t="s">
        <v>1170</v>
      </c>
      <c r="H780" t="s">
        <v>1286</v>
      </c>
      <c r="I780" t="s">
        <v>1287</v>
      </c>
      <c r="J780" t="s">
        <v>1295</v>
      </c>
      <c r="K780" t="s">
        <v>1305</v>
      </c>
      <c r="L780" t="s">
        <v>1309</v>
      </c>
      <c r="M780" t="s">
        <v>1325</v>
      </c>
      <c r="N780">
        <v>3</v>
      </c>
      <c r="O780">
        <v>0</v>
      </c>
      <c r="P780">
        <v>3900.98</v>
      </c>
      <c r="Q780">
        <v>1385.19</v>
      </c>
      <c r="R780" t="s">
        <v>1331</v>
      </c>
      <c r="S780" t="b">
        <f t="shared" si="48"/>
        <v>0</v>
      </c>
      <c r="T780" t="b">
        <f t="shared" si="49"/>
        <v>0</v>
      </c>
      <c r="U780" t="b">
        <f t="shared" si="50"/>
        <v>0</v>
      </c>
    </row>
    <row r="781" spans="1:21" x14ac:dyDescent="0.3">
      <c r="A781">
        <v>780</v>
      </c>
      <c r="B781" t="s">
        <v>796</v>
      </c>
      <c r="C781" s="2">
        <v>45853</v>
      </c>
      <c r="D781" s="2" t="str">
        <f t="shared" si="51"/>
        <v>Jul-2025</v>
      </c>
      <c r="E781" s="2">
        <v>45858</v>
      </c>
      <c r="F781" t="s">
        <v>1017</v>
      </c>
      <c r="G781" t="s">
        <v>1211</v>
      </c>
      <c r="H781" t="s">
        <v>1269</v>
      </c>
      <c r="I781" t="s">
        <v>1287</v>
      </c>
      <c r="J781" t="s">
        <v>1300</v>
      </c>
      <c r="K781" t="s">
        <v>1305</v>
      </c>
      <c r="L781" t="s">
        <v>1306</v>
      </c>
      <c r="M781" t="s">
        <v>1328</v>
      </c>
      <c r="N781">
        <v>1</v>
      </c>
      <c r="O781">
        <v>0.2</v>
      </c>
      <c r="P781">
        <v>93.39</v>
      </c>
      <c r="Q781">
        <v>7.22</v>
      </c>
      <c r="R781" t="s">
        <v>1331</v>
      </c>
      <c r="S781" t="b">
        <f t="shared" si="48"/>
        <v>0</v>
      </c>
      <c r="T781" t="b">
        <f t="shared" si="49"/>
        <v>0</v>
      </c>
      <c r="U781" t="b">
        <f t="shared" si="50"/>
        <v>0</v>
      </c>
    </row>
    <row r="782" spans="1:21" x14ac:dyDescent="0.3">
      <c r="A782">
        <v>781</v>
      </c>
      <c r="B782" t="s">
        <v>797</v>
      </c>
      <c r="C782" s="2">
        <v>45684</v>
      </c>
      <c r="D782" s="2" t="str">
        <f t="shared" si="51"/>
        <v>Jan-2025</v>
      </c>
      <c r="E782" s="2">
        <v>45685</v>
      </c>
      <c r="F782" t="s">
        <v>1017</v>
      </c>
      <c r="G782" t="s">
        <v>1162</v>
      </c>
      <c r="H782" t="s">
        <v>1274</v>
      </c>
      <c r="I782" t="s">
        <v>1287</v>
      </c>
      <c r="J782" t="s">
        <v>1300</v>
      </c>
      <c r="K782" t="s">
        <v>1305</v>
      </c>
      <c r="L782" t="s">
        <v>1309</v>
      </c>
      <c r="M782" t="s">
        <v>1317</v>
      </c>
      <c r="N782">
        <v>2</v>
      </c>
      <c r="O782">
        <v>0.1</v>
      </c>
      <c r="P782">
        <v>1488.58</v>
      </c>
      <c r="Q782">
        <v>272.06</v>
      </c>
      <c r="R782" t="s">
        <v>1331</v>
      </c>
      <c r="S782" t="b">
        <f t="shared" si="48"/>
        <v>0</v>
      </c>
      <c r="T782" t="b">
        <f t="shared" si="49"/>
        <v>0</v>
      </c>
      <c r="U782" t="b">
        <f t="shared" si="50"/>
        <v>0</v>
      </c>
    </row>
    <row r="783" spans="1:21" x14ac:dyDescent="0.3">
      <c r="A783">
        <v>782</v>
      </c>
      <c r="B783" t="s">
        <v>798</v>
      </c>
      <c r="C783" s="2">
        <v>45833</v>
      </c>
      <c r="D783" s="2" t="str">
        <f t="shared" si="51"/>
        <v>Jun-2025</v>
      </c>
      <c r="E783" s="2">
        <v>45834</v>
      </c>
      <c r="F783" t="s">
        <v>1017</v>
      </c>
      <c r="G783" t="s">
        <v>1147</v>
      </c>
      <c r="H783" t="s">
        <v>1278</v>
      </c>
      <c r="I783" t="s">
        <v>1287</v>
      </c>
      <c r="J783" t="s">
        <v>1298</v>
      </c>
      <c r="K783" t="s">
        <v>1303</v>
      </c>
      <c r="L783" t="s">
        <v>1306</v>
      </c>
      <c r="M783" t="s">
        <v>1323</v>
      </c>
      <c r="N783">
        <v>2</v>
      </c>
      <c r="O783">
        <v>0.05</v>
      </c>
      <c r="P783">
        <v>326.52999999999997</v>
      </c>
      <c r="Q783">
        <v>75.58</v>
      </c>
      <c r="R783" t="s">
        <v>1332</v>
      </c>
      <c r="S783" t="b">
        <f t="shared" si="48"/>
        <v>0</v>
      </c>
      <c r="T783" t="b">
        <f t="shared" si="49"/>
        <v>0</v>
      </c>
      <c r="U783" t="b">
        <f t="shared" si="50"/>
        <v>0</v>
      </c>
    </row>
    <row r="784" spans="1:21" x14ac:dyDescent="0.3">
      <c r="A784">
        <v>783</v>
      </c>
      <c r="B784" t="s">
        <v>799</v>
      </c>
      <c r="C784" s="2">
        <v>45835</v>
      </c>
      <c r="D784" s="2" t="str">
        <f t="shared" si="51"/>
        <v>Jun-2025</v>
      </c>
      <c r="E784" s="2">
        <v>45838</v>
      </c>
      <c r="F784" t="s">
        <v>1017</v>
      </c>
      <c r="G784" t="s">
        <v>1030</v>
      </c>
      <c r="H784" t="s">
        <v>1286</v>
      </c>
      <c r="I784" t="s">
        <v>1287</v>
      </c>
      <c r="J784" t="s">
        <v>1298</v>
      </c>
      <c r="K784" t="s">
        <v>1303</v>
      </c>
      <c r="L784" t="s">
        <v>1309</v>
      </c>
      <c r="M784" t="s">
        <v>1329</v>
      </c>
      <c r="N784">
        <v>4</v>
      </c>
      <c r="O784">
        <v>0</v>
      </c>
      <c r="P784">
        <v>7583.54</v>
      </c>
      <c r="Q784">
        <v>2112.83</v>
      </c>
      <c r="R784" t="s">
        <v>1333</v>
      </c>
      <c r="S784" t="b">
        <f t="shared" si="48"/>
        <v>0</v>
      </c>
      <c r="T784" t="b">
        <f t="shared" si="49"/>
        <v>0</v>
      </c>
      <c r="U784" t="b">
        <f t="shared" si="50"/>
        <v>0</v>
      </c>
    </row>
    <row r="785" spans="1:21" x14ac:dyDescent="0.3">
      <c r="A785">
        <v>784</v>
      </c>
      <c r="B785" t="s">
        <v>800</v>
      </c>
      <c r="C785" s="2">
        <v>46010</v>
      </c>
      <c r="D785" s="2" t="str">
        <f t="shared" si="51"/>
        <v>Dec-2025</v>
      </c>
      <c r="E785" s="2">
        <v>46014</v>
      </c>
      <c r="F785" t="s">
        <v>1017</v>
      </c>
      <c r="G785" t="s">
        <v>1135</v>
      </c>
      <c r="H785" t="s">
        <v>1271</v>
      </c>
      <c r="I785" t="s">
        <v>1289</v>
      </c>
      <c r="J785" t="s">
        <v>1292</v>
      </c>
      <c r="K785" t="s">
        <v>1303</v>
      </c>
      <c r="L785" t="s">
        <v>1307</v>
      </c>
      <c r="M785" t="s">
        <v>1315</v>
      </c>
      <c r="N785">
        <v>1</v>
      </c>
      <c r="O785">
        <v>0.1</v>
      </c>
      <c r="P785">
        <v>1578.51</v>
      </c>
      <c r="Q785">
        <v>382.22</v>
      </c>
      <c r="R785" t="s">
        <v>1331</v>
      </c>
      <c r="S785" t="b">
        <f t="shared" si="48"/>
        <v>0</v>
      </c>
      <c r="T785" t="b">
        <f t="shared" si="49"/>
        <v>0</v>
      </c>
      <c r="U785" t="b">
        <f t="shared" si="50"/>
        <v>0</v>
      </c>
    </row>
    <row r="786" spans="1:21" x14ac:dyDescent="0.3">
      <c r="A786">
        <v>785</v>
      </c>
      <c r="B786" t="s">
        <v>801</v>
      </c>
      <c r="C786" s="2">
        <v>45890</v>
      </c>
      <c r="D786" s="2" t="str">
        <f t="shared" si="51"/>
        <v>Aug-2025</v>
      </c>
      <c r="E786" s="2">
        <v>45891</v>
      </c>
      <c r="F786" t="s">
        <v>1017</v>
      </c>
      <c r="G786" t="s">
        <v>1090</v>
      </c>
      <c r="H786" t="s">
        <v>1272</v>
      </c>
      <c r="I786" t="s">
        <v>1287</v>
      </c>
      <c r="J786" t="s">
        <v>1301</v>
      </c>
      <c r="K786" t="s">
        <v>1303</v>
      </c>
      <c r="L786" t="s">
        <v>1308</v>
      </c>
      <c r="M786" t="s">
        <v>1326</v>
      </c>
      <c r="N786">
        <v>2</v>
      </c>
      <c r="O786">
        <v>0.05</v>
      </c>
      <c r="P786">
        <v>13623.38</v>
      </c>
      <c r="Q786">
        <v>4811.59</v>
      </c>
      <c r="R786" t="s">
        <v>1332</v>
      </c>
      <c r="S786" t="b">
        <f t="shared" si="48"/>
        <v>0</v>
      </c>
      <c r="T786" t="b">
        <f t="shared" si="49"/>
        <v>0</v>
      </c>
      <c r="U786" t="b">
        <f t="shared" si="50"/>
        <v>0</v>
      </c>
    </row>
    <row r="787" spans="1:21" x14ac:dyDescent="0.3">
      <c r="A787">
        <v>786</v>
      </c>
      <c r="B787" t="s">
        <v>802</v>
      </c>
      <c r="C787" s="2">
        <v>45832</v>
      </c>
      <c r="D787" s="2" t="str">
        <f t="shared" si="51"/>
        <v>Jun-2025</v>
      </c>
      <c r="E787" s="2">
        <v>45836</v>
      </c>
      <c r="F787" t="s">
        <v>1017</v>
      </c>
      <c r="G787" t="s">
        <v>1206</v>
      </c>
      <c r="H787" t="s">
        <v>1280</v>
      </c>
      <c r="I787" t="s">
        <v>1287</v>
      </c>
      <c r="J787" t="s">
        <v>1301</v>
      </c>
      <c r="K787" t="s">
        <v>1303</v>
      </c>
      <c r="L787" t="s">
        <v>1306</v>
      </c>
      <c r="M787" t="s">
        <v>1328</v>
      </c>
      <c r="N787">
        <v>2</v>
      </c>
      <c r="O787">
        <v>0.1</v>
      </c>
      <c r="P787">
        <v>206.69</v>
      </c>
      <c r="Q787">
        <v>33.54</v>
      </c>
      <c r="R787" t="s">
        <v>1331</v>
      </c>
      <c r="S787" t="b">
        <f t="shared" si="48"/>
        <v>0</v>
      </c>
      <c r="T787" t="b">
        <f t="shared" si="49"/>
        <v>0</v>
      </c>
      <c r="U787" t="b">
        <f t="shared" si="50"/>
        <v>0</v>
      </c>
    </row>
    <row r="788" spans="1:21" x14ac:dyDescent="0.3">
      <c r="A788">
        <v>787</v>
      </c>
      <c r="B788" t="s">
        <v>803</v>
      </c>
      <c r="C788" s="2">
        <v>45832</v>
      </c>
      <c r="D788" s="2" t="str">
        <f t="shared" si="51"/>
        <v>Jun-2025</v>
      </c>
      <c r="E788" s="2">
        <v>45835</v>
      </c>
      <c r="F788" t="s">
        <v>1017</v>
      </c>
      <c r="G788" t="s">
        <v>1033</v>
      </c>
      <c r="H788" t="s">
        <v>1280</v>
      </c>
      <c r="I788" t="s">
        <v>1287</v>
      </c>
      <c r="J788" t="s">
        <v>1296</v>
      </c>
      <c r="K788" t="s">
        <v>1304</v>
      </c>
      <c r="L788" t="s">
        <v>1307</v>
      </c>
      <c r="M788" t="s">
        <v>1315</v>
      </c>
      <c r="N788">
        <v>2</v>
      </c>
      <c r="O788">
        <v>0.05</v>
      </c>
      <c r="P788">
        <v>3250.64</v>
      </c>
      <c r="Q788">
        <v>822.14</v>
      </c>
      <c r="R788" t="s">
        <v>1332</v>
      </c>
      <c r="S788" t="b">
        <f t="shared" si="48"/>
        <v>0</v>
      </c>
      <c r="T788" t="b">
        <f t="shared" si="49"/>
        <v>0</v>
      </c>
      <c r="U788" t="b">
        <f t="shared" si="50"/>
        <v>0</v>
      </c>
    </row>
    <row r="789" spans="1:21" x14ac:dyDescent="0.3">
      <c r="A789">
        <v>788</v>
      </c>
      <c r="B789" t="s">
        <v>804</v>
      </c>
      <c r="C789" s="2">
        <v>45914</v>
      </c>
      <c r="D789" s="2" t="str">
        <f t="shared" si="51"/>
        <v>Sep-2025</v>
      </c>
      <c r="E789" s="2">
        <v>45915</v>
      </c>
      <c r="F789" t="s">
        <v>1018</v>
      </c>
      <c r="G789" t="s">
        <v>1259</v>
      </c>
      <c r="H789" t="s">
        <v>1284</v>
      </c>
      <c r="I789" t="s">
        <v>1287</v>
      </c>
      <c r="J789" t="s">
        <v>1300</v>
      </c>
      <c r="K789" t="s">
        <v>1305</v>
      </c>
      <c r="L789" t="s">
        <v>1309</v>
      </c>
      <c r="M789" t="s">
        <v>1329</v>
      </c>
      <c r="N789">
        <v>2</v>
      </c>
      <c r="O789">
        <v>0</v>
      </c>
      <c r="P789">
        <v>3683.94</v>
      </c>
      <c r="Q789">
        <v>944.54</v>
      </c>
      <c r="R789" t="s">
        <v>1331</v>
      </c>
      <c r="S789" t="b">
        <f t="shared" si="48"/>
        <v>0</v>
      </c>
      <c r="T789" t="b">
        <f t="shared" si="49"/>
        <v>0</v>
      </c>
      <c r="U789" t="b">
        <f t="shared" si="50"/>
        <v>0</v>
      </c>
    </row>
    <row r="790" spans="1:21" x14ac:dyDescent="0.3">
      <c r="A790">
        <v>789</v>
      </c>
      <c r="B790" t="s">
        <v>805</v>
      </c>
      <c r="C790" s="2">
        <v>45794</v>
      </c>
      <c r="D790" s="2" t="str">
        <f t="shared" si="51"/>
        <v>May-2025</v>
      </c>
      <c r="E790" s="2">
        <v>45795</v>
      </c>
      <c r="F790" t="s">
        <v>1017</v>
      </c>
      <c r="G790" t="s">
        <v>1147</v>
      </c>
      <c r="H790" t="s">
        <v>1286</v>
      </c>
      <c r="I790" t="s">
        <v>1287</v>
      </c>
      <c r="J790" t="s">
        <v>1300</v>
      </c>
      <c r="K790" t="s">
        <v>1305</v>
      </c>
      <c r="L790" t="s">
        <v>1306</v>
      </c>
      <c r="M790" t="s">
        <v>1328</v>
      </c>
      <c r="N790">
        <v>2</v>
      </c>
      <c r="O790">
        <v>0</v>
      </c>
      <c r="P790">
        <v>234.19</v>
      </c>
      <c r="Q790">
        <v>74.52</v>
      </c>
      <c r="R790" t="s">
        <v>1331</v>
      </c>
      <c r="S790" t="b">
        <f t="shared" si="48"/>
        <v>0</v>
      </c>
      <c r="T790" t="b">
        <f t="shared" si="49"/>
        <v>0</v>
      </c>
      <c r="U790" t="b">
        <f t="shared" si="50"/>
        <v>0</v>
      </c>
    </row>
    <row r="791" spans="1:21" x14ac:dyDescent="0.3">
      <c r="A791">
        <v>790</v>
      </c>
      <c r="B791" t="s">
        <v>806</v>
      </c>
      <c r="C791" s="2">
        <v>45707</v>
      </c>
      <c r="D791" s="2" t="str">
        <f t="shared" si="51"/>
        <v>Feb-2025</v>
      </c>
      <c r="E791" s="2">
        <v>45712</v>
      </c>
      <c r="F791" t="s">
        <v>1017</v>
      </c>
      <c r="G791" t="s">
        <v>1204</v>
      </c>
      <c r="H791" t="s">
        <v>1286</v>
      </c>
      <c r="I791" t="s">
        <v>1287</v>
      </c>
      <c r="J791" t="s">
        <v>1291</v>
      </c>
      <c r="K791" t="s">
        <v>1302</v>
      </c>
      <c r="L791" t="s">
        <v>1309</v>
      </c>
      <c r="M791" t="s">
        <v>1329</v>
      </c>
      <c r="N791">
        <v>3</v>
      </c>
      <c r="O791">
        <v>0.1</v>
      </c>
      <c r="P791">
        <v>5004.57</v>
      </c>
      <c r="Q791">
        <v>1286.8</v>
      </c>
      <c r="R791" t="s">
        <v>1333</v>
      </c>
      <c r="S791" t="b">
        <f t="shared" si="48"/>
        <v>0</v>
      </c>
      <c r="T791" t="b">
        <f t="shared" si="49"/>
        <v>0</v>
      </c>
      <c r="U791" t="b">
        <f t="shared" si="50"/>
        <v>0</v>
      </c>
    </row>
    <row r="792" spans="1:21" x14ac:dyDescent="0.3">
      <c r="A792">
        <v>791</v>
      </c>
      <c r="B792" t="s">
        <v>807</v>
      </c>
      <c r="C792" s="2">
        <v>45872</v>
      </c>
      <c r="D792" s="2" t="str">
        <f t="shared" si="51"/>
        <v>Aug-2025</v>
      </c>
      <c r="E792" s="2">
        <v>45875</v>
      </c>
      <c r="F792" t="s">
        <v>1018</v>
      </c>
      <c r="G792" t="s">
        <v>1110</v>
      </c>
      <c r="H792" t="s">
        <v>1286</v>
      </c>
      <c r="I792" t="s">
        <v>1287</v>
      </c>
      <c r="J792" t="s">
        <v>1298</v>
      </c>
      <c r="K792" t="s">
        <v>1303</v>
      </c>
      <c r="L792" t="s">
        <v>1309</v>
      </c>
      <c r="M792" t="s">
        <v>1313</v>
      </c>
      <c r="N792">
        <v>3</v>
      </c>
      <c r="O792">
        <v>0.1</v>
      </c>
      <c r="P792">
        <v>3852.36</v>
      </c>
      <c r="Q792">
        <v>783.81</v>
      </c>
      <c r="R792" t="s">
        <v>1334</v>
      </c>
      <c r="S792" t="b">
        <f t="shared" si="48"/>
        <v>0</v>
      </c>
      <c r="T792" t="b">
        <f t="shared" si="49"/>
        <v>0</v>
      </c>
      <c r="U792" t="b">
        <f t="shared" si="50"/>
        <v>0</v>
      </c>
    </row>
    <row r="793" spans="1:21" x14ac:dyDescent="0.3">
      <c r="A793">
        <v>792</v>
      </c>
      <c r="B793" t="s">
        <v>808</v>
      </c>
      <c r="C793" s="2">
        <v>46018</v>
      </c>
      <c r="D793" s="2" t="str">
        <f t="shared" si="51"/>
        <v>Dec-2025</v>
      </c>
      <c r="E793" s="2">
        <v>46022</v>
      </c>
      <c r="F793" t="s">
        <v>1017</v>
      </c>
      <c r="G793" t="s">
        <v>1247</v>
      </c>
      <c r="H793" t="s">
        <v>1267</v>
      </c>
      <c r="I793" t="s">
        <v>1287</v>
      </c>
      <c r="J793" t="s">
        <v>1301</v>
      </c>
      <c r="K793" t="s">
        <v>1303</v>
      </c>
      <c r="L793" t="s">
        <v>1308</v>
      </c>
      <c r="M793" t="s">
        <v>1326</v>
      </c>
      <c r="N793">
        <v>3</v>
      </c>
      <c r="O793">
        <v>0.1</v>
      </c>
      <c r="P793">
        <v>18604.73</v>
      </c>
      <c r="Q793">
        <v>5139.43</v>
      </c>
      <c r="R793" t="s">
        <v>1331</v>
      </c>
      <c r="S793" t="b">
        <f t="shared" si="48"/>
        <v>0</v>
      </c>
      <c r="T793" t="b">
        <f t="shared" si="49"/>
        <v>0</v>
      </c>
      <c r="U793" t="b">
        <f t="shared" si="50"/>
        <v>0</v>
      </c>
    </row>
    <row r="794" spans="1:21" x14ac:dyDescent="0.3">
      <c r="A794">
        <v>793</v>
      </c>
      <c r="B794" t="s">
        <v>809</v>
      </c>
      <c r="C794" s="2">
        <v>45858</v>
      </c>
      <c r="D794" s="2" t="str">
        <f t="shared" si="51"/>
        <v>Jul-2025</v>
      </c>
      <c r="E794" s="2">
        <v>45861</v>
      </c>
      <c r="F794" t="s">
        <v>1019</v>
      </c>
      <c r="G794" t="s">
        <v>1186</v>
      </c>
      <c r="H794" t="s">
        <v>1281</v>
      </c>
      <c r="I794" t="s">
        <v>1287</v>
      </c>
      <c r="J794" t="s">
        <v>1299</v>
      </c>
      <c r="K794" t="s">
        <v>1304</v>
      </c>
      <c r="L794" t="s">
        <v>1309</v>
      </c>
      <c r="M794" t="s">
        <v>1317</v>
      </c>
      <c r="N794">
        <v>1</v>
      </c>
      <c r="O794">
        <v>0.1</v>
      </c>
      <c r="P794">
        <v>693.71</v>
      </c>
      <c r="Q794">
        <v>43.19</v>
      </c>
      <c r="R794" t="s">
        <v>1332</v>
      </c>
      <c r="S794" t="b">
        <f t="shared" si="48"/>
        <v>0</v>
      </c>
      <c r="T794" t="b">
        <f t="shared" si="49"/>
        <v>0</v>
      </c>
      <c r="U794" t="b">
        <f t="shared" si="50"/>
        <v>0</v>
      </c>
    </row>
    <row r="795" spans="1:21" x14ac:dyDescent="0.3">
      <c r="A795">
        <v>794</v>
      </c>
      <c r="B795" t="s">
        <v>810</v>
      </c>
      <c r="C795" s="2">
        <v>45764</v>
      </c>
      <c r="D795" s="2" t="str">
        <f t="shared" si="51"/>
        <v>Apr-2025</v>
      </c>
      <c r="E795" s="2">
        <v>45766</v>
      </c>
      <c r="F795" t="s">
        <v>1018</v>
      </c>
      <c r="G795" t="s">
        <v>1155</v>
      </c>
      <c r="H795" t="s">
        <v>1269</v>
      </c>
      <c r="I795" t="s">
        <v>1287</v>
      </c>
      <c r="J795" t="s">
        <v>1292</v>
      </c>
      <c r="K795" t="s">
        <v>1303</v>
      </c>
      <c r="L795" t="s">
        <v>1307</v>
      </c>
      <c r="M795" t="s">
        <v>1314</v>
      </c>
      <c r="N795">
        <v>1</v>
      </c>
      <c r="O795">
        <v>0.15</v>
      </c>
      <c r="P795">
        <v>739.36</v>
      </c>
      <c r="Q795">
        <v>106.22</v>
      </c>
      <c r="R795" t="s">
        <v>1330</v>
      </c>
      <c r="S795" t="b">
        <f t="shared" si="48"/>
        <v>0</v>
      </c>
      <c r="T795" t="b">
        <f t="shared" si="49"/>
        <v>0</v>
      </c>
      <c r="U795" t="b">
        <f t="shared" si="50"/>
        <v>0</v>
      </c>
    </row>
    <row r="796" spans="1:21" x14ac:dyDescent="0.3">
      <c r="A796">
        <v>795</v>
      </c>
      <c r="B796" t="s">
        <v>811</v>
      </c>
      <c r="C796" s="2">
        <v>45971</v>
      </c>
      <c r="D796" s="2" t="str">
        <f t="shared" si="51"/>
        <v>Nov-2025</v>
      </c>
      <c r="E796" s="2">
        <v>45975</v>
      </c>
      <c r="F796" t="s">
        <v>1018</v>
      </c>
      <c r="G796" t="s">
        <v>1055</v>
      </c>
      <c r="H796" t="s">
        <v>1282</v>
      </c>
      <c r="I796" t="s">
        <v>1287</v>
      </c>
      <c r="J796" t="s">
        <v>1297</v>
      </c>
      <c r="K796" t="s">
        <v>1304</v>
      </c>
      <c r="L796" t="s">
        <v>1306</v>
      </c>
      <c r="M796" t="s">
        <v>1321</v>
      </c>
      <c r="N796">
        <v>2</v>
      </c>
      <c r="O796">
        <v>0.05</v>
      </c>
      <c r="P796">
        <v>892.44</v>
      </c>
      <c r="Q796">
        <v>236.82</v>
      </c>
      <c r="R796" t="s">
        <v>1331</v>
      </c>
      <c r="S796" t="b">
        <f t="shared" si="48"/>
        <v>0</v>
      </c>
      <c r="T796" t="b">
        <f t="shared" si="49"/>
        <v>0</v>
      </c>
      <c r="U796" t="b">
        <f t="shared" si="50"/>
        <v>0</v>
      </c>
    </row>
    <row r="797" spans="1:21" x14ac:dyDescent="0.3">
      <c r="A797">
        <v>796</v>
      </c>
      <c r="B797" t="s">
        <v>812</v>
      </c>
      <c r="C797" s="2">
        <v>45741</v>
      </c>
      <c r="D797" s="2" t="str">
        <f t="shared" si="51"/>
        <v>Mar-2025</v>
      </c>
      <c r="E797" s="2">
        <v>45745</v>
      </c>
      <c r="F797" t="s">
        <v>1017</v>
      </c>
      <c r="G797" t="s">
        <v>1055</v>
      </c>
      <c r="H797" t="s">
        <v>1277</v>
      </c>
      <c r="I797" t="s">
        <v>1288</v>
      </c>
      <c r="J797" t="s">
        <v>1293</v>
      </c>
      <c r="K797" t="s">
        <v>1304</v>
      </c>
      <c r="L797" t="s">
        <v>1309</v>
      </c>
      <c r="M797" t="s">
        <v>1320</v>
      </c>
      <c r="N797">
        <v>1</v>
      </c>
      <c r="O797">
        <v>0.1</v>
      </c>
      <c r="P797">
        <v>1125.04</v>
      </c>
      <c r="Q797">
        <v>226.91</v>
      </c>
      <c r="R797" t="s">
        <v>1331</v>
      </c>
      <c r="S797" t="b">
        <f t="shared" si="48"/>
        <v>0</v>
      </c>
      <c r="T797" t="b">
        <f t="shared" si="49"/>
        <v>0</v>
      </c>
      <c r="U797" t="b">
        <f t="shared" si="50"/>
        <v>0</v>
      </c>
    </row>
    <row r="798" spans="1:21" x14ac:dyDescent="0.3">
      <c r="A798">
        <v>797</v>
      </c>
      <c r="B798" t="s">
        <v>813</v>
      </c>
      <c r="C798" s="2">
        <v>45792</v>
      </c>
      <c r="D798" s="2" t="str">
        <f t="shared" si="51"/>
        <v>May-2025</v>
      </c>
      <c r="E798" s="2">
        <v>45794</v>
      </c>
      <c r="F798" t="s">
        <v>1017</v>
      </c>
      <c r="G798" t="s">
        <v>1068</v>
      </c>
      <c r="H798" t="s">
        <v>1284</v>
      </c>
      <c r="I798" t="s">
        <v>1287</v>
      </c>
      <c r="J798" t="s">
        <v>1297</v>
      </c>
      <c r="K798" t="s">
        <v>1304</v>
      </c>
      <c r="L798" t="s">
        <v>1309</v>
      </c>
      <c r="M798" t="s">
        <v>1317</v>
      </c>
      <c r="N798">
        <v>2</v>
      </c>
      <c r="O798">
        <v>0.05</v>
      </c>
      <c r="P798">
        <v>1532.33</v>
      </c>
      <c r="Q798">
        <v>536.54</v>
      </c>
      <c r="R798" t="s">
        <v>1331</v>
      </c>
      <c r="S798" t="b">
        <f t="shared" si="48"/>
        <v>0</v>
      </c>
      <c r="T798" t="b">
        <f t="shared" si="49"/>
        <v>0</v>
      </c>
      <c r="U798" t="b">
        <f t="shared" si="50"/>
        <v>0</v>
      </c>
    </row>
    <row r="799" spans="1:21" x14ac:dyDescent="0.3">
      <c r="A799">
        <v>798</v>
      </c>
      <c r="B799" t="s">
        <v>814</v>
      </c>
      <c r="C799" s="2">
        <v>45747</v>
      </c>
      <c r="D799" s="2" t="str">
        <f t="shared" si="51"/>
        <v>Mar-2025</v>
      </c>
      <c r="E799" s="2">
        <v>45751</v>
      </c>
      <c r="F799" t="s">
        <v>1018</v>
      </c>
      <c r="G799" t="s">
        <v>1083</v>
      </c>
      <c r="H799" t="s">
        <v>1268</v>
      </c>
      <c r="I799" t="s">
        <v>1289</v>
      </c>
      <c r="J799" t="s">
        <v>1292</v>
      </c>
      <c r="K799" t="s">
        <v>1303</v>
      </c>
      <c r="L799" t="s">
        <v>1309</v>
      </c>
      <c r="M799" t="s">
        <v>1320</v>
      </c>
      <c r="N799">
        <v>3</v>
      </c>
      <c r="O799">
        <v>0</v>
      </c>
      <c r="P799">
        <v>3515.96</v>
      </c>
      <c r="Q799">
        <v>819.18</v>
      </c>
      <c r="R799" t="s">
        <v>1330</v>
      </c>
      <c r="S799" t="b">
        <f t="shared" si="48"/>
        <v>0</v>
      </c>
      <c r="T799" t="b">
        <f t="shared" si="49"/>
        <v>0</v>
      </c>
      <c r="U799" t="b">
        <f t="shared" si="50"/>
        <v>0</v>
      </c>
    </row>
    <row r="800" spans="1:21" x14ac:dyDescent="0.3">
      <c r="A800">
        <v>799</v>
      </c>
      <c r="B800" t="s">
        <v>815</v>
      </c>
      <c r="C800" s="2">
        <v>45713</v>
      </c>
      <c r="D800" s="2" t="str">
        <f t="shared" si="51"/>
        <v>Feb-2025</v>
      </c>
      <c r="E800" s="2">
        <v>45717</v>
      </c>
      <c r="F800" t="s">
        <v>1017</v>
      </c>
      <c r="G800" t="s">
        <v>1193</v>
      </c>
      <c r="H800" t="s">
        <v>1280</v>
      </c>
      <c r="I800" t="s">
        <v>1289</v>
      </c>
      <c r="J800" t="s">
        <v>1291</v>
      </c>
      <c r="K800" t="s">
        <v>1302</v>
      </c>
      <c r="L800" t="s">
        <v>1307</v>
      </c>
      <c r="M800" t="s">
        <v>1311</v>
      </c>
      <c r="N800">
        <v>2</v>
      </c>
      <c r="O800">
        <v>0.05</v>
      </c>
      <c r="P800">
        <v>548.92999999999995</v>
      </c>
      <c r="Q800">
        <v>59.11</v>
      </c>
      <c r="R800" t="s">
        <v>1331</v>
      </c>
      <c r="S800" t="b">
        <f t="shared" si="48"/>
        <v>0</v>
      </c>
      <c r="T800" t="b">
        <f t="shared" si="49"/>
        <v>0</v>
      </c>
      <c r="U800" t="b">
        <f t="shared" si="50"/>
        <v>0</v>
      </c>
    </row>
    <row r="801" spans="1:21" x14ac:dyDescent="0.3">
      <c r="A801">
        <v>800</v>
      </c>
      <c r="B801" t="s">
        <v>816</v>
      </c>
      <c r="C801" s="2">
        <v>45720</v>
      </c>
      <c r="D801" s="2" t="str">
        <f t="shared" si="51"/>
        <v>Mar-2025</v>
      </c>
      <c r="E801" s="2">
        <v>45724</v>
      </c>
      <c r="F801" t="s">
        <v>1017</v>
      </c>
      <c r="G801" t="s">
        <v>1132</v>
      </c>
      <c r="H801" t="s">
        <v>1272</v>
      </c>
      <c r="I801" t="s">
        <v>1287</v>
      </c>
      <c r="J801" t="s">
        <v>1295</v>
      </c>
      <c r="K801" t="s">
        <v>1305</v>
      </c>
      <c r="L801" t="s">
        <v>1308</v>
      </c>
      <c r="M801" t="s">
        <v>1319</v>
      </c>
      <c r="N801">
        <v>2</v>
      </c>
      <c r="O801">
        <v>0.2</v>
      </c>
      <c r="P801">
        <v>7571.78</v>
      </c>
      <c r="Q801">
        <v>369.37</v>
      </c>
      <c r="R801" t="s">
        <v>1331</v>
      </c>
      <c r="S801" t="b">
        <f t="shared" si="48"/>
        <v>0</v>
      </c>
      <c r="T801" t="b">
        <f t="shared" si="49"/>
        <v>0</v>
      </c>
      <c r="U801" t="b">
        <f t="shared" si="50"/>
        <v>0</v>
      </c>
    </row>
    <row r="802" spans="1:21" x14ac:dyDescent="0.3">
      <c r="A802">
        <v>801</v>
      </c>
      <c r="B802" t="s">
        <v>817</v>
      </c>
      <c r="C802" s="2">
        <v>45736</v>
      </c>
      <c r="D802" s="2" t="str">
        <f t="shared" si="51"/>
        <v>Mar-2025</v>
      </c>
      <c r="E802" s="2">
        <v>45741</v>
      </c>
      <c r="F802" t="s">
        <v>1017</v>
      </c>
      <c r="G802" t="s">
        <v>1223</v>
      </c>
      <c r="H802" t="s">
        <v>1273</v>
      </c>
      <c r="I802" t="s">
        <v>1289</v>
      </c>
      <c r="J802" t="s">
        <v>1298</v>
      </c>
      <c r="K802" t="s">
        <v>1303</v>
      </c>
      <c r="L802" t="s">
        <v>1307</v>
      </c>
      <c r="M802" t="s">
        <v>1311</v>
      </c>
      <c r="N802">
        <v>3</v>
      </c>
      <c r="O802">
        <v>0.2</v>
      </c>
      <c r="P802">
        <v>687.36</v>
      </c>
      <c r="Q802">
        <v>30.66</v>
      </c>
      <c r="R802" t="s">
        <v>1333</v>
      </c>
      <c r="S802" t="b">
        <f t="shared" si="48"/>
        <v>0</v>
      </c>
      <c r="T802" t="b">
        <f t="shared" si="49"/>
        <v>0</v>
      </c>
      <c r="U802" t="b">
        <f t="shared" si="50"/>
        <v>0</v>
      </c>
    </row>
    <row r="803" spans="1:21" x14ac:dyDescent="0.3">
      <c r="A803">
        <v>802</v>
      </c>
      <c r="B803" t="s">
        <v>818</v>
      </c>
      <c r="C803" s="2">
        <v>45799</v>
      </c>
      <c r="D803" s="2" t="str">
        <f t="shared" si="51"/>
        <v>May-2025</v>
      </c>
      <c r="E803" s="2">
        <v>45804</v>
      </c>
      <c r="F803" t="s">
        <v>1017</v>
      </c>
      <c r="G803" t="s">
        <v>1029</v>
      </c>
      <c r="H803" t="s">
        <v>1269</v>
      </c>
      <c r="I803" t="s">
        <v>1288</v>
      </c>
      <c r="J803" t="s">
        <v>1295</v>
      </c>
      <c r="K803" t="s">
        <v>1305</v>
      </c>
      <c r="L803" t="s">
        <v>1307</v>
      </c>
      <c r="M803" t="s">
        <v>1314</v>
      </c>
      <c r="N803">
        <v>3</v>
      </c>
      <c r="O803">
        <v>0</v>
      </c>
      <c r="P803">
        <v>2615.41</v>
      </c>
      <c r="Q803">
        <v>451.99</v>
      </c>
      <c r="R803" t="s">
        <v>1333</v>
      </c>
      <c r="S803" t="b">
        <f t="shared" si="48"/>
        <v>0</v>
      </c>
      <c r="T803" t="b">
        <f t="shared" si="49"/>
        <v>0</v>
      </c>
      <c r="U803" t="b">
        <f t="shared" si="50"/>
        <v>0</v>
      </c>
    </row>
    <row r="804" spans="1:21" x14ac:dyDescent="0.3">
      <c r="A804">
        <v>803</v>
      </c>
      <c r="B804" t="s">
        <v>819</v>
      </c>
      <c r="C804" s="2">
        <v>45946</v>
      </c>
      <c r="D804" s="2" t="str">
        <f t="shared" si="51"/>
        <v>Oct-2025</v>
      </c>
      <c r="E804" s="2">
        <v>45948</v>
      </c>
      <c r="F804" t="s">
        <v>1017</v>
      </c>
      <c r="G804" t="s">
        <v>1037</v>
      </c>
      <c r="H804" t="s">
        <v>1273</v>
      </c>
      <c r="I804" t="s">
        <v>1287</v>
      </c>
      <c r="J804" t="s">
        <v>1292</v>
      </c>
      <c r="K804" t="s">
        <v>1303</v>
      </c>
      <c r="L804" t="s">
        <v>1309</v>
      </c>
      <c r="M804" t="s">
        <v>1313</v>
      </c>
      <c r="N804">
        <v>1</v>
      </c>
      <c r="O804">
        <v>0.05</v>
      </c>
      <c r="P804">
        <v>1434.67</v>
      </c>
      <c r="Q804">
        <v>258.77</v>
      </c>
      <c r="R804" t="s">
        <v>1332</v>
      </c>
      <c r="S804" t="b">
        <f t="shared" si="48"/>
        <v>0</v>
      </c>
      <c r="T804" t="b">
        <f t="shared" si="49"/>
        <v>0</v>
      </c>
      <c r="U804" t="b">
        <f t="shared" si="50"/>
        <v>0</v>
      </c>
    </row>
    <row r="805" spans="1:21" x14ac:dyDescent="0.3">
      <c r="A805">
        <v>804</v>
      </c>
      <c r="B805" t="s">
        <v>820</v>
      </c>
      <c r="C805" s="2">
        <v>45718</v>
      </c>
      <c r="D805" s="2" t="str">
        <f t="shared" si="51"/>
        <v>Mar-2025</v>
      </c>
      <c r="E805" s="2">
        <v>45722</v>
      </c>
      <c r="F805" t="s">
        <v>1018</v>
      </c>
      <c r="G805" t="s">
        <v>1087</v>
      </c>
      <c r="H805" t="s">
        <v>1276</v>
      </c>
      <c r="I805" t="s">
        <v>1287</v>
      </c>
      <c r="J805" t="s">
        <v>1292</v>
      </c>
      <c r="K805" t="s">
        <v>1303</v>
      </c>
      <c r="L805" t="s">
        <v>1306</v>
      </c>
      <c r="M805" t="s">
        <v>1324</v>
      </c>
      <c r="N805">
        <v>1</v>
      </c>
      <c r="O805">
        <v>0.05</v>
      </c>
      <c r="P805">
        <v>81.95</v>
      </c>
      <c r="Q805">
        <v>11.54</v>
      </c>
      <c r="R805" t="s">
        <v>1332</v>
      </c>
      <c r="S805" t="b">
        <f t="shared" si="48"/>
        <v>0</v>
      </c>
      <c r="T805" t="b">
        <f t="shared" si="49"/>
        <v>0</v>
      </c>
      <c r="U805" t="b">
        <f t="shared" si="50"/>
        <v>0</v>
      </c>
    </row>
    <row r="806" spans="1:21" x14ac:dyDescent="0.3">
      <c r="A806">
        <v>805</v>
      </c>
      <c r="B806" t="s">
        <v>821</v>
      </c>
      <c r="C806" s="2">
        <v>45832</v>
      </c>
      <c r="D806" s="2" t="str">
        <f t="shared" si="51"/>
        <v>Jun-2025</v>
      </c>
      <c r="E806" s="2">
        <v>45835</v>
      </c>
      <c r="F806" t="s">
        <v>1017</v>
      </c>
      <c r="G806" t="s">
        <v>1033</v>
      </c>
      <c r="H806" t="s">
        <v>1276</v>
      </c>
      <c r="I806" t="s">
        <v>1287</v>
      </c>
      <c r="J806" t="s">
        <v>1294</v>
      </c>
      <c r="K806" t="s">
        <v>1305</v>
      </c>
      <c r="L806" t="s">
        <v>1308</v>
      </c>
      <c r="M806" t="s">
        <v>1312</v>
      </c>
      <c r="N806">
        <v>1</v>
      </c>
      <c r="O806">
        <v>0</v>
      </c>
      <c r="P806">
        <v>1287.47</v>
      </c>
      <c r="Q806">
        <v>240.49</v>
      </c>
      <c r="R806" t="s">
        <v>1331</v>
      </c>
      <c r="S806" t="b">
        <f t="shared" si="48"/>
        <v>0</v>
      </c>
      <c r="T806" t="b">
        <f t="shared" si="49"/>
        <v>0</v>
      </c>
      <c r="U806" t="b">
        <f t="shared" si="50"/>
        <v>0</v>
      </c>
    </row>
    <row r="807" spans="1:21" x14ac:dyDescent="0.3">
      <c r="A807">
        <v>806</v>
      </c>
      <c r="B807" t="s">
        <v>822</v>
      </c>
      <c r="C807" s="2">
        <v>45843</v>
      </c>
      <c r="D807" s="2" t="str">
        <f t="shared" si="51"/>
        <v>Jul-2025</v>
      </c>
      <c r="E807" s="2">
        <v>45845</v>
      </c>
      <c r="F807" t="s">
        <v>1017</v>
      </c>
      <c r="G807" t="s">
        <v>1248</v>
      </c>
      <c r="H807" t="s">
        <v>1269</v>
      </c>
      <c r="I807" t="s">
        <v>1287</v>
      </c>
      <c r="J807" t="s">
        <v>1301</v>
      </c>
      <c r="K807" t="s">
        <v>1303</v>
      </c>
      <c r="L807" t="s">
        <v>1306</v>
      </c>
      <c r="M807" t="s">
        <v>1323</v>
      </c>
      <c r="N807">
        <v>3</v>
      </c>
      <c r="O807">
        <v>0.1</v>
      </c>
      <c r="P807">
        <v>474.53</v>
      </c>
      <c r="Q807">
        <v>37.36</v>
      </c>
      <c r="R807" t="s">
        <v>1333</v>
      </c>
      <c r="S807" t="b">
        <f t="shared" si="48"/>
        <v>0</v>
      </c>
      <c r="T807" t="b">
        <f t="shared" si="49"/>
        <v>0</v>
      </c>
      <c r="U807" t="b">
        <f t="shared" si="50"/>
        <v>0</v>
      </c>
    </row>
    <row r="808" spans="1:21" x14ac:dyDescent="0.3">
      <c r="A808">
        <v>807</v>
      </c>
      <c r="B808" t="s">
        <v>823</v>
      </c>
      <c r="C808" s="2">
        <v>45813</v>
      </c>
      <c r="D808" s="2" t="str">
        <f t="shared" si="51"/>
        <v>Jun-2025</v>
      </c>
      <c r="E808" s="2">
        <v>45815</v>
      </c>
      <c r="F808" t="s">
        <v>1018</v>
      </c>
      <c r="G808" t="s">
        <v>1086</v>
      </c>
      <c r="H808" t="s">
        <v>1277</v>
      </c>
      <c r="I808" t="s">
        <v>1287</v>
      </c>
      <c r="J808" t="s">
        <v>1294</v>
      </c>
      <c r="K808" t="s">
        <v>1305</v>
      </c>
      <c r="L808" t="s">
        <v>1309</v>
      </c>
      <c r="M808" t="s">
        <v>1317</v>
      </c>
      <c r="N808">
        <v>2</v>
      </c>
      <c r="O808">
        <v>0</v>
      </c>
      <c r="P808">
        <v>1677.82</v>
      </c>
      <c r="Q808">
        <v>420.12</v>
      </c>
      <c r="R808" t="s">
        <v>1331</v>
      </c>
      <c r="S808" t="b">
        <f t="shared" si="48"/>
        <v>0</v>
      </c>
      <c r="T808" t="b">
        <f t="shared" si="49"/>
        <v>0</v>
      </c>
      <c r="U808" t="b">
        <f t="shared" si="50"/>
        <v>0</v>
      </c>
    </row>
    <row r="809" spans="1:21" x14ac:dyDescent="0.3">
      <c r="A809">
        <v>808</v>
      </c>
      <c r="B809" t="s">
        <v>824</v>
      </c>
      <c r="C809" s="2">
        <v>45702</v>
      </c>
      <c r="D809" s="2" t="str">
        <f t="shared" si="51"/>
        <v>Feb-2025</v>
      </c>
      <c r="E809" s="2">
        <v>45703</v>
      </c>
      <c r="F809" t="s">
        <v>1018</v>
      </c>
      <c r="G809" t="s">
        <v>1140</v>
      </c>
      <c r="H809" t="s">
        <v>1276</v>
      </c>
      <c r="I809" t="s">
        <v>1287</v>
      </c>
      <c r="J809" t="s">
        <v>1294</v>
      </c>
      <c r="K809" t="s">
        <v>1305</v>
      </c>
      <c r="L809" t="s">
        <v>1309</v>
      </c>
      <c r="M809" t="s">
        <v>1325</v>
      </c>
      <c r="N809">
        <v>3</v>
      </c>
      <c r="O809">
        <v>0.2</v>
      </c>
      <c r="P809">
        <v>3023.73</v>
      </c>
      <c r="Q809">
        <v>545.44000000000005</v>
      </c>
      <c r="R809" t="s">
        <v>1331</v>
      </c>
      <c r="S809" t="b">
        <f t="shared" si="48"/>
        <v>0</v>
      </c>
      <c r="T809" t="b">
        <f t="shared" si="49"/>
        <v>0</v>
      </c>
      <c r="U809" t="b">
        <f t="shared" si="50"/>
        <v>0</v>
      </c>
    </row>
    <row r="810" spans="1:21" x14ac:dyDescent="0.3">
      <c r="A810">
        <v>809</v>
      </c>
      <c r="B810" t="s">
        <v>825</v>
      </c>
      <c r="C810" s="2">
        <v>45836</v>
      </c>
      <c r="D810" s="2" t="str">
        <f t="shared" si="51"/>
        <v>Jun-2025</v>
      </c>
      <c r="E810" s="2">
        <v>45838</v>
      </c>
      <c r="F810" t="s">
        <v>1017</v>
      </c>
      <c r="G810" t="s">
        <v>1184</v>
      </c>
      <c r="H810" t="s">
        <v>1270</v>
      </c>
      <c r="I810" t="s">
        <v>1288</v>
      </c>
      <c r="J810" t="s">
        <v>1293</v>
      </c>
      <c r="K810" t="s">
        <v>1304</v>
      </c>
      <c r="L810" t="s">
        <v>1309</v>
      </c>
      <c r="M810" t="s">
        <v>1313</v>
      </c>
      <c r="N810">
        <v>2</v>
      </c>
      <c r="O810">
        <v>0.1</v>
      </c>
      <c r="P810">
        <v>2631.1</v>
      </c>
      <c r="Q810">
        <v>672.69</v>
      </c>
      <c r="R810" t="s">
        <v>1332</v>
      </c>
      <c r="S810" t="b">
        <f t="shared" si="48"/>
        <v>0</v>
      </c>
      <c r="T810" t="b">
        <f t="shared" si="49"/>
        <v>0</v>
      </c>
      <c r="U810" t="b">
        <f t="shared" si="50"/>
        <v>0</v>
      </c>
    </row>
    <row r="811" spans="1:21" x14ac:dyDescent="0.3">
      <c r="A811">
        <v>810</v>
      </c>
      <c r="B811" t="s">
        <v>826</v>
      </c>
      <c r="C811" s="2">
        <v>45723</v>
      </c>
      <c r="D811" s="2" t="str">
        <f t="shared" si="51"/>
        <v>Mar-2025</v>
      </c>
      <c r="E811" s="2">
        <v>45727</v>
      </c>
      <c r="F811" t="s">
        <v>1017</v>
      </c>
      <c r="G811" t="s">
        <v>1197</v>
      </c>
      <c r="H811" t="s">
        <v>1284</v>
      </c>
      <c r="I811" t="s">
        <v>1287</v>
      </c>
      <c r="J811" t="s">
        <v>1293</v>
      </c>
      <c r="K811" t="s">
        <v>1304</v>
      </c>
      <c r="L811" t="s">
        <v>1309</v>
      </c>
      <c r="M811" t="s">
        <v>1320</v>
      </c>
      <c r="N811">
        <v>2</v>
      </c>
      <c r="O811">
        <v>0.1</v>
      </c>
      <c r="P811">
        <v>2172.33</v>
      </c>
      <c r="Q811">
        <v>342.41</v>
      </c>
      <c r="R811" t="s">
        <v>1331</v>
      </c>
      <c r="S811" t="b">
        <f t="shared" si="48"/>
        <v>0</v>
      </c>
      <c r="T811" t="b">
        <f t="shared" si="49"/>
        <v>0</v>
      </c>
      <c r="U811" t="b">
        <f t="shared" si="50"/>
        <v>0</v>
      </c>
    </row>
    <row r="812" spans="1:21" x14ac:dyDescent="0.3">
      <c r="A812">
        <v>811</v>
      </c>
      <c r="B812" t="s">
        <v>827</v>
      </c>
      <c r="C812" s="2">
        <v>46011</v>
      </c>
      <c r="D812" s="2" t="str">
        <f t="shared" si="51"/>
        <v>Dec-2025</v>
      </c>
      <c r="E812" s="2">
        <v>46014</v>
      </c>
      <c r="F812" t="s">
        <v>1018</v>
      </c>
      <c r="G812" t="s">
        <v>1054</v>
      </c>
      <c r="H812" t="s">
        <v>1283</v>
      </c>
      <c r="I812" t="s">
        <v>1288</v>
      </c>
      <c r="J812" t="s">
        <v>1292</v>
      </c>
      <c r="K812" t="s">
        <v>1303</v>
      </c>
      <c r="L812" t="s">
        <v>1307</v>
      </c>
      <c r="M812" t="s">
        <v>1311</v>
      </c>
      <c r="N812">
        <v>3</v>
      </c>
      <c r="O812">
        <v>0.2</v>
      </c>
      <c r="P812">
        <v>709.69</v>
      </c>
      <c r="Q812">
        <v>83.1</v>
      </c>
      <c r="R812" t="s">
        <v>1332</v>
      </c>
      <c r="S812" t="b">
        <f t="shared" si="48"/>
        <v>0</v>
      </c>
      <c r="T812" t="b">
        <f t="shared" si="49"/>
        <v>0</v>
      </c>
      <c r="U812" t="b">
        <f t="shared" si="50"/>
        <v>0</v>
      </c>
    </row>
    <row r="813" spans="1:21" x14ac:dyDescent="0.3">
      <c r="A813">
        <v>812</v>
      </c>
      <c r="B813" t="s">
        <v>828</v>
      </c>
      <c r="C813" s="2">
        <v>45832</v>
      </c>
      <c r="D813" s="2" t="str">
        <f t="shared" si="51"/>
        <v>Jun-2025</v>
      </c>
      <c r="E813" s="2">
        <v>45833</v>
      </c>
      <c r="F813" t="s">
        <v>1017</v>
      </c>
      <c r="G813" t="s">
        <v>1223</v>
      </c>
      <c r="H813" t="s">
        <v>1275</v>
      </c>
      <c r="I813" t="s">
        <v>1289</v>
      </c>
      <c r="J813" t="s">
        <v>1296</v>
      </c>
      <c r="K813" t="s">
        <v>1304</v>
      </c>
      <c r="L813" t="s">
        <v>1306</v>
      </c>
      <c r="M813" t="s">
        <v>1323</v>
      </c>
      <c r="N813">
        <v>2</v>
      </c>
      <c r="O813">
        <v>0</v>
      </c>
      <c r="P813">
        <v>363</v>
      </c>
      <c r="Q813">
        <v>71.55</v>
      </c>
      <c r="R813" t="s">
        <v>1330</v>
      </c>
      <c r="S813" t="b">
        <f t="shared" si="48"/>
        <v>0</v>
      </c>
      <c r="T813" t="b">
        <f t="shared" si="49"/>
        <v>0</v>
      </c>
      <c r="U813" t="b">
        <f t="shared" si="50"/>
        <v>0</v>
      </c>
    </row>
    <row r="814" spans="1:21" x14ac:dyDescent="0.3">
      <c r="A814">
        <v>813</v>
      </c>
      <c r="B814" t="s">
        <v>829</v>
      </c>
      <c r="C814" s="2">
        <v>45694</v>
      </c>
      <c r="D814" s="2" t="str">
        <f t="shared" si="51"/>
        <v>Feb-2025</v>
      </c>
      <c r="E814" s="2">
        <v>45697</v>
      </c>
      <c r="F814" t="s">
        <v>1017</v>
      </c>
      <c r="G814" t="s">
        <v>1170</v>
      </c>
      <c r="H814" t="s">
        <v>1272</v>
      </c>
      <c r="I814" t="s">
        <v>1288</v>
      </c>
      <c r="J814" t="s">
        <v>1300</v>
      </c>
      <c r="K814" t="s">
        <v>1305</v>
      </c>
      <c r="L814" t="s">
        <v>1307</v>
      </c>
      <c r="M814" t="s">
        <v>1315</v>
      </c>
      <c r="N814">
        <v>3</v>
      </c>
      <c r="O814">
        <v>0.15</v>
      </c>
      <c r="P814">
        <v>4576.7299999999996</v>
      </c>
      <c r="Q814">
        <v>296.14999999999998</v>
      </c>
      <c r="R814" t="s">
        <v>1332</v>
      </c>
      <c r="S814" t="b">
        <f t="shared" si="48"/>
        <v>0</v>
      </c>
      <c r="T814" t="b">
        <f t="shared" si="49"/>
        <v>0</v>
      </c>
      <c r="U814" t="b">
        <f t="shared" si="50"/>
        <v>0</v>
      </c>
    </row>
    <row r="815" spans="1:21" x14ac:dyDescent="0.3">
      <c r="A815">
        <v>814</v>
      </c>
      <c r="B815" t="s">
        <v>830</v>
      </c>
      <c r="C815" s="2">
        <v>45924</v>
      </c>
      <c r="D815" s="2" t="str">
        <f t="shared" si="51"/>
        <v>Sep-2025</v>
      </c>
      <c r="E815" s="2">
        <v>45927</v>
      </c>
      <c r="F815" t="s">
        <v>1017</v>
      </c>
      <c r="G815" t="s">
        <v>1142</v>
      </c>
      <c r="H815" t="s">
        <v>1270</v>
      </c>
      <c r="I815" t="s">
        <v>1287</v>
      </c>
      <c r="J815" t="s">
        <v>1299</v>
      </c>
      <c r="K815" t="s">
        <v>1304</v>
      </c>
      <c r="L815" t="s">
        <v>1307</v>
      </c>
      <c r="M815" t="s">
        <v>1314</v>
      </c>
      <c r="N815">
        <v>4</v>
      </c>
      <c r="O815">
        <v>0.05</v>
      </c>
      <c r="P815">
        <v>3387.79</v>
      </c>
      <c r="Q815">
        <v>755.37</v>
      </c>
      <c r="R815" t="s">
        <v>1331</v>
      </c>
      <c r="S815" t="b">
        <f t="shared" si="48"/>
        <v>0</v>
      </c>
      <c r="T815" t="b">
        <f t="shared" si="49"/>
        <v>0</v>
      </c>
      <c r="U815" t="b">
        <f t="shared" si="50"/>
        <v>0</v>
      </c>
    </row>
    <row r="816" spans="1:21" x14ac:dyDescent="0.3">
      <c r="A816">
        <v>815</v>
      </c>
      <c r="B816" t="s">
        <v>831</v>
      </c>
      <c r="C816" s="2">
        <v>45744</v>
      </c>
      <c r="D816" s="2" t="str">
        <f t="shared" si="51"/>
        <v>Mar-2025</v>
      </c>
      <c r="E816" s="2">
        <v>45748</v>
      </c>
      <c r="F816" t="s">
        <v>1017</v>
      </c>
      <c r="G816" t="s">
        <v>1190</v>
      </c>
      <c r="H816" t="s">
        <v>1278</v>
      </c>
      <c r="I816" t="s">
        <v>1289</v>
      </c>
      <c r="J816" t="s">
        <v>1290</v>
      </c>
      <c r="K816" t="s">
        <v>1302</v>
      </c>
      <c r="L816" t="s">
        <v>1307</v>
      </c>
      <c r="M816" t="s">
        <v>1311</v>
      </c>
      <c r="N816">
        <v>1</v>
      </c>
      <c r="O816">
        <v>0.2</v>
      </c>
      <c r="P816">
        <v>242.88</v>
      </c>
      <c r="Q816">
        <v>17.3</v>
      </c>
      <c r="R816" t="s">
        <v>1332</v>
      </c>
      <c r="S816" t="b">
        <f t="shared" si="48"/>
        <v>0</v>
      </c>
      <c r="T816" t="b">
        <f t="shared" si="49"/>
        <v>0</v>
      </c>
      <c r="U816" t="b">
        <f t="shared" si="50"/>
        <v>0</v>
      </c>
    </row>
    <row r="817" spans="1:21" x14ac:dyDescent="0.3">
      <c r="A817">
        <v>816</v>
      </c>
      <c r="B817" t="s">
        <v>832</v>
      </c>
      <c r="C817" s="2">
        <v>45665</v>
      </c>
      <c r="D817" s="2" t="str">
        <f t="shared" si="51"/>
        <v>Jan-2025</v>
      </c>
      <c r="E817" s="2">
        <v>45670</v>
      </c>
      <c r="F817" t="s">
        <v>1017</v>
      </c>
      <c r="G817" t="s">
        <v>1200</v>
      </c>
      <c r="H817" t="s">
        <v>1282</v>
      </c>
      <c r="I817" t="s">
        <v>1287</v>
      </c>
      <c r="J817" t="s">
        <v>1298</v>
      </c>
      <c r="K817" t="s">
        <v>1303</v>
      </c>
      <c r="L817" t="s">
        <v>1306</v>
      </c>
      <c r="M817" t="s">
        <v>1321</v>
      </c>
      <c r="N817">
        <v>1</v>
      </c>
      <c r="O817">
        <v>0.1</v>
      </c>
      <c r="P817">
        <v>424.98</v>
      </c>
      <c r="Q817">
        <v>144.94</v>
      </c>
      <c r="R817" t="s">
        <v>1331</v>
      </c>
      <c r="S817" t="b">
        <f t="shared" si="48"/>
        <v>0</v>
      </c>
      <c r="T817" t="b">
        <f t="shared" si="49"/>
        <v>0</v>
      </c>
      <c r="U817" t="b">
        <f t="shared" si="50"/>
        <v>0</v>
      </c>
    </row>
    <row r="818" spans="1:21" x14ac:dyDescent="0.3">
      <c r="A818">
        <v>817</v>
      </c>
      <c r="B818" t="s">
        <v>833</v>
      </c>
      <c r="C818" s="2">
        <v>45836</v>
      </c>
      <c r="D818" s="2" t="str">
        <f t="shared" si="51"/>
        <v>Jun-2025</v>
      </c>
      <c r="E818" s="2">
        <v>45841</v>
      </c>
      <c r="F818" t="s">
        <v>1017</v>
      </c>
      <c r="G818" t="s">
        <v>1184</v>
      </c>
      <c r="H818" t="s">
        <v>1280</v>
      </c>
      <c r="I818" t="s">
        <v>1287</v>
      </c>
      <c r="J818" t="s">
        <v>1296</v>
      </c>
      <c r="K818" t="s">
        <v>1304</v>
      </c>
      <c r="L818" t="s">
        <v>1306</v>
      </c>
      <c r="M818" t="s">
        <v>1324</v>
      </c>
      <c r="N818">
        <v>5</v>
      </c>
      <c r="O818">
        <v>0.2</v>
      </c>
      <c r="P818">
        <v>358.77</v>
      </c>
      <c r="Q818">
        <v>33.69</v>
      </c>
      <c r="R818" t="s">
        <v>1334</v>
      </c>
      <c r="S818" t="b">
        <f t="shared" si="48"/>
        <v>0</v>
      </c>
      <c r="T818" t="b">
        <f t="shared" si="49"/>
        <v>0</v>
      </c>
      <c r="U818" t="b">
        <f t="shared" si="50"/>
        <v>0</v>
      </c>
    </row>
    <row r="819" spans="1:21" x14ac:dyDescent="0.3">
      <c r="A819">
        <v>818</v>
      </c>
      <c r="B819" t="s">
        <v>834</v>
      </c>
      <c r="C819" s="2">
        <v>45963</v>
      </c>
      <c r="D819" s="2" t="str">
        <f t="shared" si="51"/>
        <v>Nov-2025</v>
      </c>
      <c r="E819" s="2">
        <v>45966</v>
      </c>
      <c r="F819" t="s">
        <v>1018</v>
      </c>
      <c r="G819" t="s">
        <v>1140</v>
      </c>
      <c r="H819" t="s">
        <v>1276</v>
      </c>
      <c r="I819" t="s">
        <v>1287</v>
      </c>
      <c r="J819" t="s">
        <v>1294</v>
      </c>
      <c r="K819" t="s">
        <v>1305</v>
      </c>
      <c r="L819" t="s">
        <v>1307</v>
      </c>
      <c r="M819" t="s">
        <v>1315</v>
      </c>
      <c r="N819">
        <v>3</v>
      </c>
      <c r="O819">
        <v>0</v>
      </c>
      <c r="P819">
        <v>5207.1000000000004</v>
      </c>
      <c r="Q819">
        <v>1155.22</v>
      </c>
      <c r="R819" t="s">
        <v>1330</v>
      </c>
      <c r="S819" t="b">
        <f t="shared" si="48"/>
        <v>0</v>
      </c>
      <c r="T819" t="b">
        <f t="shared" si="49"/>
        <v>0</v>
      </c>
      <c r="U819" t="b">
        <f t="shared" si="50"/>
        <v>0</v>
      </c>
    </row>
    <row r="820" spans="1:21" x14ac:dyDescent="0.3">
      <c r="A820">
        <v>819</v>
      </c>
      <c r="B820" t="s">
        <v>835</v>
      </c>
      <c r="C820" s="2">
        <v>45999</v>
      </c>
      <c r="D820" s="2" t="str">
        <f t="shared" si="51"/>
        <v>Dec-2025</v>
      </c>
      <c r="E820" s="2">
        <v>46002</v>
      </c>
      <c r="F820" t="s">
        <v>1017</v>
      </c>
      <c r="G820" t="s">
        <v>1222</v>
      </c>
      <c r="H820" t="s">
        <v>1271</v>
      </c>
      <c r="I820" t="s">
        <v>1289</v>
      </c>
      <c r="J820" t="s">
        <v>1295</v>
      </c>
      <c r="K820" t="s">
        <v>1305</v>
      </c>
      <c r="L820" t="s">
        <v>1307</v>
      </c>
      <c r="M820" t="s">
        <v>1315</v>
      </c>
      <c r="N820">
        <v>2</v>
      </c>
      <c r="O820">
        <v>0.05</v>
      </c>
      <c r="P820">
        <v>3340.9</v>
      </c>
      <c r="Q820">
        <v>964.31</v>
      </c>
      <c r="R820" t="s">
        <v>1333</v>
      </c>
      <c r="S820" t="b">
        <f t="shared" si="48"/>
        <v>0</v>
      </c>
      <c r="T820" t="b">
        <f t="shared" si="49"/>
        <v>0</v>
      </c>
      <c r="U820" t="b">
        <f t="shared" si="50"/>
        <v>0</v>
      </c>
    </row>
    <row r="821" spans="1:21" x14ac:dyDescent="0.3">
      <c r="A821">
        <v>820</v>
      </c>
      <c r="B821" t="s">
        <v>836</v>
      </c>
      <c r="C821" s="2">
        <v>45865</v>
      </c>
      <c r="D821" s="2" t="str">
        <f t="shared" si="51"/>
        <v>Jul-2025</v>
      </c>
      <c r="E821" s="2">
        <v>45869</v>
      </c>
      <c r="F821" t="s">
        <v>1019</v>
      </c>
      <c r="G821" t="s">
        <v>1246</v>
      </c>
      <c r="H821" t="s">
        <v>1277</v>
      </c>
      <c r="I821" t="s">
        <v>1287</v>
      </c>
      <c r="J821" t="s">
        <v>1293</v>
      </c>
      <c r="K821" t="s">
        <v>1304</v>
      </c>
      <c r="L821" t="s">
        <v>1308</v>
      </c>
      <c r="M821" t="s">
        <v>1318</v>
      </c>
      <c r="N821">
        <v>1</v>
      </c>
      <c r="O821">
        <v>0</v>
      </c>
      <c r="P821">
        <v>5415.43</v>
      </c>
      <c r="Q821">
        <v>1470.66</v>
      </c>
      <c r="R821" t="s">
        <v>1331</v>
      </c>
      <c r="S821" t="b">
        <f t="shared" si="48"/>
        <v>0</v>
      </c>
      <c r="T821" t="b">
        <f t="shared" si="49"/>
        <v>0</v>
      </c>
      <c r="U821" t="b">
        <f t="shared" si="50"/>
        <v>0</v>
      </c>
    </row>
    <row r="822" spans="1:21" x14ac:dyDescent="0.3">
      <c r="A822">
        <v>821</v>
      </c>
      <c r="B822" t="s">
        <v>837</v>
      </c>
      <c r="C822" s="2">
        <v>45985</v>
      </c>
      <c r="D822" s="2" t="str">
        <f t="shared" si="51"/>
        <v>Nov-2025</v>
      </c>
      <c r="E822" s="2">
        <v>45990</v>
      </c>
      <c r="F822" t="s">
        <v>1017</v>
      </c>
      <c r="G822" t="s">
        <v>1166</v>
      </c>
      <c r="H822" t="s">
        <v>1276</v>
      </c>
      <c r="I822" t="s">
        <v>1287</v>
      </c>
      <c r="J822" t="s">
        <v>1299</v>
      </c>
      <c r="K822" t="s">
        <v>1304</v>
      </c>
      <c r="L822" t="s">
        <v>1306</v>
      </c>
      <c r="M822" t="s">
        <v>1324</v>
      </c>
      <c r="N822">
        <v>2</v>
      </c>
      <c r="O822">
        <v>0.1</v>
      </c>
      <c r="P822">
        <v>160.51</v>
      </c>
      <c r="Q822">
        <v>41.3</v>
      </c>
      <c r="R822" t="s">
        <v>1332</v>
      </c>
      <c r="S822" t="b">
        <f t="shared" si="48"/>
        <v>0</v>
      </c>
      <c r="T822" t="b">
        <f t="shared" si="49"/>
        <v>0</v>
      </c>
      <c r="U822" t="b">
        <f t="shared" si="50"/>
        <v>0</v>
      </c>
    </row>
    <row r="823" spans="1:21" x14ac:dyDescent="0.3">
      <c r="A823">
        <v>822</v>
      </c>
      <c r="B823" t="s">
        <v>838</v>
      </c>
      <c r="C823" s="2">
        <v>45778</v>
      </c>
      <c r="D823" s="2" t="str">
        <f t="shared" si="51"/>
        <v>May-2025</v>
      </c>
      <c r="E823" s="2">
        <v>45780</v>
      </c>
      <c r="F823" t="s">
        <v>1018</v>
      </c>
      <c r="G823" t="s">
        <v>1097</v>
      </c>
      <c r="H823" t="s">
        <v>1282</v>
      </c>
      <c r="I823" t="s">
        <v>1287</v>
      </c>
      <c r="J823" t="s">
        <v>1296</v>
      </c>
      <c r="K823" t="s">
        <v>1304</v>
      </c>
      <c r="L823" t="s">
        <v>1308</v>
      </c>
      <c r="M823" t="s">
        <v>1318</v>
      </c>
      <c r="N823">
        <v>1</v>
      </c>
      <c r="O823">
        <v>0</v>
      </c>
      <c r="P823">
        <v>5318.46</v>
      </c>
      <c r="Q823">
        <v>1796.31</v>
      </c>
      <c r="R823" t="s">
        <v>1330</v>
      </c>
      <c r="S823" t="b">
        <f t="shared" si="48"/>
        <v>0</v>
      </c>
      <c r="T823" t="b">
        <f t="shared" si="49"/>
        <v>0</v>
      </c>
      <c r="U823" t="b">
        <f t="shared" si="50"/>
        <v>0</v>
      </c>
    </row>
    <row r="824" spans="1:21" x14ac:dyDescent="0.3">
      <c r="A824">
        <v>823</v>
      </c>
      <c r="B824" t="s">
        <v>839</v>
      </c>
      <c r="C824" s="2">
        <v>45685</v>
      </c>
      <c r="D824" s="2" t="str">
        <f t="shared" si="51"/>
        <v>Jan-2025</v>
      </c>
      <c r="E824" s="2">
        <v>45687</v>
      </c>
      <c r="F824" t="s">
        <v>1017</v>
      </c>
      <c r="G824" t="s">
        <v>1073</v>
      </c>
      <c r="H824" t="s">
        <v>1285</v>
      </c>
      <c r="I824" t="s">
        <v>1287</v>
      </c>
      <c r="J824" t="s">
        <v>1300</v>
      </c>
      <c r="K824" t="s">
        <v>1305</v>
      </c>
      <c r="L824" t="s">
        <v>1308</v>
      </c>
      <c r="M824" t="s">
        <v>1319</v>
      </c>
      <c r="N824">
        <v>4</v>
      </c>
      <c r="O824">
        <v>0</v>
      </c>
      <c r="P824">
        <v>17903.599999999999</v>
      </c>
      <c r="Q824">
        <v>4202.46</v>
      </c>
      <c r="R824" t="s">
        <v>1331</v>
      </c>
      <c r="S824" t="b">
        <f t="shared" si="48"/>
        <v>0</v>
      </c>
      <c r="T824" t="b">
        <f t="shared" si="49"/>
        <v>0</v>
      </c>
      <c r="U824" t="b">
        <f t="shared" si="50"/>
        <v>0</v>
      </c>
    </row>
    <row r="825" spans="1:21" x14ac:dyDescent="0.3">
      <c r="A825">
        <v>824</v>
      </c>
      <c r="B825" t="s">
        <v>840</v>
      </c>
      <c r="C825" s="2">
        <v>46006</v>
      </c>
      <c r="D825" s="2" t="str">
        <f t="shared" si="51"/>
        <v>Dec-2025</v>
      </c>
      <c r="E825" s="2">
        <v>46010</v>
      </c>
      <c r="F825" t="s">
        <v>1017</v>
      </c>
      <c r="G825" t="s">
        <v>1066</v>
      </c>
      <c r="H825" t="s">
        <v>1276</v>
      </c>
      <c r="I825" t="s">
        <v>1287</v>
      </c>
      <c r="J825" t="s">
        <v>1301</v>
      </c>
      <c r="K825" t="s">
        <v>1303</v>
      </c>
      <c r="L825" t="s">
        <v>1308</v>
      </c>
      <c r="M825" t="s">
        <v>1326</v>
      </c>
      <c r="N825">
        <v>4</v>
      </c>
      <c r="O825">
        <v>0.2</v>
      </c>
      <c r="P825">
        <v>23023.5</v>
      </c>
      <c r="Q825">
        <v>1276.6300000000001</v>
      </c>
      <c r="R825" t="s">
        <v>1330</v>
      </c>
      <c r="S825" t="b">
        <f t="shared" si="48"/>
        <v>0</v>
      </c>
      <c r="T825" t="b">
        <f t="shared" si="49"/>
        <v>0</v>
      </c>
      <c r="U825" t="b">
        <f t="shared" si="50"/>
        <v>0</v>
      </c>
    </row>
    <row r="826" spans="1:21" x14ac:dyDescent="0.3">
      <c r="A826">
        <v>825</v>
      </c>
      <c r="B826" t="s">
        <v>841</v>
      </c>
      <c r="C826" s="2">
        <v>45909</v>
      </c>
      <c r="D826" s="2" t="str">
        <f t="shared" si="51"/>
        <v>Sep-2025</v>
      </c>
      <c r="E826" s="2">
        <v>45912</v>
      </c>
      <c r="F826" t="s">
        <v>1017</v>
      </c>
      <c r="G826" t="s">
        <v>1260</v>
      </c>
      <c r="H826" t="s">
        <v>1269</v>
      </c>
      <c r="I826" t="s">
        <v>1287</v>
      </c>
      <c r="J826" t="s">
        <v>1300</v>
      </c>
      <c r="K826" t="s">
        <v>1305</v>
      </c>
      <c r="L826" t="s">
        <v>1309</v>
      </c>
      <c r="M826" t="s">
        <v>1313</v>
      </c>
      <c r="N826">
        <v>3</v>
      </c>
      <c r="O826">
        <v>0.1</v>
      </c>
      <c r="P826">
        <v>4209.76</v>
      </c>
      <c r="Q826">
        <v>671.6</v>
      </c>
      <c r="R826" t="s">
        <v>1331</v>
      </c>
      <c r="S826" t="b">
        <f t="shared" si="48"/>
        <v>0</v>
      </c>
      <c r="T826" t="b">
        <f t="shared" si="49"/>
        <v>0</v>
      </c>
      <c r="U826" t="b">
        <f t="shared" si="50"/>
        <v>0</v>
      </c>
    </row>
    <row r="827" spans="1:21" x14ac:dyDescent="0.3">
      <c r="A827">
        <v>826</v>
      </c>
      <c r="B827" t="s">
        <v>842</v>
      </c>
      <c r="C827" s="2">
        <v>45665</v>
      </c>
      <c r="D827" s="2" t="str">
        <f t="shared" si="51"/>
        <v>Jan-2025</v>
      </c>
      <c r="E827" s="2">
        <v>45666</v>
      </c>
      <c r="F827" t="s">
        <v>1017</v>
      </c>
      <c r="G827" t="s">
        <v>1223</v>
      </c>
      <c r="H827" t="s">
        <v>1271</v>
      </c>
      <c r="I827" t="s">
        <v>1289</v>
      </c>
      <c r="J827" t="s">
        <v>1297</v>
      </c>
      <c r="K827" t="s">
        <v>1304</v>
      </c>
      <c r="L827" t="s">
        <v>1307</v>
      </c>
      <c r="M827" t="s">
        <v>1316</v>
      </c>
      <c r="N827">
        <v>2</v>
      </c>
      <c r="O827">
        <v>0.1</v>
      </c>
      <c r="P827">
        <v>899.9</v>
      </c>
      <c r="Q827">
        <v>253.21</v>
      </c>
      <c r="R827" t="s">
        <v>1333</v>
      </c>
      <c r="S827" t="b">
        <f t="shared" si="48"/>
        <v>0</v>
      </c>
      <c r="T827" t="b">
        <f t="shared" si="49"/>
        <v>0</v>
      </c>
      <c r="U827" t="b">
        <f t="shared" si="50"/>
        <v>0</v>
      </c>
    </row>
    <row r="828" spans="1:21" x14ac:dyDescent="0.3">
      <c r="A828">
        <v>827</v>
      </c>
      <c r="B828" t="s">
        <v>843</v>
      </c>
      <c r="C828" s="2">
        <v>45696</v>
      </c>
      <c r="D828" s="2" t="str">
        <f t="shared" si="51"/>
        <v>Feb-2025</v>
      </c>
      <c r="E828" s="2">
        <v>45698</v>
      </c>
      <c r="F828" t="s">
        <v>1018</v>
      </c>
      <c r="G828" t="s">
        <v>1150</v>
      </c>
      <c r="H828" t="s">
        <v>1267</v>
      </c>
      <c r="I828" t="s">
        <v>1289</v>
      </c>
      <c r="J828" t="s">
        <v>1300</v>
      </c>
      <c r="K828" t="s">
        <v>1305</v>
      </c>
      <c r="L828" t="s">
        <v>1308</v>
      </c>
      <c r="M828" t="s">
        <v>1319</v>
      </c>
      <c r="N828">
        <v>2</v>
      </c>
      <c r="O828">
        <v>0.1</v>
      </c>
      <c r="P828">
        <v>8185.4</v>
      </c>
      <c r="Q828">
        <v>1791.02</v>
      </c>
      <c r="R828" t="s">
        <v>1334</v>
      </c>
      <c r="S828" t="b">
        <f t="shared" si="48"/>
        <v>0</v>
      </c>
      <c r="T828" t="b">
        <f t="shared" si="49"/>
        <v>0</v>
      </c>
      <c r="U828" t="b">
        <f t="shared" si="50"/>
        <v>0</v>
      </c>
    </row>
    <row r="829" spans="1:21" x14ac:dyDescent="0.3">
      <c r="A829">
        <v>828</v>
      </c>
      <c r="B829" t="s">
        <v>844</v>
      </c>
      <c r="C829" s="2">
        <v>45899</v>
      </c>
      <c r="D829" s="2" t="str">
        <f t="shared" si="51"/>
        <v>Aug-2025</v>
      </c>
      <c r="E829" s="2">
        <v>45903</v>
      </c>
      <c r="F829" t="s">
        <v>1018</v>
      </c>
      <c r="G829" t="s">
        <v>1046</v>
      </c>
      <c r="H829" t="s">
        <v>1272</v>
      </c>
      <c r="I829" t="s">
        <v>1287</v>
      </c>
      <c r="J829" t="s">
        <v>1293</v>
      </c>
      <c r="K829" t="s">
        <v>1304</v>
      </c>
      <c r="L829" t="s">
        <v>1309</v>
      </c>
      <c r="M829" t="s">
        <v>1317</v>
      </c>
      <c r="N829">
        <v>1</v>
      </c>
      <c r="O829">
        <v>0.1</v>
      </c>
      <c r="P829">
        <v>699.46</v>
      </c>
      <c r="Q829">
        <v>55.58</v>
      </c>
      <c r="R829" t="s">
        <v>1332</v>
      </c>
      <c r="S829" t="b">
        <f t="shared" si="48"/>
        <v>0</v>
      </c>
      <c r="T829" t="b">
        <f t="shared" si="49"/>
        <v>0</v>
      </c>
      <c r="U829" t="b">
        <f t="shared" si="50"/>
        <v>0</v>
      </c>
    </row>
    <row r="830" spans="1:21" x14ac:dyDescent="0.3">
      <c r="A830">
        <v>829</v>
      </c>
      <c r="B830" t="s">
        <v>845</v>
      </c>
      <c r="C830" s="2">
        <v>45826</v>
      </c>
      <c r="D830" s="2" t="str">
        <f t="shared" si="51"/>
        <v>Jun-2025</v>
      </c>
      <c r="E830" s="2">
        <v>45829</v>
      </c>
      <c r="F830" t="s">
        <v>1017</v>
      </c>
      <c r="G830" t="s">
        <v>1246</v>
      </c>
      <c r="H830" t="s">
        <v>1275</v>
      </c>
      <c r="I830" t="s">
        <v>1287</v>
      </c>
      <c r="J830" t="s">
        <v>1296</v>
      </c>
      <c r="K830" t="s">
        <v>1304</v>
      </c>
      <c r="L830" t="s">
        <v>1308</v>
      </c>
      <c r="M830" t="s">
        <v>1312</v>
      </c>
      <c r="N830">
        <v>1</v>
      </c>
      <c r="O830">
        <v>0</v>
      </c>
      <c r="P830">
        <v>1317.78</v>
      </c>
      <c r="Q830">
        <v>323.17</v>
      </c>
      <c r="R830" t="s">
        <v>1331</v>
      </c>
      <c r="S830" t="b">
        <f t="shared" si="48"/>
        <v>0</v>
      </c>
      <c r="T830" t="b">
        <f t="shared" si="49"/>
        <v>0</v>
      </c>
      <c r="U830" t="b">
        <f t="shared" si="50"/>
        <v>0</v>
      </c>
    </row>
    <row r="831" spans="1:21" x14ac:dyDescent="0.3">
      <c r="A831">
        <v>830</v>
      </c>
      <c r="B831" t="s">
        <v>846</v>
      </c>
      <c r="C831" s="2">
        <v>45997</v>
      </c>
      <c r="D831" s="2" t="str">
        <f t="shared" si="51"/>
        <v>Dec-2025</v>
      </c>
      <c r="E831" s="2">
        <v>45998</v>
      </c>
      <c r="F831" t="s">
        <v>1017</v>
      </c>
      <c r="G831" t="s">
        <v>1147</v>
      </c>
      <c r="H831" t="s">
        <v>1280</v>
      </c>
      <c r="I831" t="s">
        <v>1289</v>
      </c>
      <c r="J831" t="s">
        <v>1292</v>
      </c>
      <c r="K831" t="s">
        <v>1303</v>
      </c>
      <c r="L831" t="s">
        <v>1308</v>
      </c>
      <c r="M831" t="s">
        <v>1327</v>
      </c>
      <c r="N831">
        <v>3</v>
      </c>
      <c r="O831">
        <v>0.1</v>
      </c>
      <c r="P831">
        <v>4957.0600000000004</v>
      </c>
      <c r="Q831">
        <v>1296.19</v>
      </c>
      <c r="R831" t="s">
        <v>1332</v>
      </c>
      <c r="S831" t="b">
        <f t="shared" si="48"/>
        <v>0</v>
      </c>
      <c r="T831" t="b">
        <f t="shared" si="49"/>
        <v>0</v>
      </c>
      <c r="U831" t="b">
        <f t="shared" si="50"/>
        <v>0</v>
      </c>
    </row>
    <row r="832" spans="1:21" x14ac:dyDescent="0.3">
      <c r="A832">
        <v>831</v>
      </c>
      <c r="B832" t="s">
        <v>847</v>
      </c>
      <c r="C832" s="2">
        <v>45933</v>
      </c>
      <c r="D832" s="2" t="str">
        <f t="shared" si="51"/>
        <v>Oct-2025</v>
      </c>
      <c r="E832" s="2">
        <v>45937</v>
      </c>
      <c r="F832" t="s">
        <v>1018</v>
      </c>
      <c r="G832" t="s">
        <v>1261</v>
      </c>
      <c r="H832" t="s">
        <v>1286</v>
      </c>
      <c r="I832" t="s">
        <v>1289</v>
      </c>
      <c r="J832" t="s">
        <v>1290</v>
      </c>
      <c r="K832" t="s">
        <v>1302</v>
      </c>
      <c r="L832" t="s">
        <v>1306</v>
      </c>
      <c r="M832" t="s">
        <v>1323</v>
      </c>
      <c r="N832">
        <v>2</v>
      </c>
      <c r="O832">
        <v>0.1</v>
      </c>
      <c r="P832">
        <v>320.2</v>
      </c>
      <c r="Q832">
        <v>54.58</v>
      </c>
      <c r="R832" t="s">
        <v>1331</v>
      </c>
      <c r="S832" t="b">
        <f t="shared" si="48"/>
        <v>0</v>
      </c>
      <c r="T832" t="b">
        <f t="shared" si="49"/>
        <v>0</v>
      </c>
      <c r="U832" t="b">
        <f t="shared" si="50"/>
        <v>0</v>
      </c>
    </row>
    <row r="833" spans="1:21" x14ac:dyDescent="0.3">
      <c r="A833">
        <v>832</v>
      </c>
      <c r="B833" t="s">
        <v>848</v>
      </c>
      <c r="C833" s="2">
        <v>45957</v>
      </c>
      <c r="D833" s="2" t="str">
        <f t="shared" si="51"/>
        <v>Oct-2025</v>
      </c>
      <c r="E833" s="2">
        <v>45960</v>
      </c>
      <c r="F833" t="s">
        <v>1019</v>
      </c>
      <c r="G833" t="s">
        <v>1262</v>
      </c>
      <c r="H833" t="s">
        <v>1270</v>
      </c>
      <c r="I833" t="s">
        <v>1288</v>
      </c>
      <c r="J833" t="s">
        <v>1294</v>
      </c>
      <c r="K833" t="s">
        <v>1305</v>
      </c>
      <c r="L833" t="s">
        <v>1306</v>
      </c>
      <c r="M833" t="s">
        <v>1323</v>
      </c>
      <c r="N833">
        <v>1</v>
      </c>
      <c r="O833">
        <v>0.1</v>
      </c>
      <c r="P833">
        <v>159.05000000000001</v>
      </c>
      <c r="Q833">
        <v>37.85</v>
      </c>
      <c r="R833" t="s">
        <v>1330</v>
      </c>
      <c r="S833" t="b">
        <f t="shared" si="48"/>
        <v>0</v>
      </c>
      <c r="T833" t="b">
        <f t="shared" si="49"/>
        <v>0</v>
      </c>
      <c r="U833" t="b">
        <f t="shared" si="50"/>
        <v>0</v>
      </c>
    </row>
    <row r="834" spans="1:21" x14ac:dyDescent="0.3">
      <c r="A834">
        <v>833</v>
      </c>
      <c r="B834" t="s">
        <v>849</v>
      </c>
      <c r="C834" s="2">
        <v>46019</v>
      </c>
      <c r="D834" s="2" t="str">
        <f t="shared" si="51"/>
        <v>Dec-2025</v>
      </c>
      <c r="E834" s="2">
        <v>46021</v>
      </c>
      <c r="F834" t="s">
        <v>1017</v>
      </c>
      <c r="G834" t="s">
        <v>1167</v>
      </c>
      <c r="H834" t="s">
        <v>1284</v>
      </c>
      <c r="I834" t="s">
        <v>1289</v>
      </c>
      <c r="J834" t="s">
        <v>1298</v>
      </c>
      <c r="K834" t="s">
        <v>1303</v>
      </c>
      <c r="L834" t="s">
        <v>1309</v>
      </c>
      <c r="M834" t="s">
        <v>1325</v>
      </c>
      <c r="N834">
        <v>1</v>
      </c>
      <c r="O834">
        <v>0</v>
      </c>
      <c r="P834">
        <v>1355.53</v>
      </c>
      <c r="Q834">
        <v>547.09</v>
      </c>
      <c r="R834" t="s">
        <v>1331</v>
      </c>
      <c r="S834" t="b">
        <f t="shared" ref="S834:S897" si="52">E834&lt;C834</f>
        <v>0</v>
      </c>
      <c r="T834" t="b">
        <f t="shared" ref="T834:T897" si="53">N834&lt;=0</f>
        <v>0</v>
      </c>
      <c r="U834" t="b">
        <f t="shared" ref="U834:U897" si="54">OR(O834&lt;0,O834&gt;1)</f>
        <v>0</v>
      </c>
    </row>
    <row r="835" spans="1:21" x14ac:dyDescent="0.3">
      <c r="A835">
        <v>834</v>
      </c>
      <c r="B835" t="s">
        <v>850</v>
      </c>
      <c r="C835" s="2">
        <v>45893</v>
      </c>
      <c r="D835" s="2" t="str">
        <f t="shared" ref="D835:D898" si="55">TEXT(C835,"mmm-yyyy")</f>
        <v>Aug-2025</v>
      </c>
      <c r="E835" s="2">
        <v>45898</v>
      </c>
      <c r="F835" t="s">
        <v>1017</v>
      </c>
      <c r="G835" t="s">
        <v>1076</v>
      </c>
      <c r="H835" t="s">
        <v>1270</v>
      </c>
      <c r="I835" t="s">
        <v>1288</v>
      </c>
      <c r="J835" t="s">
        <v>1299</v>
      </c>
      <c r="K835" t="s">
        <v>1304</v>
      </c>
      <c r="L835" t="s">
        <v>1308</v>
      </c>
      <c r="M835" t="s">
        <v>1318</v>
      </c>
      <c r="N835">
        <v>4</v>
      </c>
      <c r="O835">
        <v>0</v>
      </c>
      <c r="P835">
        <v>21771.54</v>
      </c>
      <c r="Q835">
        <v>6769.62</v>
      </c>
      <c r="R835" t="s">
        <v>1332</v>
      </c>
      <c r="S835" t="b">
        <f t="shared" si="52"/>
        <v>0</v>
      </c>
      <c r="T835" t="b">
        <f t="shared" si="53"/>
        <v>0</v>
      </c>
      <c r="U835" t="b">
        <f t="shared" si="54"/>
        <v>0</v>
      </c>
    </row>
    <row r="836" spans="1:21" x14ac:dyDescent="0.3">
      <c r="A836">
        <v>835</v>
      </c>
      <c r="B836" t="s">
        <v>851</v>
      </c>
      <c r="C836" s="2">
        <v>45658</v>
      </c>
      <c r="D836" s="2" t="str">
        <f t="shared" si="55"/>
        <v>Jan-2025</v>
      </c>
      <c r="E836" s="2">
        <v>45662</v>
      </c>
      <c r="F836" t="s">
        <v>1017</v>
      </c>
      <c r="G836" t="s">
        <v>1162</v>
      </c>
      <c r="H836" t="s">
        <v>1276</v>
      </c>
      <c r="I836" t="s">
        <v>1288</v>
      </c>
      <c r="J836" t="s">
        <v>1295</v>
      </c>
      <c r="K836" t="s">
        <v>1305</v>
      </c>
      <c r="L836" t="s">
        <v>1306</v>
      </c>
      <c r="M836" t="s">
        <v>1324</v>
      </c>
      <c r="N836">
        <v>2</v>
      </c>
      <c r="O836">
        <v>0</v>
      </c>
      <c r="P836">
        <v>181.53</v>
      </c>
      <c r="Q836">
        <v>34.04</v>
      </c>
      <c r="R836" t="s">
        <v>1330</v>
      </c>
      <c r="S836" t="b">
        <f t="shared" si="52"/>
        <v>0</v>
      </c>
      <c r="T836" t="b">
        <f t="shared" si="53"/>
        <v>0</v>
      </c>
      <c r="U836" t="b">
        <f t="shared" si="54"/>
        <v>0</v>
      </c>
    </row>
    <row r="837" spans="1:21" x14ac:dyDescent="0.3">
      <c r="A837">
        <v>836</v>
      </c>
      <c r="B837" t="s">
        <v>852</v>
      </c>
      <c r="C837" s="2">
        <v>45924</v>
      </c>
      <c r="D837" s="2" t="str">
        <f t="shared" si="55"/>
        <v>Sep-2025</v>
      </c>
      <c r="E837" s="2">
        <v>45929</v>
      </c>
      <c r="F837" t="s">
        <v>1018</v>
      </c>
      <c r="G837" t="s">
        <v>1045</v>
      </c>
      <c r="H837" t="s">
        <v>1283</v>
      </c>
      <c r="I837" t="s">
        <v>1287</v>
      </c>
      <c r="J837" t="s">
        <v>1301</v>
      </c>
      <c r="K837" t="s">
        <v>1303</v>
      </c>
      <c r="L837" t="s">
        <v>1308</v>
      </c>
      <c r="M837" t="s">
        <v>1312</v>
      </c>
      <c r="N837">
        <v>1</v>
      </c>
      <c r="O837">
        <v>0.15</v>
      </c>
      <c r="P837">
        <v>1112.6600000000001</v>
      </c>
      <c r="Q837">
        <v>215.31</v>
      </c>
      <c r="R837" t="s">
        <v>1331</v>
      </c>
      <c r="S837" t="b">
        <f t="shared" si="52"/>
        <v>0</v>
      </c>
      <c r="T837" t="b">
        <f t="shared" si="53"/>
        <v>0</v>
      </c>
      <c r="U837" t="b">
        <f t="shared" si="54"/>
        <v>0</v>
      </c>
    </row>
    <row r="838" spans="1:21" x14ac:dyDescent="0.3">
      <c r="A838">
        <v>837</v>
      </c>
      <c r="B838" t="s">
        <v>853</v>
      </c>
      <c r="C838" s="2">
        <v>45907</v>
      </c>
      <c r="D838" s="2" t="str">
        <f t="shared" si="55"/>
        <v>Sep-2025</v>
      </c>
      <c r="E838" s="2">
        <v>45909</v>
      </c>
      <c r="F838" t="s">
        <v>1017</v>
      </c>
      <c r="G838" t="s">
        <v>1200</v>
      </c>
      <c r="H838" t="s">
        <v>1280</v>
      </c>
      <c r="I838" t="s">
        <v>1287</v>
      </c>
      <c r="J838" t="s">
        <v>1300</v>
      </c>
      <c r="K838" t="s">
        <v>1305</v>
      </c>
      <c r="L838" t="s">
        <v>1309</v>
      </c>
      <c r="M838" t="s">
        <v>1329</v>
      </c>
      <c r="N838">
        <v>1</v>
      </c>
      <c r="O838">
        <v>0.05</v>
      </c>
      <c r="P838">
        <v>1842.56</v>
      </c>
      <c r="Q838">
        <v>663.82</v>
      </c>
      <c r="R838" t="s">
        <v>1330</v>
      </c>
      <c r="S838" t="b">
        <f t="shared" si="52"/>
        <v>0</v>
      </c>
      <c r="T838" t="b">
        <f t="shared" si="53"/>
        <v>0</v>
      </c>
      <c r="U838" t="b">
        <f t="shared" si="54"/>
        <v>0</v>
      </c>
    </row>
    <row r="839" spans="1:21" x14ac:dyDescent="0.3">
      <c r="A839">
        <v>838</v>
      </c>
      <c r="B839" t="s">
        <v>854</v>
      </c>
      <c r="C839" s="2">
        <v>45937</v>
      </c>
      <c r="D839" s="2" t="str">
        <f t="shared" si="55"/>
        <v>Oct-2025</v>
      </c>
      <c r="E839" s="2">
        <v>45939</v>
      </c>
      <c r="F839" t="s">
        <v>1018</v>
      </c>
      <c r="G839" t="s">
        <v>1188</v>
      </c>
      <c r="H839" t="s">
        <v>1275</v>
      </c>
      <c r="I839" t="s">
        <v>1287</v>
      </c>
      <c r="J839" t="s">
        <v>1299</v>
      </c>
      <c r="K839" t="s">
        <v>1304</v>
      </c>
      <c r="L839" t="s">
        <v>1309</v>
      </c>
      <c r="M839" t="s">
        <v>1320</v>
      </c>
      <c r="N839">
        <v>2</v>
      </c>
      <c r="O839">
        <v>0.2</v>
      </c>
      <c r="P839">
        <v>1928.89</v>
      </c>
      <c r="Q839">
        <v>403.6</v>
      </c>
      <c r="R839" t="s">
        <v>1333</v>
      </c>
      <c r="S839" t="b">
        <f t="shared" si="52"/>
        <v>0</v>
      </c>
      <c r="T839" t="b">
        <f t="shared" si="53"/>
        <v>0</v>
      </c>
      <c r="U839" t="b">
        <f t="shared" si="54"/>
        <v>0</v>
      </c>
    </row>
    <row r="840" spans="1:21" x14ac:dyDescent="0.3">
      <c r="A840">
        <v>839</v>
      </c>
      <c r="B840" t="s">
        <v>855</v>
      </c>
      <c r="C840" s="2">
        <v>45901</v>
      </c>
      <c r="D840" s="2" t="str">
        <f t="shared" si="55"/>
        <v>Sep-2025</v>
      </c>
      <c r="E840" s="2">
        <v>45906</v>
      </c>
      <c r="F840" t="s">
        <v>1017</v>
      </c>
      <c r="G840" t="s">
        <v>1229</v>
      </c>
      <c r="H840" t="s">
        <v>1278</v>
      </c>
      <c r="I840" t="s">
        <v>1287</v>
      </c>
      <c r="J840" t="s">
        <v>1292</v>
      </c>
      <c r="K840" t="s">
        <v>1303</v>
      </c>
      <c r="L840" t="s">
        <v>1307</v>
      </c>
      <c r="M840" t="s">
        <v>1314</v>
      </c>
      <c r="N840">
        <v>1</v>
      </c>
      <c r="O840">
        <v>0.2</v>
      </c>
      <c r="P840">
        <v>704.1</v>
      </c>
      <c r="Q840">
        <v>36.42</v>
      </c>
      <c r="R840" t="s">
        <v>1331</v>
      </c>
      <c r="S840" t="b">
        <f t="shared" si="52"/>
        <v>0</v>
      </c>
      <c r="T840" t="b">
        <f t="shared" si="53"/>
        <v>0</v>
      </c>
      <c r="U840" t="b">
        <f t="shared" si="54"/>
        <v>0</v>
      </c>
    </row>
    <row r="841" spans="1:21" x14ac:dyDescent="0.3">
      <c r="A841">
        <v>840</v>
      </c>
      <c r="B841" t="s">
        <v>856</v>
      </c>
      <c r="C841" s="2">
        <v>45971</v>
      </c>
      <c r="D841" s="2" t="str">
        <f t="shared" si="55"/>
        <v>Nov-2025</v>
      </c>
      <c r="E841" s="2">
        <v>45972</v>
      </c>
      <c r="F841" t="s">
        <v>1019</v>
      </c>
      <c r="G841" t="s">
        <v>1113</v>
      </c>
      <c r="H841" t="s">
        <v>1268</v>
      </c>
      <c r="I841" t="s">
        <v>1287</v>
      </c>
      <c r="J841" t="s">
        <v>1297</v>
      </c>
      <c r="K841" t="s">
        <v>1304</v>
      </c>
      <c r="L841" t="s">
        <v>1307</v>
      </c>
      <c r="M841" t="s">
        <v>1314</v>
      </c>
      <c r="N841">
        <v>1</v>
      </c>
      <c r="O841">
        <v>0.1</v>
      </c>
      <c r="P841">
        <v>780.14</v>
      </c>
      <c r="Q841">
        <v>96.04</v>
      </c>
      <c r="R841" t="s">
        <v>1330</v>
      </c>
      <c r="S841" t="b">
        <f t="shared" si="52"/>
        <v>0</v>
      </c>
      <c r="T841" t="b">
        <f t="shared" si="53"/>
        <v>0</v>
      </c>
      <c r="U841" t="b">
        <f t="shared" si="54"/>
        <v>0</v>
      </c>
    </row>
    <row r="842" spans="1:21" x14ac:dyDescent="0.3">
      <c r="A842">
        <v>841</v>
      </c>
      <c r="B842" t="s">
        <v>857</v>
      </c>
      <c r="C842" s="2">
        <v>45825</v>
      </c>
      <c r="D842" s="2" t="str">
        <f t="shared" si="55"/>
        <v>Jun-2025</v>
      </c>
      <c r="E842" s="2">
        <v>45826</v>
      </c>
      <c r="F842" t="s">
        <v>1018</v>
      </c>
      <c r="G842" t="s">
        <v>1162</v>
      </c>
      <c r="H842" t="s">
        <v>1282</v>
      </c>
      <c r="I842" t="s">
        <v>1287</v>
      </c>
      <c r="J842" t="s">
        <v>1297</v>
      </c>
      <c r="K842" t="s">
        <v>1304</v>
      </c>
      <c r="L842" t="s">
        <v>1306</v>
      </c>
      <c r="M842" t="s">
        <v>1328</v>
      </c>
      <c r="N842">
        <v>1</v>
      </c>
      <c r="O842">
        <v>0.05</v>
      </c>
      <c r="P842">
        <v>113.26</v>
      </c>
      <c r="Q842">
        <v>37.119999999999997</v>
      </c>
      <c r="R842" t="s">
        <v>1332</v>
      </c>
      <c r="S842" t="b">
        <f t="shared" si="52"/>
        <v>0</v>
      </c>
      <c r="T842" t="b">
        <f t="shared" si="53"/>
        <v>0</v>
      </c>
      <c r="U842" t="b">
        <f t="shared" si="54"/>
        <v>0</v>
      </c>
    </row>
    <row r="843" spans="1:21" x14ac:dyDescent="0.3">
      <c r="A843">
        <v>842</v>
      </c>
      <c r="B843" t="s">
        <v>858</v>
      </c>
      <c r="C843" s="2">
        <v>45735</v>
      </c>
      <c r="D843" s="2" t="str">
        <f t="shared" si="55"/>
        <v>Mar-2025</v>
      </c>
      <c r="E843" s="2">
        <v>45737</v>
      </c>
      <c r="F843" t="s">
        <v>1018</v>
      </c>
      <c r="G843" t="s">
        <v>1124</v>
      </c>
      <c r="H843" t="s">
        <v>1277</v>
      </c>
      <c r="I843" t="s">
        <v>1288</v>
      </c>
      <c r="J843" t="s">
        <v>1292</v>
      </c>
      <c r="K843" t="s">
        <v>1303</v>
      </c>
      <c r="L843" t="s">
        <v>1307</v>
      </c>
      <c r="M843" t="s">
        <v>1322</v>
      </c>
      <c r="N843">
        <v>3</v>
      </c>
      <c r="O843">
        <v>0.05</v>
      </c>
      <c r="P843">
        <v>2055.61</v>
      </c>
      <c r="Q843">
        <v>601.86</v>
      </c>
      <c r="R843" t="s">
        <v>1331</v>
      </c>
      <c r="S843" t="b">
        <f t="shared" si="52"/>
        <v>0</v>
      </c>
      <c r="T843" t="b">
        <f t="shared" si="53"/>
        <v>0</v>
      </c>
      <c r="U843" t="b">
        <f t="shared" si="54"/>
        <v>0</v>
      </c>
    </row>
    <row r="844" spans="1:21" x14ac:dyDescent="0.3">
      <c r="A844">
        <v>843</v>
      </c>
      <c r="B844" t="s">
        <v>859</v>
      </c>
      <c r="C844" s="2">
        <v>45811</v>
      </c>
      <c r="D844" s="2" t="str">
        <f t="shared" si="55"/>
        <v>Jun-2025</v>
      </c>
      <c r="E844" s="2">
        <v>45814</v>
      </c>
      <c r="F844" t="s">
        <v>1018</v>
      </c>
      <c r="G844" t="s">
        <v>1137</v>
      </c>
      <c r="H844" t="s">
        <v>1279</v>
      </c>
      <c r="I844" t="s">
        <v>1287</v>
      </c>
      <c r="J844" t="s">
        <v>1296</v>
      </c>
      <c r="K844" t="s">
        <v>1304</v>
      </c>
      <c r="L844" t="s">
        <v>1309</v>
      </c>
      <c r="M844" t="s">
        <v>1329</v>
      </c>
      <c r="N844">
        <v>1</v>
      </c>
      <c r="O844">
        <v>0.1</v>
      </c>
      <c r="P844">
        <v>1756.42</v>
      </c>
      <c r="Q844">
        <v>279.54000000000002</v>
      </c>
      <c r="R844" t="s">
        <v>1331</v>
      </c>
      <c r="S844" t="b">
        <f t="shared" si="52"/>
        <v>0</v>
      </c>
      <c r="T844" t="b">
        <f t="shared" si="53"/>
        <v>0</v>
      </c>
      <c r="U844" t="b">
        <f t="shared" si="54"/>
        <v>0</v>
      </c>
    </row>
    <row r="845" spans="1:21" x14ac:dyDescent="0.3">
      <c r="A845">
        <v>844</v>
      </c>
      <c r="B845" t="s">
        <v>860</v>
      </c>
      <c r="C845" s="2">
        <v>45904</v>
      </c>
      <c r="D845" s="2" t="str">
        <f t="shared" si="55"/>
        <v>Sep-2025</v>
      </c>
      <c r="E845" s="2">
        <v>45909</v>
      </c>
      <c r="F845" t="s">
        <v>1017</v>
      </c>
      <c r="G845" t="s">
        <v>1074</v>
      </c>
      <c r="H845" t="s">
        <v>1276</v>
      </c>
      <c r="I845" t="s">
        <v>1289</v>
      </c>
      <c r="J845" t="s">
        <v>1298</v>
      </c>
      <c r="K845" t="s">
        <v>1303</v>
      </c>
      <c r="L845" t="s">
        <v>1307</v>
      </c>
      <c r="M845" t="s">
        <v>1315</v>
      </c>
      <c r="N845">
        <v>1</v>
      </c>
      <c r="O845">
        <v>0.1</v>
      </c>
      <c r="P845">
        <v>1618.64</v>
      </c>
      <c r="Q845">
        <v>212.06</v>
      </c>
      <c r="R845" t="s">
        <v>1331</v>
      </c>
      <c r="S845" t="b">
        <f t="shared" si="52"/>
        <v>0</v>
      </c>
      <c r="T845" t="b">
        <f t="shared" si="53"/>
        <v>0</v>
      </c>
      <c r="U845" t="b">
        <f t="shared" si="54"/>
        <v>0</v>
      </c>
    </row>
    <row r="846" spans="1:21" x14ac:dyDescent="0.3">
      <c r="A846">
        <v>845</v>
      </c>
      <c r="B846" t="s">
        <v>861</v>
      </c>
      <c r="C846" s="2">
        <v>45898</v>
      </c>
      <c r="D846" s="2" t="str">
        <f t="shared" si="55"/>
        <v>Aug-2025</v>
      </c>
      <c r="E846" s="2">
        <v>45900</v>
      </c>
      <c r="F846" t="s">
        <v>1017</v>
      </c>
      <c r="G846" t="s">
        <v>1243</v>
      </c>
      <c r="H846" t="s">
        <v>1269</v>
      </c>
      <c r="I846" t="s">
        <v>1287</v>
      </c>
      <c r="J846" t="s">
        <v>1301</v>
      </c>
      <c r="K846" t="s">
        <v>1303</v>
      </c>
      <c r="L846" t="s">
        <v>1306</v>
      </c>
      <c r="M846" t="s">
        <v>1323</v>
      </c>
      <c r="N846">
        <v>1</v>
      </c>
      <c r="O846">
        <v>0</v>
      </c>
      <c r="P846">
        <v>178.12</v>
      </c>
      <c r="Q846">
        <v>37.08</v>
      </c>
      <c r="R846" t="s">
        <v>1334</v>
      </c>
      <c r="S846" t="b">
        <f t="shared" si="52"/>
        <v>0</v>
      </c>
      <c r="T846" t="b">
        <f t="shared" si="53"/>
        <v>0</v>
      </c>
      <c r="U846" t="b">
        <f t="shared" si="54"/>
        <v>0</v>
      </c>
    </row>
    <row r="847" spans="1:21" x14ac:dyDescent="0.3">
      <c r="A847">
        <v>846</v>
      </c>
      <c r="B847" t="s">
        <v>862</v>
      </c>
      <c r="C847" s="2">
        <v>45693</v>
      </c>
      <c r="D847" s="2" t="str">
        <f t="shared" si="55"/>
        <v>Feb-2025</v>
      </c>
      <c r="E847" s="2">
        <v>45698</v>
      </c>
      <c r="F847" t="s">
        <v>1017</v>
      </c>
      <c r="G847" t="s">
        <v>1194</v>
      </c>
      <c r="H847" t="s">
        <v>1286</v>
      </c>
      <c r="I847" t="s">
        <v>1287</v>
      </c>
      <c r="J847" t="s">
        <v>1299</v>
      </c>
      <c r="K847" t="s">
        <v>1304</v>
      </c>
      <c r="L847" t="s">
        <v>1308</v>
      </c>
      <c r="M847" t="s">
        <v>1327</v>
      </c>
      <c r="N847">
        <v>1</v>
      </c>
      <c r="O847">
        <v>0.2</v>
      </c>
      <c r="P847">
        <v>1467.67</v>
      </c>
      <c r="Q847">
        <v>322.7</v>
      </c>
      <c r="R847" t="s">
        <v>1333</v>
      </c>
      <c r="S847" t="b">
        <f t="shared" si="52"/>
        <v>0</v>
      </c>
      <c r="T847" t="b">
        <f t="shared" si="53"/>
        <v>0</v>
      </c>
      <c r="U847" t="b">
        <f t="shared" si="54"/>
        <v>0</v>
      </c>
    </row>
    <row r="848" spans="1:21" x14ac:dyDescent="0.3">
      <c r="A848">
        <v>847</v>
      </c>
      <c r="B848" t="s">
        <v>863</v>
      </c>
      <c r="C848" s="2">
        <v>45844</v>
      </c>
      <c r="D848" s="2" t="str">
        <f t="shared" si="55"/>
        <v>Jul-2025</v>
      </c>
      <c r="E848" s="2">
        <v>45847</v>
      </c>
      <c r="F848" t="s">
        <v>1017</v>
      </c>
      <c r="G848" t="s">
        <v>1202</v>
      </c>
      <c r="H848" t="s">
        <v>1280</v>
      </c>
      <c r="I848" t="s">
        <v>1289</v>
      </c>
      <c r="J848" t="s">
        <v>1294</v>
      </c>
      <c r="K848" t="s">
        <v>1305</v>
      </c>
      <c r="L848" t="s">
        <v>1308</v>
      </c>
      <c r="M848" t="s">
        <v>1327</v>
      </c>
      <c r="N848">
        <v>1</v>
      </c>
      <c r="O848">
        <v>0.05</v>
      </c>
      <c r="P848">
        <v>1768.34</v>
      </c>
      <c r="Q848">
        <v>517.54</v>
      </c>
      <c r="R848" t="s">
        <v>1332</v>
      </c>
      <c r="S848" t="b">
        <f t="shared" si="52"/>
        <v>0</v>
      </c>
      <c r="T848" t="b">
        <f t="shared" si="53"/>
        <v>0</v>
      </c>
      <c r="U848" t="b">
        <f t="shared" si="54"/>
        <v>0</v>
      </c>
    </row>
    <row r="849" spans="1:21" x14ac:dyDescent="0.3">
      <c r="A849">
        <v>848</v>
      </c>
      <c r="B849" t="s">
        <v>864</v>
      </c>
      <c r="C849" s="2">
        <v>45846</v>
      </c>
      <c r="D849" s="2" t="str">
        <f t="shared" si="55"/>
        <v>Jul-2025</v>
      </c>
      <c r="E849" s="2">
        <v>45848</v>
      </c>
      <c r="F849" t="s">
        <v>1019</v>
      </c>
      <c r="G849" t="s">
        <v>1114</v>
      </c>
      <c r="H849" t="s">
        <v>1274</v>
      </c>
      <c r="I849" t="s">
        <v>1287</v>
      </c>
      <c r="J849" t="s">
        <v>1292</v>
      </c>
      <c r="K849" t="s">
        <v>1303</v>
      </c>
      <c r="L849" t="s">
        <v>1307</v>
      </c>
      <c r="M849" t="s">
        <v>1322</v>
      </c>
      <c r="N849">
        <v>2</v>
      </c>
      <c r="O849">
        <v>0</v>
      </c>
      <c r="P849">
        <v>1434.29</v>
      </c>
      <c r="Q849">
        <v>329.04</v>
      </c>
      <c r="R849" t="s">
        <v>1332</v>
      </c>
      <c r="S849" t="b">
        <f t="shared" si="52"/>
        <v>0</v>
      </c>
      <c r="T849" t="b">
        <f t="shared" si="53"/>
        <v>0</v>
      </c>
      <c r="U849" t="b">
        <f t="shared" si="54"/>
        <v>0</v>
      </c>
    </row>
    <row r="850" spans="1:21" x14ac:dyDescent="0.3">
      <c r="A850">
        <v>849</v>
      </c>
      <c r="B850" t="s">
        <v>865</v>
      </c>
      <c r="C850" s="2">
        <v>45766</v>
      </c>
      <c r="D850" s="2" t="str">
        <f t="shared" si="55"/>
        <v>Apr-2025</v>
      </c>
      <c r="E850" s="2">
        <v>45767</v>
      </c>
      <c r="F850" t="s">
        <v>1017</v>
      </c>
      <c r="G850" t="s">
        <v>1078</v>
      </c>
      <c r="H850" t="s">
        <v>1286</v>
      </c>
      <c r="I850" t="s">
        <v>1287</v>
      </c>
      <c r="J850" t="s">
        <v>1301</v>
      </c>
      <c r="K850" t="s">
        <v>1303</v>
      </c>
      <c r="L850" t="s">
        <v>1306</v>
      </c>
      <c r="M850" t="s">
        <v>1323</v>
      </c>
      <c r="N850">
        <v>3</v>
      </c>
      <c r="O850">
        <v>0.25</v>
      </c>
      <c r="P850">
        <v>398</v>
      </c>
      <c r="Q850">
        <v>31.91</v>
      </c>
      <c r="R850" t="s">
        <v>1333</v>
      </c>
      <c r="S850" t="b">
        <f t="shared" si="52"/>
        <v>0</v>
      </c>
      <c r="T850" t="b">
        <f t="shared" si="53"/>
        <v>0</v>
      </c>
      <c r="U850" t="b">
        <f t="shared" si="54"/>
        <v>0</v>
      </c>
    </row>
    <row r="851" spans="1:21" x14ac:dyDescent="0.3">
      <c r="A851">
        <v>850</v>
      </c>
      <c r="B851" t="s">
        <v>866</v>
      </c>
      <c r="C851" s="2">
        <v>45916</v>
      </c>
      <c r="D851" s="2" t="str">
        <f t="shared" si="55"/>
        <v>Sep-2025</v>
      </c>
      <c r="E851" s="2">
        <v>45917</v>
      </c>
      <c r="F851" t="s">
        <v>1017</v>
      </c>
      <c r="G851" t="s">
        <v>1093</v>
      </c>
      <c r="H851" t="s">
        <v>1284</v>
      </c>
      <c r="I851" t="s">
        <v>1289</v>
      </c>
      <c r="J851" t="s">
        <v>1294</v>
      </c>
      <c r="K851" t="s">
        <v>1305</v>
      </c>
      <c r="L851" t="s">
        <v>1306</v>
      </c>
      <c r="M851" t="s">
        <v>1310</v>
      </c>
      <c r="N851">
        <v>1</v>
      </c>
      <c r="O851">
        <v>0.1</v>
      </c>
      <c r="P851">
        <v>561.79</v>
      </c>
      <c r="Q851">
        <v>152.02000000000001</v>
      </c>
      <c r="R851" t="s">
        <v>1331</v>
      </c>
      <c r="S851" t="b">
        <f t="shared" si="52"/>
        <v>0</v>
      </c>
      <c r="T851" t="b">
        <f t="shared" si="53"/>
        <v>0</v>
      </c>
      <c r="U851" t="b">
        <f t="shared" si="54"/>
        <v>0</v>
      </c>
    </row>
    <row r="852" spans="1:21" x14ac:dyDescent="0.3">
      <c r="A852">
        <v>851</v>
      </c>
      <c r="B852" t="s">
        <v>867</v>
      </c>
      <c r="C852" s="2">
        <v>45940</v>
      </c>
      <c r="D852" s="2" t="str">
        <f t="shared" si="55"/>
        <v>Oct-2025</v>
      </c>
      <c r="E852" s="2">
        <v>45944</v>
      </c>
      <c r="F852" t="s">
        <v>1017</v>
      </c>
      <c r="G852" t="s">
        <v>1045</v>
      </c>
      <c r="H852" t="s">
        <v>1281</v>
      </c>
      <c r="I852" t="s">
        <v>1287</v>
      </c>
      <c r="J852" t="s">
        <v>1295</v>
      </c>
      <c r="K852" t="s">
        <v>1305</v>
      </c>
      <c r="L852" t="s">
        <v>1308</v>
      </c>
      <c r="M852" t="s">
        <v>1319</v>
      </c>
      <c r="N852">
        <v>1</v>
      </c>
      <c r="O852">
        <v>0</v>
      </c>
      <c r="P852">
        <v>4706.9399999999996</v>
      </c>
      <c r="Q852">
        <v>1167.79</v>
      </c>
      <c r="R852" t="s">
        <v>1332</v>
      </c>
      <c r="S852" t="b">
        <f t="shared" si="52"/>
        <v>0</v>
      </c>
      <c r="T852" t="b">
        <f t="shared" si="53"/>
        <v>0</v>
      </c>
      <c r="U852" t="b">
        <f t="shared" si="54"/>
        <v>0</v>
      </c>
    </row>
    <row r="853" spans="1:21" x14ac:dyDescent="0.3">
      <c r="A853">
        <v>852</v>
      </c>
      <c r="B853" t="s">
        <v>868</v>
      </c>
      <c r="C853" s="2">
        <v>45955</v>
      </c>
      <c r="D853" s="2" t="str">
        <f t="shared" si="55"/>
        <v>Oct-2025</v>
      </c>
      <c r="E853" s="2">
        <v>45958</v>
      </c>
      <c r="F853" t="s">
        <v>1017</v>
      </c>
      <c r="G853" t="s">
        <v>1173</v>
      </c>
      <c r="H853" t="s">
        <v>1271</v>
      </c>
      <c r="I853" t="s">
        <v>1287</v>
      </c>
      <c r="J853" t="s">
        <v>1291</v>
      </c>
      <c r="K853" t="s">
        <v>1302</v>
      </c>
      <c r="L853" t="s">
        <v>1309</v>
      </c>
      <c r="M853" t="s">
        <v>1325</v>
      </c>
      <c r="N853">
        <v>2</v>
      </c>
      <c r="O853">
        <v>0.05</v>
      </c>
      <c r="P853">
        <v>2346.92</v>
      </c>
      <c r="Q853">
        <v>613.80999999999995</v>
      </c>
      <c r="R853" t="s">
        <v>1332</v>
      </c>
      <c r="S853" t="b">
        <f t="shared" si="52"/>
        <v>0</v>
      </c>
      <c r="T853" t="b">
        <f t="shared" si="53"/>
        <v>0</v>
      </c>
      <c r="U853" t="b">
        <f t="shared" si="54"/>
        <v>0</v>
      </c>
    </row>
    <row r="854" spans="1:21" x14ac:dyDescent="0.3">
      <c r="A854">
        <v>853</v>
      </c>
      <c r="B854" t="s">
        <v>869</v>
      </c>
      <c r="C854" s="2">
        <v>45717</v>
      </c>
      <c r="D854" s="2" t="str">
        <f t="shared" si="55"/>
        <v>Mar-2025</v>
      </c>
      <c r="E854" s="2">
        <v>45718</v>
      </c>
      <c r="F854" t="s">
        <v>1017</v>
      </c>
      <c r="G854" t="s">
        <v>1227</v>
      </c>
      <c r="H854" t="s">
        <v>1275</v>
      </c>
      <c r="I854" t="s">
        <v>1287</v>
      </c>
      <c r="J854" t="s">
        <v>1299</v>
      </c>
      <c r="K854" t="s">
        <v>1304</v>
      </c>
      <c r="L854" t="s">
        <v>1306</v>
      </c>
      <c r="M854" t="s">
        <v>1321</v>
      </c>
      <c r="N854">
        <v>1</v>
      </c>
      <c r="O854">
        <v>0</v>
      </c>
      <c r="P854">
        <v>446.93</v>
      </c>
      <c r="Q854">
        <v>127.16</v>
      </c>
      <c r="R854" t="s">
        <v>1333</v>
      </c>
      <c r="S854" t="b">
        <f t="shared" si="52"/>
        <v>0</v>
      </c>
      <c r="T854" t="b">
        <f t="shared" si="53"/>
        <v>0</v>
      </c>
      <c r="U854" t="b">
        <f t="shared" si="54"/>
        <v>0</v>
      </c>
    </row>
    <row r="855" spans="1:21" x14ac:dyDescent="0.3">
      <c r="A855">
        <v>854</v>
      </c>
      <c r="B855" t="s">
        <v>870</v>
      </c>
      <c r="C855" s="2">
        <v>45830</v>
      </c>
      <c r="D855" s="2" t="str">
        <f t="shared" si="55"/>
        <v>Jun-2025</v>
      </c>
      <c r="E855" s="2">
        <v>45832</v>
      </c>
      <c r="F855" t="s">
        <v>1019</v>
      </c>
      <c r="G855" t="s">
        <v>1150</v>
      </c>
      <c r="H855" t="s">
        <v>1281</v>
      </c>
      <c r="I855" t="s">
        <v>1287</v>
      </c>
      <c r="J855" t="s">
        <v>1298</v>
      </c>
      <c r="K855" t="s">
        <v>1303</v>
      </c>
      <c r="L855" t="s">
        <v>1308</v>
      </c>
      <c r="M855" t="s">
        <v>1318</v>
      </c>
      <c r="N855">
        <v>2</v>
      </c>
      <c r="O855">
        <v>0.1</v>
      </c>
      <c r="P855">
        <v>10334.969999999999</v>
      </c>
      <c r="Q855">
        <v>2198.39</v>
      </c>
      <c r="R855" t="s">
        <v>1334</v>
      </c>
      <c r="S855" t="b">
        <f t="shared" si="52"/>
        <v>0</v>
      </c>
      <c r="T855" t="b">
        <f t="shared" si="53"/>
        <v>0</v>
      </c>
      <c r="U855" t="b">
        <f t="shared" si="54"/>
        <v>0</v>
      </c>
    </row>
    <row r="856" spans="1:21" x14ac:dyDescent="0.3">
      <c r="A856">
        <v>855</v>
      </c>
      <c r="B856" t="s">
        <v>871</v>
      </c>
      <c r="C856" s="2">
        <v>45998</v>
      </c>
      <c r="D856" s="2" t="str">
        <f t="shared" si="55"/>
        <v>Dec-2025</v>
      </c>
      <c r="E856" s="2">
        <v>46002</v>
      </c>
      <c r="F856" t="s">
        <v>1017</v>
      </c>
      <c r="G856" t="s">
        <v>1137</v>
      </c>
      <c r="H856" t="s">
        <v>1286</v>
      </c>
      <c r="I856" t="s">
        <v>1287</v>
      </c>
      <c r="J856" t="s">
        <v>1290</v>
      </c>
      <c r="K856" t="s">
        <v>1302</v>
      </c>
      <c r="L856" t="s">
        <v>1307</v>
      </c>
      <c r="M856" t="s">
        <v>1314</v>
      </c>
      <c r="N856">
        <v>4</v>
      </c>
      <c r="O856">
        <v>0</v>
      </c>
      <c r="P856">
        <v>3689.06</v>
      </c>
      <c r="Q856">
        <v>774.06</v>
      </c>
      <c r="R856" t="s">
        <v>1331</v>
      </c>
      <c r="S856" t="b">
        <f t="shared" si="52"/>
        <v>0</v>
      </c>
      <c r="T856" t="b">
        <f t="shared" si="53"/>
        <v>0</v>
      </c>
      <c r="U856" t="b">
        <f t="shared" si="54"/>
        <v>0</v>
      </c>
    </row>
    <row r="857" spans="1:21" x14ac:dyDescent="0.3">
      <c r="A857">
        <v>856</v>
      </c>
      <c r="B857" t="s">
        <v>872</v>
      </c>
      <c r="C857" s="2">
        <v>45860</v>
      </c>
      <c r="D857" s="2" t="str">
        <f t="shared" si="55"/>
        <v>Jul-2025</v>
      </c>
      <c r="E857" s="2">
        <v>45864</v>
      </c>
      <c r="F857" t="s">
        <v>1017</v>
      </c>
      <c r="G857" t="s">
        <v>1057</v>
      </c>
      <c r="H857" t="s">
        <v>1279</v>
      </c>
      <c r="I857" t="s">
        <v>1287</v>
      </c>
      <c r="J857" t="s">
        <v>1292</v>
      </c>
      <c r="K857" t="s">
        <v>1303</v>
      </c>
      <c r="L857" t="s">
        <v>1309</v>
      </c>
      <c r="M857" t="s">
        <v>1317</v>
      </c>
      <c r="N857">
        <v>2</v>
      </c>
      <c r="O857">
        <v>0</v>
      </c>
      <c r="P857">
        <v>1545.4</v>
      </c>
      <c r="Q857">
        <v>455.21</v>
      </c>
      <c r="R857" t="s">
        <v>1331</v>
      </c>
      <c r="S857" t="b">
        <f t="shared" si="52"/>
        <v>0</v>
      </c>
      <c r="T857" t="b">
        <f t="shared" si="53"/>
        <v>0</v>
      </c>
      <c r="U857" t="b">
        <f t="shared" si="54"/>
        <v>0</v>
      </c>
    </row>
    <row r="858" spans="1:21" x14ac:dyDescent="0.3">
      <c r="A858">
        <v>857</v>
      </c>
      <c r="B858" t="s">
        <v>873</v>
      </c>
      <c r="C858" s="2">
        <v>46013</v>
      </c>
      <c r="D858" s="2" t="str">
        <f t="shared" si="55"/>
        <v>Dec-2025</v>
      </c>
      <c r="E858" s="2">
        <v>46017</v>
      </c>
      <c r="F858" t="s">
        <v>1017</v>
      </c>
      <c r="G858" t="s">
        <v>1187</v>
      </c>
      <c r="H858" t="s">
        <v>1269</v>
      </c>
      <c r="I858" t="s">
        <v>1287</v>
      </c>
      <c r="J858" t="s">
        <v>1296</v>
      </c>
      <c r="K858" t="s">
        <v>1304</v>
      </c>
      <c r="L858" t="s">
        <v>1306</v>
      </c>
      <c r="M858" t="s">
        <v>1324</v>
      </c>
      <c r="N858">
        <v>2</v>
      </c>
      <c r="O858">
        <v>0.1</v>
      </c>
      <c r="P858">
        <v>160.03</v>
      </c>
      <c r="Q858">
        <v>22.87</v>
      </c>
      <c r="R858" t="s">
        <v>1330</v>
      </c>
      <c r="S858" t="b">
        <f t="shared" si="52"/>
        <v>0</v>
      </c>
      <c r="T858" t="b">
        <f t="shared" si="53"/>
        <v>0</v>
      </c>
      <c r="U858" t="b">
        <f t="shared" si="54"/>
        <v>0</v>
      </c>
    </row>
    <row r="859" spans="1:21" x14ac:dyDescent="0.3">
      <c r="A859">
        <v>858</v>
      </c>
      <c r="B859" t="s">
        <v>874</v>
      </c>
      <c r="C859" s="2">
        <v>45736</v>
      </c>
      <c r="D859" s="2" t="str">
        <f t="shared" si="55"/>
        <v>Mar-2025</v>
      </c>
      <c r="E859" s="2">
        <v>45741</v>
      </c>
      <c r="F859" t="s">
        <v>1018</v>
      </c>
      <c r="G859" t="s">
        <v>1052</v>
      </c>
      <c r="H859" t="s">
        <v>1286</v>
      </c>
      <c r="I859" t="s">
        <v>1287</v>
      </c>
      <c r="J859" t="s">
        <v>1294</v>
      </c>
      <c r="K859" t="s">
        <v>1305</v>
      </c>
      <c r="L859" t="s">
        <v>1309</v>
      </c>
      <c r="M859" t="s">
        <v>1320</v>
      </c>
      <c r="N859">
        <v>3</v>
      </c>
      <c r="O859">
        <v>0.2</v>
      </c>
      <c r="P859">
        <v>3000.91</v>
      </c>
      <c r="Q859">
        <v>346.11</v>
      </c>
      <c r="R859" t="s">
        <v>1331</v>
      </c>
      <c r="S859" t="b">
        <f t="shared" si="52"/>
        <v>0</v>
      </c>
      <c r="T859" t="b">
        <f t="shared" si="53"/>
        <v>0</v>
      </c>
      <c r="U859" t="b">
        <f t="shared" si="54"/>
        <v>0</v>
      </c>
    </row>
    <row r="860" spans="1:21" x14ac:dyDescent="0.3">
      <c r="A860">
        <v>859</v>
      </c>
      <c r="B860" t="s">
        <v>875</v>
      </c>
      <c r="C860" s="2">
        <v>45855</v>
      </c>
      <c r="D860" s="2" t="str">
        <f t="shared" si="55"/>
        <v>Jul-2025</v>
      </c>
      <c r="E860" s="2">
        <v>45859</v>
      </c>
      <c r="F860" t="s">
        <v>1018</v>
      </c>
      <c r="G860" t="s">
        <v>1183</v>
      </c>
      <c r="H860" t="s">
        <v>1275</v>
      </c>
      <c r="I860" t="s">
        <v>1288</v>
      </c>
      <c r="J860" t="s">
        <v>1300</v>
      </c>
      <c r="K860" t="s">
        <v>1305</v>
      </c>
      <c r="L860" t="s">
        <v>1309</v>
      </c>
      <c r="M860" t="s">
        <v>1329</v>
      </c>
      <c r="N860">
        <v>3</v>
      </c>
      <c r="O860">
        <v>0.2</v>
      </c>
      <c r="P860">
        <v>4413.46</v>
      </c>
      <c r="Q860">
        <v>449.66</v>
      </c>
      <c r="R860" t="s">
        <v>1333</v>
      </c>
      <c r="S860" t="b">
        <f t="shared" si="52"/>
        <v>0</v>
      </c>
      <c r="T860" t="b">
        <f t="shared" si="53"/>
        <v>0</v>
      </c>
      <c r="U860" t="b">
        <f t="shared" si="54"/>
        <v>0</v>
      </c>
    </row>
    <row r="861" spans="1:21" x14ac:dyDescent="0.3">
      <c r="A861">
        <v>860</v>
      </c>
      <c r="B861" t="s">
        <v>876</v>
      </c>
      <c r="C861" s="2">
        <v>45919</v>
      </c>
      <c r="D861" s="2" t="str">
        <f t="shared" si="55"/>
        <v>Sep-2025</v>
      </c>
      <c r="E861" s="2">
        <v>45923</v>
      </c>
      <c r="F861" t="s">
        <v>1017</v>
      </c>
      <c r="G861" t="s">
        <v>1023</v>
      </c>
      <c r="H861" t="s">
        <v>1280</v>
      </c>
      <c r="I861" t="s">
        <v>1288</v>
      </c>
      <c r="J861" t="s">
        <v>1301</v>
      </c>
      <c r="K861" t="s">
        <v>1303</v>
      </c>
      <c r="L861" t="s">
        <v>1309</v>
      </c>
      <c r="M861" t="s">
        <v>1320</v>
      </c>
      <c r="N861">
        <v>1</v>
      </c>
      <c r="O861">
        <v>0.2</v>
      </c>
      <c r="P861">
        <v>971.27</v>
      </c>
      <c r="Q861">
        <v>129.78</v>
      </c>
      <c r="R861" t="s">
        <v>1333</v>
      </c>
      <c r="S861" t="b">
        <f t="shared" si="52"/>
        <v>0</v>
      </c>
      <c r="T861" t="b">
        <f t="shared" si="53"/>
        <v>0</v>
      </c>
      <c r="U861" t="b">
        <f t="shared" si="54"/>
        <v>0</v>
      </c>
    </row>
    <row r="862" spans="1:21" x14ac:dyDescent="0.3">
      <c r="A862">
        <v>861</v>
      </c>
      <c r="B862" t="s">
        <v>877</v>
      </c>
      <c r="C862" s="2">
        <v>45850</v>
      </c>
      <c r="D862" s="2" t="str">
        <f t="shared" si="55"/>
        <v>Jul-2025</v>
      </c>
      <c r="E862" s="2">
        <v>45855</v>
      </c>
      <c r="F862" t="s">
        <v>1017</v>
      </c>
      <c r="G862" t="s">
        <v>1200</v>
      </c>
      <c r="H862" t="s">
        <v>1284</v>
      </c>
      <c r="I862" t="s">
        <v>1287</v>
      </c>
      <c r="J862" t="s">
        <v>1295</v>
      </c>
      <c r="K862" t="s">
        <v>1305</v>
      </c>
      <c r="L862" t="s">
        <v>1308</v>
      </c>
      <c r="M862" t="s">
        <v>1326</v>
      </c>
      <c r="N862">
        <v>2</v>
      </c>
      <c r="O862">
        <v>0</v>
      </c>
      <c r="P862">
        <v>13753.34</v>
      </c>
      <c r="Q862">
        <v>2489.4699999999998</v>
      </c>
      <c r="R862" t="s">
        <v>1331</v>
      </c>
      <c r="S862" t="b">
        <f t="shared" si="52"/>
        <v>0</v>
      </c>
      <c r="T862" t="b">
        <f t="shared" si="53"/>
        <v>0</v>
      </c>
      <c r="U862" t="b">
        <f t="shared" si="54"/>
        <v>0</v>
      </c>
    </row>
    <row r="863" spans="1:21" x14ac:dyDescent="0.3">
      <c r="A863">
        <v>862</v>
      </c>
      <c r="B863" t="s">
        <v>878</v>
      </c>
      <c r="C863" s="2">
        <v>45749</v>
      </c>
      <c r="D863" s="2" t="str">
        <f t="shared" si="55"/>
        <v>Apr-2025</v>
      </c>
      <c r="E863" s="2">
        <v>45753</v>
      </c>
      <c r="F863" t="s">
        <v>1019</v>
      </c>
      <c r="G863" t="s">
        <v>1165</v>
      </c>
      <c r="H863" t="s">
        <v>1267</v>
      </c>
      <c r="I863" t="s">
        <v>1287</v>
      </c>
      <c r="J863" t="s">
        <v>1290</v>
      </c>
      <c r="K863" t="s">
        <v>1302</v>
      </c>
      <c r="L863" t="s">
        <v>1308</v>
      </c>
      <c r="M863" t="s">
        <v>1319</v>
      </c>
      <c r="N863">
        <v>4</v>
      </c>
      <c r="O863">
        <v>0.1</v>
      </c>
      <c r="P863">
        <v>16386.21</v>
      </c>
      <c r="Q863">
        <v>4200.04</v>
      </c>
      <c r="R863" t="s">
        <v>1331</v>
      </c>
      <c r="S863" t="b">
        <f t="shared" si="52"/>
        <v>0</v>
      </c>
      <c r="T863" t="b">
        <f t="shared" si="53"/>
        <v>0</v>
      </c>
      <c r="U863" t="b">
        <f t="shared" si="54"/>
        <v>0</v>
      </c>
    </row>
    <row r="864" spans="1:21" x14ac:dyDescent="0.3">
      <c r="A864">
        <v>863</v>
      </c>
      <c r="B864" t="s">
        <v>879</v>
      </c>
      <c r="C864" s="2">
        <v>45871</v>
      </c>
      <c r="D864" s="2" t="str">
        <f t="shared" si="55"/>
        <v>Aug-2025</v>
      </c>
      <c r="E864" s="2">
        <v>45875</v>
      </c>
      <c r="F864" t="s">
        <v>1018</v>
      </c>
      <c r="G864" t="s">
        <v>1147</v>
      </c>
      <c r="H864" t="s">
        <v>1268</v>
      </c>
      <c r="I864" t="s">
        <v>1287</v>
      </c>
      <c r="J864" t="s">
        <v>1292</v>
      </c>
      <c r="K864" t="s">
        <v>1303</v>
      </c>
      <c r="L864" t="s">
        <v>1308</v>
      </c>
      <c r="M864" t="s">
        <v>1312</v>
      </c>
      <c r="N864">
        <v>3</v>
      </c>
      <c r="O864">
        <v>0.2</v>
      </c>
      <c r="P864">
        <v>3125.3</v>
      </c>
      <c r="Q864">
        <v>276.52999999999997</v>
      </c>
      <c r="R864" t="s">
        <v>1331</v>
      </c>
      <c r="S864" t="b">
        <f t="shared" si="52"/>
        <v>0</v>
      </c>
      <c r="T864" t="b">
        <f t="shared" si="53"/>
        <v>0</v>
      </c>
      <c r="U864" t="b">
        <f t="shared" si="54"/>
        <v>0</v>
      </c>
    </row>
    <row r="865" spans="1:21" x14ac:dyDescent="0.3">
      <c r="A865">
        <v>864</v>
      </c>
      <c r="B865" t="s">
        <v>880</v>
      </c>
      <c r="C865" s="2">
        <v>45704</v>
      </c>
      <c r="D865" s="2" t="str">
        <f t="shared" si="55"/>
        <v>Feb-2025</v>
      </c>
      <c r="E865" s="2">
        <v>45707</v>
      </c>
      <c r="F865" t="s">
        <v>1017</v>
      </c>
      <c r="G865" t="s">
        <v>1208</v>
      </c>
      <c r="H865" t="s">
        <v>1269</v>
      </c>
      <c r="I865" t="s">
        <v>1288</v>
      </c>
      <c r="J865" t="s">
        <v>1301</v>
      </c>
      <c r="K865" t="s">
        <v>1303</v>
      </c>
      <c r="L865" t="s">
        <v>1307</v>
      </c>
      <c r="M865" t="s">
        <v>1316</v>
      </c>
      <c r="N865">
        <v>3</v>
      </c>
      <c r="O865">
        <v>0.15</v>
      </c>
      <c r="P865">
        <v>1281.5999999999999</v>
      </c>
      <c r="Q865">
        <v>85.71</v>
      </c>
      <c r="R865" t="s">
        <v>1333</v>
      </c>
      <c r="S865" t="b">
        <f t="shared" si="52"/>
        <v>0</v>
      </c>
      <c r="T865" t="b">
        <f t="shared" si="53"/>
        <v>0</v>
      </c>
      <c r="U865" t="b">
        <f t="shared" si="54"/>
        <v>0</v>
      </c>
    </row>
    <row r="866" spans="1:21" x14ac:dyDescent="0.3">
      <c r="A866">
        <v>865</v>
      </c>
      <c r="B866" t="s">
        <v>881</v>
      </c>
      <c r="C866" s="2">
        <v>45731</v>
      </c>
      <c r="D866" s="2" t="str">
        <f t="shared" si="55"/>
        <v>Mar-2025</v>
      </c>
      <c r="E866" s="2">
        <v>45732</v>
      </c>
      <c r="F866" t="s">
        <v>1019</v>
      </c>
      <c r="G866" t="s">
        <v>1242</v>
      </c>
      <c r="H866" t="s">
        <v>1271</v>
      </c>
      <c r="I866" t="s">
        <v>1287</v>
      </c>
      <c r="J866" t="s">
        <v>1298</v>
      </c>
      <c r="K866" t="s">
        <v>1303</v>
      </c>
      <c r="L866" t="s">
        <v>1306</v>
      </c>
      <c r="M866" t="s">
        <v>1321</v>
      </c>
      <c r="N866">
        <v>2</v>
      </c>
      <c r="O866">
        <v>0.05</v>
      </c>
      <c r="P866">
        <v>860.91</v>
      </c>
      <c r="Q866">
        <v>234.08</v>
      </c>
      <c r="R866" t="s">
        <v>1333</v>
      </c>
      <c r="S866" t="b">
        <f t="shared" si="52"/>
        <v>0</v>
      </c>
      <c r="T866" t="b">
        <f t="shared" si="53"/>
        <v>0</v>
      </c>
      <c r="U866" t="b">
        <f t="shared" si="54"/>
        <v>0</v>
      </c>
    </row>
    <row r="867" spans="1:21" x14ac:dyDescent="0.3">
      <c r="A867">
        <v>866</v>
      </c>
      <c r="B867" t="s">
        <v>882</v>
      </c>
      <c r="C867" s="2">
        <v>45915</v>
      </c>
      <c r="D867" s="2" t="str">
        <f t="shared" si="55"/>
        <v>Sep-2025</v>
      </c>
      <c r="E867" s="2">
        <v>45920</v>
      </c>
      <c r="F867" t="s">
        <v>1017</v>
      </c>
      <c r="G867" t="s">
        <v>1105</v>
      </c>
      <c r="H867" t="s">
        <v>1279</v>
      </c>
      <c r="I867" t="s">
        <v>1287</v>
      </c>
      <c r="J867" t="s">
        <v>1295</v>
      </c>
      <c r="K867" t="s">
        <v>1305</v>
      </c>
      <c r="L867" t="s">
        <v>1308</v>
      </c>
      <c r="M867" t="s">
        <v>1326</v>
      </c>
      <c r="N867">
        <v>1</v>
      </c>
      <c r="O867">
        <v>0.2</v>
      </c>
      <c r="P867">
        <v>5555.91</v>
      </c>
      <c r="Q867">
        <v>304.58</v>
      </c>
      <c r="R867" t="s">
        <v>1333</v>
      </c>
      <c r="S867" t="b">
        <f t="shared" si="52"/>
        <v>0</v>
      </c>
      <c r="T867" t="b">
        <f t="shared" si="53"/>
        <v>0</v>
      </c>
      <c r="U867" t="b">
        <f t="shared" si="54"/>
        <v>0</v>
      </c>
    </row>
    <row r="868" spans="1:21" x14ac:dyDescent="0.3">
      <c r="A868">
        <v>867</v>
      </c>
      <c r="B868" t="s">
        <v>883</v>
      </c>
      <c r="C868" s="2">
        <v>45920</v>
      </c>
      <c r="D868" s="2" t="str">
        <f t="shared" si="55"/>
        <v>Sep-2025</v>
      </c>
      <c r="E868" s="2">
        <v>45924</v>
      </c>
      <c r="F868" t="s">
        <v>1017</v>
      </c>
      <c r="G868" t="s">
        <v>1153</v>
      </c>
      <c r="H868" t="s">
        <v>1286</v>
      </c>
      <c r="I868" t="s">
        <v>1287</v>
      </c>
      <c r="J868" t="s">
        <v>1299</v>
      </c>
      <c r="K868" t="s">
        <v>1304</v>
      </c>
      <c r="L868" t="s">
        <v>1309</v>
      </c>
      <c r="M868" t="s">
        <v>1320</v>
      </c>
      <c r="N868">
        <v>1</v>
      </c>
      <c r="O868">
        <v>0</v>
      </c>
      <c r="P868">
        <v>1243.97</v>
      </c>
      <c r="Q868">
        <v>353.31</v>
      </c>
      <c r="R868" t="s">
        <v>1330</v>
      </c>
      <c r="S868" t="b">
        <f t="shared" si="52"/>
        <v>0</v>
      </c>
      <c r="T868" t="b">
        <f t="shared" si="53"/>
        <v>0</v>
      </c>
      <c r="U868" t="b">
        <f t="shared" si="54"/>
        <v>0</v>
      </c>
    </row>
    <row r="869" spans="1:21" x14ac:dyDescent="0.3">
      <c r="A869">
        <v>868</v>
      </c>
      <c r="B869" t="s">
        <v>884</v>
      </c>
      <c r="C869" s="2">
        <v>45921</v>
      </c>
      <c r="D869" s="2" t="str">
        <f t="shared" si="55"/>
        <v>Sep-2025</v>
      </c>
      <c r="E869" s="2">
        <v>45922</v>
      </c>
      <c r="F869" t="s">
        <v>1019</v>
      </c>
      <c r="G869" t="s">
        <v>1090</v>
      </c>
      <c r="H869" t="s">
        <v>1270</v>
      </c>
      <c r="I869" t="s">
        <v>1287</v>
      </c>
      <c r="J869" t="s">
        <v>1299</v>
      </c>
      <c r="K869" t="s">
        <v>1304</v>
      </c>
      <c r="L869" t="s">
        <v>1309</v>
      </c>
      <c r="M869" t="s">
        <v>1317</v>
      </c>
      <c r="N869">
        <v>1</v>
      </c>
      <c r="O869">
        <v>0.05</v>
      </c>
      <c r="P869">
        <v>785.37</v>
      </c>
      <c r="Q869">
        <v>240.68</v>
      </c>
      <c r="R869" t="s">
        <v>1331</v>
      </c>
      <c r="S869" t="b">
        <f t="shared" si="52"/>
        <v>0</v>
      </c>
      <c r="T869" t="b">
        <f t="shared" si="53"/>
        <v>0</v>
      </c>
      <c r="U869" t="b">
        <f t="shared" si="54"/>
        <v>0</v>
      </c>
    </row>
    <row r="870" spans="1:21" x14ac:dyDescent="0.3">
      <c r="A870">
        <v>869</v>
      </c>
      <c r="B870" t="s">
        <v>885</v>
      </c>
      <c r="C870" s="2">
        <v>45968</v>
      </c>
      <c r="D870" s="2" t="str">
        <f t="shared" si="55"/>
        <v>Nov-2025</v>
      </c>
      <c r="E870" s="2">
        <v>45972</v>
      </c>
      <c r="F870" t="s">
        <v>1017</v>
      </c>
      <c r="G870" t="s">
        <v>1222</v>
      </c>
      <c r="H870" t="s">
        <v>1277</v>
      </c>
      <c r="I870" t="s">
        <v>1287</v>
      </c>
      <c r="J870" t="s">
        <v>1298</v>
      </c>
      <c r="K870" t="s">
        <v>1303</v>
      </c>
      <c r="L870" t="s">
        <v>1307</v>
      </c>
      <c r="M870" t="s">
        <v>1315</v>
      </c>
      <c r="N870">
        <v>1</v>
      </c>
      <c r="O870">
        <v>0</v>
      </c>
      <c r="P870">
        <v>1733.04</v>
      </c>
      <c r="Q870">
        <v>569.80999999999995</v>
      </c>
      <c r="R870" t="s">
        <v>1331</v>
      </c>
      <c r="S870" t="b">
        <f t="shared" si="52"/>
        <v>0</v>
      </c>
      <c r="T870" t="b">
        <f t="shared" si="53"/>
        <v>0</v>
      </c>
      <c r="U870" t="b">
        <f t="shared" si="54"/>
        <v>0</v>
      </c>
    </row>
    <row r="871" spans="1:21" x14ac:dyDescent="0.3">
      <c r="A871">
        <v>870</v>
      </c>
      <c r="B871" t="s">
        <v>886</v>
      </c>
      <c r="C871" s="2">
        <v>46004</v>
      </c>
      <c r="D871" s="2" t="str">
        <f t="shared" si="55"/>
        <v>Dec-2025</v>
      </c>
      <c r="E871" s="2">
        <v>46005</v>
      </c>
      <c r="F871" t="s">
        <v>1019</v>
      </c>
      <c r="G871" t="s">
        <v>1201</v>
      </c>
      <c r="H871" t="s">
        <v>1284</v>
      </c>
      <c r="I871" t="s">
        <v>1287</v>
      </c>
      <c r="J871" t="s">
        <v>1292</v>
      </c>
      <c r="K871" t="s">
        <v>1303</v>
      </c>
      <c r="L871" t="s">
        <v>1306</v>
      </c>
      <c r="M871" t="s">
        <v>1321</v>
      </c>
      <c r="N871">
        <v>1</v>
      </c>
      <c r="O871">
        <v>0.15</v>
      </c>
      <c r="P871">
        <v>399.34</v>
      </c>
      <c r="Q871">
        <v>51.75</v>
      </c>
      <c r="R871" t="s">
        <v>1331</v>
      </c>
      <c r="S871" t="b">
        <f t="shared" si="52"/>
        <v>0</v>
      </c>
      <c r="T871" t="b">
        <f t="shared" si="53"/>
        <v>0</v>
      </c>
      <c r="U871" t="b">
        <f t="shared" si="54"/>
        <v>0</v>
      </c>
    </row>
    <row r="872" spans="1:21" x14ac:dyDescent="0.3">
      <c r="A872">
        <v>871</v>
      </c>
      <c r="B872" t="s">
        <v>887</v>
      </c>
      <c r="C872" s="2">
        <v>45731</v>
      </c>
      <c r="D872" s="2" t="str">
        <f t="shared" si="55"/>
        <v>Mar-2025</v>
      </c>
      <c r="E872" s="2">
        <v>45733</v>
      </c>
      <c r="F872" t="s">
        <v>1017</v>
      </c>
      <c r="G872" t="s">
        <v>1263</v>
      </c>
      <c r="H872" t="s">
        <v>1277</v>
      </c>
      <c r="I872" t="s">
        <v>1287</v>
      </c>
      <c r="J872" t="s">
        <v>1295</v>
      </c>
      <c r="K872" t="s">
        <v>1305</v>
      </c>
      <c r="L872" t="s">
        <v>1309</v>
      </c>
      <c r="M872" t="s">
        <v>1325</v>
      </c>
      <c r="N872">
        <v>1</v>
      </c>
      <c r="O872">
        <v>0.1</v>
      </c>
      <c r="P872">
        <v>1191.75</v>
      </c>
      <c r="Q872">
        <v>283.85000000000002</v>
      </c>
      <c r="R872" t="s">
        <v>1332</v>
      </c>
      <c r="S872" t="b">
        <f t="shared" si="52"/>
        <v>0</v>
      </c>
      <c r="T872" t="b">
        <f t="shared" si="53"/>
        <v>0</v>
      </c>
      <c r="U872" t="b">
        <f t="shared" si="54"/>
        <v>0</v>
      </c>
    </row>
    <row r="873" spans="1:21" x14ac:dyDescent="0.3">
      <c r="A873">
        <v>872</v>
      </c>
      <c r="B873" t="s">
        <v>888</v>
      </c>
      <c r="C873" s="2">
        <v>46002</v>
      </c>
      <c r="D873" s="2" t="str">
        <f t="shared" si="55"/>
        <v>Dec-2025</v>
      </c>
      <c r="E873" s="2">
        <v>46003</v>
      </c>
      <c r="F873" t="s">
        <v>1017</v>
      </c>
      <c r="G873" t="s">
        <v>1264</v>
      </c>
      <c r="H873" t="s">
        <v>1275</v>
      </c>
      <c r="I873" t="s">
        <v>1287</v>
      </c>
      <c r="J873" t="s">
        <v>1293</v>
      </c>
      <c r="K873" t="s">
        <v>1304</v>
      </c>
      <c r="L873" t="s">
        <v>1306</v>
      </c>
      <c r="M873" t="s">
        <v>1310</v>
      </c>
      <c r="N873">
        <v>3</v>
      </c>
      <c r="O873">
        <v>0.1</v>
      </c>
      <c r="P873">
        <v>1704.09</v>
      </c>
      <c r="Q873">
        <v>192.39</v>
      </c>
      <c r="R873" t="s">
        <v>1331</v>
      </c>
      <c r="S873" t="b">
        <f t="shared" si="52"/>
        <v>0</v>
      </c>
      <c r="T873" t="b">
        <f t="shared" si="53"/>
        <v>0</v>
      </c>
      <c r="U873" t="b">
        <f t="shared" si="54"/>
        <v>0</v>
      </c>
    </row>
    <row r="874" spans="1:21" x14ac:dyDescent="0.3">
      <c r="A874">
        <v>873</v>
      </c>
      <c r="B874" t="s">
        <v>889</v>
      </c>
      <c r="C874" s="2">
        <v>45855</v>
      </c>
      <c r="D874" s="2" t="str">
        <f t="shared" si="55"/>
        <v>Jul-2025</v>
      </c>
      <c r="E874" s="2">
        <v>45859</v>
      </c>
      <c r="F874" t="s">
        <v>1017</v>
      </c>
      <c r="G874" t="s">
        <v>1037</v>
      </c>
      <c r="H874" t="s">
        <v>1270</v>
      </c>
      <c r="I874" t="s">
        <v>1288</v>
      </c>
      <c r="J874" t="s">
        <v>1300</v>
      </c>
      <c r="K874" t="s">
        <v>1305</v>
      </c>
      <c r="L874" t="s">
        <v>1307</v>
      </c>
      <c r="M874" t="s">
        <v>1311</v>
      </c>
      <c r="N874">
        <v>1</v>
      </c>
      <c r="O874">
        <v>0.15</v>
      </c>
      <c r="P874">
        <v>262.58</v>
      </c>
      <c r="Q874">
        <v>66.75</v>
      </c>
      <c r="R874" t="s">
        <v>1333</v>
      </c>
      <c r="S874" t="b">
        <f t="shared" si="52"/>
        <v>0</v>
      </c>
      <c r="T874" t="b">
        <f t="shared" si="53"/>
        <v>0</v>
      </c>
      <c r="U874" t="b">
        <f t="shared" si="54"/>
        <v>0</v>
      </c>
    </row>
    <row r="875" spans="1:21" x14ac:dyDescent="0.3">
      <c r="A875">
        <v>874</v>
      </c>
      <c r="B875" t="s">
        <v>890</v>
      </c>
      <c r="C875" s="2">
        <v>45895</v>
      </c>
      <c r="D875" s="2" t="str">
        <f t="shared" si="55"/>
        <v>Aug-2025</v>
      </c>
      <c r="E875" s="2">
        <v>45898</v>
      </c>
      <c r="F875" t="s">
        <v>1017</v>
      </c>
      <c r="G875" t="s">
        <v>1095</v>
      </c>
      <c r="H875" t="s">
        <v>1279</v>
      </c>
      <c r="I875" t="s">
        <v>1288</v>
      </c>
      <c r="J875" t="s">
        <v>1299</v>
      </c>
      <c r="K875" t="s">
        <v>1304</v>
      </c>
      <c r="L875" t="s">
        <v>1308</v>
      </c>
      <c r="M875" t="s">
        <v>1318</v>
      </c>
      <c r="N875">
        <v>2</v>
      </c>
      <c r="O875">
        <v>0</v>
      </c>
      <c r="P875">
        <v>10821.03</v>
      </c>
      <c r="Q875">
        <v>2440.7800000000002</v>
      </c>
      <c r="R875" t="s">
        <v>1331</v>
      </c>
      <c r="S875" t="b">
        <f t="shared" si="52"/>
        <v>0</v>
      </c>
      <c r="T875" t="b">
        <f t="shared" si="53"/>
        <v>0</v>
      </c>
      <c r="U875" t="b">
        <f t="shared" si="54"/>
        <v>0</v>
      </c>
    </row>
    <row r="876" spans="1:21" x14ac:dyDescent="0.3">
      <c r="A876">
        <v>875</v>
      </c>
      <c r="B876" t="s">
        <v>891</v>
      </c>
      <c r="C876" s="2">
        <v>45787</v>
      </c>
      <c r="D876" s="2" t="str">
        <f t="shared" si="55"/>
        <v>May-2025</v>
      </c>
      <c r="E876" s="2">
        <v>45790</v>
      </c>
      <c r="F876" t="s">
        <v>1018</v>
      </c>
      <c r="G876" t="s">
        <v>1119</v>
      </c>
      <c r="H876" t="s">
        <v>1285</v>
      </c>
      <c r="I876" t="s">
        <v>1289</v>
      </c>
      <c r="J876" t="s">
        <v>1299</v>
      </c>
      <c r="K876" t="s">
        <v>1304</v>
      </c>
      <c r="L876" t="s">
        <v>1307</v>
      </c>
      <c r="M876" t="s">
        <v>1316</v>
      </c>
      <c r="N876">
        <v>1</v>
      </c>
      <c r="O876">
        <v>0.2</v>
      </c>
      <c r="P876">
        <v>419.15</v>
      </c>
      <c r="Q876">
        <v>60.3</v>
      </c>
      <c r="R876" t="s">
        <v>1331</v>
      </c>
      <c r="S876" t="b">
        <f t="shared" si="52"/>
        <v>0</v>
      </c>
      <c r="T876" t="b">
        <f t="shared" si="53"/>
        <v>0</v>
      </c>
      <c r="U876" t="b">
        <f t="shared" si="54"/>
        <v>0</v>
      </c>
    </row>
    <row r="877" spans="1:21" x14ac:dyDescent="0.3">
      <c r="A877">
        <v>876</v>
      </c>
      <c r="B877" t="s">
        <v>892</v>
      </c>
      <c r="C877" s="2">
        <v>45752</v>
      </c>
      <c r="D877" s="2" t="str">
        <f t="shared" si="55"/>
        <v>Apr-2025</v>
      </c>
      <c r="E877" s="2">
        <v>45754</v>
      </c>
      <c r="F877" t="s">
        <v>1018</v>
      </c>
      <c r="G877" t="s">
        <v>1111</v>
      </c>
      <c r="H877" t="s">
        <v>1270</v>
      </c>
      <c r="I877" t="s">
        <v>1288</v>
      </c>
      <c r="J877" t="s">
        <v>1297</v>
      </c>
      <c r="K877" t="s">
        <v>1304</v>
      </c>
      <c r="L877" t="s">
        <v>1308</v>
      </c>
      <c r="M877" t="s">
        <v>1327</v>
      </c>
      <c r="N877">
        <v>3</v>
      </c>
      <c r="O877">
        <v>0</v>
      </c>
      <c r="P877">
        <v>5398.3</v>
      </c>
      <c r="Q877">
        <v>1062.3699999999999</v>
      </c>
      <c r="R877" t="s">
        <v>1331</v>
      </c>
      <c r="S877" t="b">
        <f t="shared" si="52"/>
        <v>0</v>
      </c>
      <c r="T877" t="b">
        <f t="shared" si="53"/>
        <v>0</v>
      </c>
      <c r="U877" t="b">
        <f t="shared" si="54"/>
        <v>0</v>
      </c>
    </row>
    <row r="878" spans="1:21" x14ac:dyDescent="0.3">
      <c r="A878">
        <v>877</v>
      </c>
      <c r="B878" t="s">
        <v>893</v>
      </c>
      <c r="C878" s="2">
        <v>45721</v>
      </c>
      <c r="D878" s="2" t="str">
        <f t="shared" si="55"/>
        <v>Mar-2025</v>
      </c>
      <c r="E878" s="2">
        <v>45726</v>
      </c>
      <c r="F878" t="s">
        <v>1017</v>
      </c>
      <c r="G878" t="s">
        <v>1184</v>
      </c>
      <c r="H878" t="s">
        <v>1274</v>
      </c>
      <c r="I878" t="s">
        <v>1287</v>
      </c>
      <c r="J878" t="s">
        <v>1301</v>
      </c>
      <c r="K878" t="s">
        <v>1303</v>
      </c>
      <c r="L878" t="s">
        <v>1307</v>
      </c>
      <c r="M878" t="s">
        <v>1311</v>
      </c>
      <c r="N878">
        <v>2</v>
      </c>
      <c r="O878">
        <v>0.1</v>
      </c>
      <c r="P878">
        <v>549.36</v>
      </c>
      <c r="Q878">
        <v>98.27</v>
      </c>
      <c r="R878" t="s">
        <v>1332</v>
      </c>
      <c r="S878" t="b">
        <f t="shared" si="52"/>
        <v>0</v>
      </c>
      <c r="T878" t="b">
        <f t="shared" si="53"/>
        <v>0</v>
      </c>
      <c r="U878" t="b">
        <f t="shared" si="54"/>
        <v>0</v>
      </c>
    </row>
    <row r="879" spans="1:21" x14ac:dyDescent="0.3">
      <c r="A879">
        <v>878</v>
      </c>
      <c r="B879" t="s">
        <v>894</v>
      </c>
      <c r="C879" s="2">
        <v>45824</v>
      </c>
      <c r="D879" s="2" t="str">
        <f t="shared" si="55"/>
        <v>Jun-2025</v>
      </c>
      <c r="E879" s="2">
        <v>45826</v>
      </c>
      <c r="F879" t="s">
        <v>1017</v>
      </c>
      <c r="G879" t="s">
        <v>1231</v>
      </c>
      <c r="H879" t="s">
        <v>1278</v>
      </c>
      <c r="I879" t="s">
        <v>1288</v>
      </c>
      <c r="J879" t="s">
        <v>1301</v>
      </c>
      <c r="K879" t="s">
        <v>1303</v>
      </c>
      <c r="L879" t="s">
        <v>1308</v>
      </c>
      <c r="M879" t="s">
        <v>1327</v>
      </c>
      <c r="N879">
        <v>2</v>
      </c>
      <c r="O879">
        <v>0.2</v>
      </c>
      <c r="P879">
        <v>2752.88</v>
      </c>
      <c r="Q879">
        <v>402.67</v>
      </c>
      <c r="R879" t="s">
        <v>1331</v>
      </c>
      <c r="S879" t="b">
        <f t="shared" si="52"/>
        <v>0</v>
      </c>
      <c r="T879" t="b">
        <f t="shared" si="53"/>
        <v>0</v>
      </c>
      <c r="U879" t="b">
        <f t="shared" si="54"/>
        <v>0</v>
      </c>
    </row>
    <row r="880" spans="1:21" x14ac:dyDescent="0.3">
      <c r="A880">
        <v>879</v>
      </c>
      <c r="B880" t="s">
        <v>895</v>
      </c>
      <c r="C880" s="2">
        <v>45753</v>
      </c>
      <c r="D880" s="2" t="str">
        <f t="shared" si="55"/>
        <v>Apr-2025</v>
      </c>
      <c r="E880" s="2">
        <v>45756</v>
      </c>
      <c r="F880" t="s">
        <v>1018</v>
      </c>
      <c r="G880" t="s">
        <v>1244</v>
      </c>
      <c r="H880" t="s">
        <v>1278</v>
      </c>
      <c r="I880" t="s">
        <v>1287</v>
      </c>
      <c r="J880" t="s">
        <v>1301</v>
      </c>
      <c r="K880" t="s">
        <v>1303</v>
      </c>
      <c r="L880" t="s">
        <v>1306</v>
      </c>
      <c r="M880" t="s">
        <v>1321</v>
      </c>
      <c r="N880">
        <v>1</v>
      </c>
      <c r="O880">
        <v>0.2</v>
      </c>
      <c r="P880">
        <v>347.61</v>
      </c>
      <c r="Q880">
        <v>3.61</v>
      </c>
      <c r="R880" t="s">
        <v>1333</v>
      </c>
      <c r="S880" t="b">
        <f t="shared" si="52"/>
        <v>0</v>
      </c>
      <c r="T880" t="b">
        <f t="shared" si="53"/>
        <v>0</v>
      </c>
      <c r="U880" t="b">
        <f t="shared" si="54"/>
        <v>0</v>
      </c>
    </row>
    <row r="881" spans="1:21" x14ac:dyDescent="0.3">
      <c r="A881">
        <v>880</v>
      </c>
      <c r="B881" t="s">
        <v>896</v>
      </c>
      <c r="C881" s="2">
        <v>45716</v>
      </c>
      <c r="D881" s="2" t="str">
        <f t="shared" si="55"/>
        <v>Feb-2025</v>
      </c>
      <c r="E881" s="2">
        <v>45721</v>
      </c>
      <c r="F881" t="s">
        <v>1017</v>
      </c>
      <c r="G881" t="s">
        <v>1122</v>
      </c>
      <c r="H881" t="s">
        <v>1271</v>
      </c>
      <c r="I881" t="s">
        <v>1287</v>
      </c>
      <c r="J881" t="s">
        <v>1295</v>
      </c>
      <c r="K881" t="s">
        <v>1305</v>
      </c>
      <c r="L881" t="s">
        <v>1309</v>
      </c>
      <c r="M881" t="s">
        <v>1317</v>
      </c>
      <c r="N881">
        <v>2</v>
      </c>
      <c r="O881">
        <v>0</v>
      </c>
      <c r="P881">
        <v>1654.22</v>
      </c>
      <c r="Q881">
        <v>495.91</v>
      </c>
      <c r="R881" t="s">
        <v>1331</v>
      </c>
      <c r="S881" t="b">
        <f t="shared" si="52"/>
        <v>0</v>
      </c>
      <c r="T881" t="b">
        <f t="shared" si="53"/>
        <v>0</v>
      </c>
      <c r="U881" t="b">
        <f t="shared" si="54"/>
        <v>0</v>
      </c>
    </row>
    <row r="882" spans="1:21" x14ac:dyDescent="0.3">
      <c r="A882">
        <v>881</v>
      </c>
      <c r="B882" t="s">
        <v>897</v>
      </c>
      <c r="C882" s="2">
        <v>45985</v>
      </c>
      <c r="D882" s="2" t="str">
        <f t="shared" si="55"/>
        <v>Nov-2025</v>
      </c>
      <c r="E882" s="2">
        <v>45987</v>
      </c>
      <c r="F882" t="s">
        <v>1017</v>
      </c>
      <c r="G882" t="s">
        <v>1138</v>
      </c>
      <c r="H882" t="s">
        <v>1276</v>
      </c>
      <c r="I882" t="s">
        <v>1287</v>
      </c>
      <c r="J882" t="s">
        <v>1292</v>
      </c>
      <c r="K882" t="s">
        <v>1303</v>
      </c>
      <c r="L882" t="s">
        <v>1306</v>
      </c>
      <c r="M882" t="s">
        <v>1323</v>
      </c>
      <c r="N882">
        <v>4</v>
      </c>
      <c r="O882">
        <v>0.15</v>
      </c>
      <c r="P882">
        <v>605.98</v>
      </c>
      <c r="Q882">
        <v>44.51</v>
      </c>
      <c r="R882" t="s">
        <v>1332</v>
      </c>
      <c r="S882" t="b">
        <f t="shared" si="52"/>
        <v>0</v>
      </c>
      <c r="T882" t="b">
        <f t="shared" si="53"/>
        <v>0</v>
      </c>
      <c r="U882" t="b">
        <f t="shared" si="54"/>
        <v>0</v>
      </c>
    </row>
    <row r="883" spans="1:21" x14ac:dyDescent="0.3">
      <c r="A883">
        <v>882</v>
      </c>
      <c r="B883" t="s">
        <v>898</v>
      </c>
      <c r="C883" s="2">
        <v>45918</v>
      </c>
      <c r="D883" s="2" t="str">
        <f t="shared" si="55"/>
        <v>Sep-2025</v>
      </c>
      <c r="E883" s="2">
        <v>45923</v>
      </c>
      <c r="F883" t="s">
        <v>1017</v>
      </c>
      <c r="G883" t="s">
        <v>1211</v>
      </c>
      <c r="H883" t="s">
        <v>1272</v>
      </c>
      <c r="I883" t="s">
        <v>1288</v>
      </c>
      <c r="J883" t="s">
        <v>1294</v>
      </c>
      <c r="K883" t="s">
        <v>1305</v>
      </c>
      <c r="L883" t="s">
        <v>1308</v>
      </c>
      <c r="M883" t="s">
        <v>1326</v>
      </c>
      <c r="N883">
        <v>4</v>
      </c>
      <c r="O883">
        <v>0</v>
      </c>
      <c r="P883">
        <v>28155.01</v>
      </c>
      <c r="Q883">
        <v>6829.18</v>
      </c>
      <c r="R883" t="s">
        <v>1330</v>
      </c>
      <c r="S883" t="b">
        <f t="shared" si="52"/>
        <v>0</v>
      </c>
      <c r="T883" t="b">
        <f t="shared" si="53"/>
        <v>0</v>
      </c>
      <c r="U883" t="b">
        <f t="shared" si="54"/>
        <v>0</v>
      </c>
    </row>
    <row r="884" spans="1:21" x14ac:dyDescent="0.3">
      <c r="A884">
        <v>883</v>
      </c>
      <c r="B884" t="s">
        <v>899</v>
      </c>
      <c r="C884" s="2">
        <v>45867</v>
      </c>
      <c r="D884" s="2" t="str">
        <f t="shared" si="55"/>
        <v>Jul-2025</v>
      </c>
      <c r="E884" s="2">
        <v>45870</v>
      </c>
      <c r="F884" t="s">
        <v>1018</v>
      </c>
      <c r="G884" t="s">
        <v>1060</v>
      </c>
      <c r="H884" t="s">
        <v>1269</v>
      </c>
      <c r="I884" t="s">
        <v>1288</v>
      </c>
      <c r="J884" t="s">
        <v>1300</v>
      </c>
      <c r="K884" t="s">
        <v>1305</v>
      </c>
      <c r="L884" t="s">
        <v>1306</v>
      </c>
      <c r="M884" t="s">
        <v>1323</v>
      </c>
      <c r="N884">
        <v>2</v>
      </c>
      <c r="O884">
        <v>0</v>
      </c>
      <c r="P884">
        <v>349.38</v>
      </c>
      <c r="Q884">
        <v>79.69</v>
      </c>
      <c r="R884" t="s">
        <v>1333</v>
      </c>
      <c r="S884" t="b">
        <f t="shared" si="52"/>
        <v>0</v>
      </c>
      <c r="T884" t="b">
        <f t="shared" si="53"/>
        <v>0</v>
      </c>
      <c r="U884" t="b">
        <f t="shared" si="54"/>
        <v>0</v>
      </c>
    </row>
    <row r="885" spans="1:21" x14ac:dyDescent="0.3">
      <c r="A885">
        <v>884</v>
      </c>
      <c r="B885" t="s">
        <v>900</v>
      </c>
      <c r="C885" s="2">
        <v>45701</v>
      </c>
      <c r="D885" s="2" t="str">
        <f t="shared" si="55"/>
        <v>Feb-2025</v>
      </c>
      <c r="E885" s="2">
        <v>45704</v>
      </c>
      <c r="F885" t="s">
        <v>1017</v>
      </c>
      <c r="G885" t="s">
        <v>1207</v>
      </c>
      <c r="H885" t="s">
        <v>1267</v>
      </c>
      <c r="I885" t="s">
        <v>1287</v>
      </c>
      <c r="J885" t="s">
        <v>1298</v>
      </c>
      <c r="K885" t="s">
        <v>1303</v>
      </c>
      <c r="L885" t="s">
        <v>1309</v>
      </c>
      <c r="M885" t="s">
        <v>1325</v>
      </c>
      <c r="N885">
        <v>1</v>
      </c>
      <c r="O885">
        <v>0.1</v>
      </c>
      <c r="P885">
        <v>1122.3599999999999</v>
      </c>
      <c r="Q885">
        <v>74.8</v>
      </c>
      <c r="R885" t="s">
        <v>1332</v>
      </c>
      <c r="S885" t="b">
        <f t="shared" si="52"/>
        <v>0</v>
      </c>
      <c r="T885" t="b">
        <f t="shared" si="53"/>
        <v>0</v>
      </c>
      <c r="U885" t="b">
        <f t="shared" si="54"/>
        <v>0</v>
      </c>
    </row>
    <row r="886" spans="1:21" x14ac:dyDescent="0.3">
      <c r="A886">
        <v>885</v>
      </c>
      <c r="B886" t="s">
        <v>901</v>
      </c>
      <c r="C886" s="2">
        <v>45723</v>
      </c>
      <c r="D886" s="2" t="str">
        <f t="shared" si="55"/>
        <v>Mar-2025</v>
      </c>
      <c r="E886" s="2">
        <v>45728</v>
      </c>
      <c r="F886" t="s">
        <v>1017</v>
      </c>
      <c r="G886" t="s">
        <v>1224</v>
      </c>
      <c r="H886" t="s">
        <v>1272</v>
      </c>
      <c r="I886" t="s">
        <v>1287</v>
      </c>
      <c r="J886" t="s">
        <v>1296</v>
      </c>
      <c r="K886" t="s">
        <v>1304</v>
      </c>
      <c r="L886" t="s">
        <v>1306</v>
      </c>
      <c r="M886" t="s">
        <v>1324</v>
      </c>
      <c r="N886">
        <v>1</v>
      </c>
      <c r="O886">
        <v>0.05</v>
      </c>
      <c r="P886">
        <v>81.91</v>
      </c>
      <c r="Q886">
        <v>10.71</v>
      </c>
      <c r="R886" t="s">
        <v>1332</v>
      </c>
      <c r="S886" t="b">
        <f t="shared" si="52"/>
        <v>0</v>
      </c>
      <c r="T886" t="b">
        <f t="shared" si="53"/>
        <v>0</v>
      </c>
      <c r="U886" t="b">
        <f t="shared" si="54"/>
        <v>0</v>
      </c>
    </row>
    <row r="887" spans="1:21" x14ac:dyDescent="0.3">
      <c r="A887">
        <v>886</v>
      </c>
      <c r="B887" t="s">
        <v>902</v>
      </c>
      <c r="C887" s="2">
        <v>45970</v>
      </c>
      <c r="D887" s="2" t="str">
        <f t="shared" si="55"/>
        <v>Nov-2025</v>
      </c>
      <c r="E887" s="2">
        <v>45973</v>
      </c>
      <c r="F887" t="s">
        <v>1018</v>
      </c>
      <c r="G887" t="s">
        <v>1098</v>
      </c>
      <c r="H887" t="s">
        <v>1283</v>
      </c>
      <c r="I887" t="s">
        <v>1288</v>
      </c>
      <c r="J887" t="s">
        <v>1295</v>
      </c>
      <c r="K887" t="s">
        <v>1305</v>
      </c>
      <c r="L887" t="s">
        <v>1309</v>
      </c>
      <c r="M887" t="s">
        <v>1317</v>
      </c>
      <c r="N887">
        <v>1</v>
      </c>
      <c r="O887">
        <v>0</v>
      </c>
      <c r="P887">
        <v>800.15</v>
      </c>
      <c r="Q887">
        <v>210.69</v>
      </c>
      <c r="R887" t="s">
        <v>1333</v>
      </c>
      <c r="S887" t="b">
        <f t="shared" si="52"/>
        <v>0</v>
      </c>
      <c r="T887" t="b">
        <f t="shared" si="53"/>
        <v>0</v>
      </c>
      <c r="U887" t="b">
        <f t="shared" si="54"/>
        <v>0</v>
      </c>
    </row>
    <row r="888" spans="1:21" x14ac:dyDescent="0.3">
      <c r="A888">
        <v>887</v>
      </c>
      <c r="B888" t="s">
        <v>903</v>
      </c>
      <c r="C888" s="2">
        <v>45670</v>
      </c>
      <c r="D888" s="2" t="str">
        <f t="shared" si="55"/>
        <v>Jan-2025</v>
      </c>
      <c r="E888" s="2">
        <v>45674</v>
      </c>
      <c r="F888" t="s">
        <v>1018</v>
      </c>
      <c r="G888" t="s">
        <v>1030</v>
      </c>
      <c r="H888" t="s">
        <v>1285</v>
      </c>
      <c r="I888" t="s">
        <v>1287</v>
      </c>
      <c r="J888" t="s">
        <v>1298</v>
      </c>
      <c r="K888" t="s">
        <v>1303</v>
      </c>
      <c r="L888" t="s">
        <v>1306</v>
      </c>
      <c r="M888" t="s">
        <v>1310</v>
      </c>
      <c r="N888">
        <v>1</v>
      </c>
      <c r="O888">
        <v>0</v>
      </c>
      <c r="P888">
        <v>630.66</v>
      </c>
      <c r="Q888">
        <v>111.95</v>
      </c>
      <c r="R888" t="s">
        <v>1333</v>
      </c>
      <c r="S888" t="b">
        <f t="shared" si="52"/>
        <v>0</v>
      </c>
      <c r="T888" t="b">
        <f t="shared" si="53"/>
        <v>0</v>
      </c>
      <c r="U888" t="b">
        <f t="shared" si="54"/>
        <v>0</v>
      </c>
    </row>
    <row r="889" spans="1:21" x14ac:dyDescent="0.3">
      <c r="A889">
        <v>888</v>
      </c>
      <c r="B889" t="s">
        <v>904</v>
      </c>
      <c r="C889" s="2">
        <v>45805</v>
      </c>
      <c r="D889" s="2" t="str">
        <f t="shared" si="55"/>
        <v>May-2025</v>
      </c>
      <c r="E889" s="2">
        <v>45806</v>
      </c>
      <c r="F889" t="s">
        <v>1018</v>
      </c>
      <c r="G889" t="s">
        <v>1261</v>
      </c>
      <c r="H889" t="s">
        <v>1272</v>
      </c>
      <c r="I889" t="s">
        <v>1287</v>
      </c>
      <c r="J889" t="s">
        <v>1293</v>
      </c>
      <c r="K889" t="s">
        <v>1304</v>
      </c>
      <c r="L889" t="s">
        <v>1308</v>
      </c>
      <c r="M889" t="s">
        <v>1326</v>
      </c>
      <c r="N889">
        <v>1</v>
      </c>
      <c r="O889">
        <v>0.1</v>
      </c>
      <c r="P889">
        <v>6051.37</v>
      </c>
      <c r="Q889">
        <v>419.68</v>
      </c>
      <c r="R889" t="s">
        <v>1331</v>
      </c>
      <c r="S889" t="b">
        <f t="shared" si="52"/>
        <v>0</v>
      </c>
      <c r="T889" t="b">
        <f t="shared" si="53"/>
        <v>0</v>
      </c>
      <c r="U889" t="b">
        <f t="shared" si="54"/>
        <v>0</v>
      </c>
    </row>
    <row r="890" spans="1:21" x14ac:dyDescent="0.3">
      <c r="A890">
        <v>889</v>
      </c>
      <c r="B890" t="s">
        <v>905</v>
      </c>
      <c r="C890" s="2">
        <v>45897</v>
      </c>
      <c r="D890" s="2" t="str">
        <f t="shared" si="55"/>
        <v>Aug-2025</v>
      </c>
      <c r="E890" s="2">
        <v>45899</v>
      </c>
      <c r="F890" t="s">
        <v>1017</v>
      </c>
      <c r="G890" t="s">
        <v>1219</v>
      </c>
      <c r="H890" t="s">
        <v>1281</v>
      </c>
      <c r="I890" t="s">
        <v>1289</v>
      </c>
      <c r="J890" t="s">
        <v>1292</v>
      </c>
      <c r="K890" t="s">
        <v>1303</v>
      </c>
      <c r="L890" t="s">
        <v>1309</v>
      </c>
      <c r="M890" t="s">
        <v>1329</v>
      </c>
      <c r="N890">
        <v>1</v>
      </c>
      <c r="O890">
        <v>0.1</v>
      </c>
      <c r="P890">
        <v>1705.81</v>
      </c>
      <c r="Q890">
        <v>527.29999999999995</v>
      </c>
      <c r="R890" t="s">
        <v>1330</v>
      </c>
      <c r="S890" t="b">
        <f t="shared" si="52"/>
        <v>0</v>
      </c>
      <c r="T890" t="b">
        <f t="shared" si="53"/>
        <v>0</v>
      </c>
      <c r="U890" t="b">
        <f t="shared" si="54"/>
        <v>0</v>
      </c>
    </row>
    <row r="891" spans="1:21" x14ac:dyDescent="0.3">
      <c r="A891">
        <v>890</v>
      </c>
      <c r="B891" t="s">
        <v>906</v>
      </c>
      <c r="C891" s="2">
        <v>45892</v>
      </c>
      <c r="D891" s="2" t="str">
        <f t="shared" si="55"/>
        <v>Aug-2025</v>
      </c>
      <c r="E891" s="2">
        <v>45895</v>
      </c>
      <c r="F891" t="s">
        <v>1017</v>
      </c>
      <c r="G891" t="s">
        <v>1262</v>
      </c>
      <c r="H891" t="s">
        <v>1281</v>
      </c>
      <c r="I891" t="s">
        <v>1289</v>
      </c>
      <c r="J891" t="s">
        <v>1293</v>
      </c>
      <c r="K891" t="s">
        <v>1304</v>
      </c>
      <c r="L891" t="s">
        <v>1307</v>
      </c>
      <c r="M891" t="s">
        <v>1322</v>
      </c>
      <c r="N891">
        <v>2</v>
      </c>
      <c r="O891">
        <v>0.2</v>
      </c>
      <c r="P891">
        <v>1101.6300000000001</v>
      </c>
      <c r="Q891">
        <v>162.02000000000001</v>
      </c>
      <c r="R891" t="s">
        <v>1330</v>
      </c>
      <c r="S891" t="b">
        <f t="shared" si="52"/>
        <v>0</v>
      </c>
      <c r="T891" t="b">
        <f t="shared" si="53"/>
        <v>0</v>
      </c>
      <c r="U891" t="b">
        <f t="shared" si="54"/>
        <v>0</v>
      </c>
    </row>
    <row r="892" spans="1:21" x14ac:dyDescent="0.3">
      <c r="A892">
        <v>891</v>
      </c>
      <c r="B892" t="s">
        <v>907</v>
      </c>
      <c r="C892" s="2">
        <v>45900</v>
      </c>
      <c r="D892" s="2" t="str">
        <f t="shared" si="55"/>
        <v>Aug-2025</v>
      </c>
      <c r="E892" s="2">
        <v>45905</v>
      </c>
      <c r="F892" t="s">
        <v>1018</v>
      </c>
      <c r="G892" t="s">
        <v>1185</v>
      </c>
      <c r="H892" t="s">
        <v>1269</v>
      </c>
      <c r="I892" t="s">
        <v>1288</v>
      </c>
      <c r="J892" t="s">
        <v>1293</v>
      </c>
      <c r="K892" t="s">
        <v>1304</v>
      </c>
      <c r="L892" t="s">
        <v>1309</v>
      </c>
      <c r="M892" t="s">
        <v>1325</v>
      </c>
      <c r="N892">
        <v>4</v>
      </c>
      <c r="O892">
        <v>0.05</v>
      </c>
      <c r="P892">
        <v>4928.9799999999996</v>
      </c>
      <c r="Q892">
        <v>1339.68</v>
      </c>
      <c r="R892" t="s">
        <v>1332</v>
      </c>
      <c r="S892" t="b">
        <f t="shared" si="52"/>
        <v>0</v>
      </c>
      <c r="T892" t="b">
        <f t="shared" si="53"/>
        <v>0</v>
      </c>
      <c r="U892" t="b">
        <f t="shared" si="54"/>
        <v>0</v>
      </c>
    </row>
    <row r="893" spans="1:21" x14ac:dyDescent="0.3">
      <c r="A893">
        <v>892</v>
      </c>
      <c r="B893" t="s">
        <v>908</v>
      </c>
      <c r="C893" s="2">
        <v>45753</v>
      </c>
      <c r="D893" s="2" t="str">
        <f t="shared" si="55"/>
        <v>Apr-2025</v>
      </c>
      <c r="E893" s="2">
        <v>45755</v>
      </c>
      <c r="F893" t="s">
        <v>1018</v>
      </c>
      <c r="G893" t="s">
        <v>1148</v>
      </c>
      <c r="H893" t="s">
        <v>1284</v>
      </c>
      <c r="I893" t="s">
        <v>1288</v>
      </c>
      <c r="J893" t="s">
        <v>1301</v>
      </c>
      <c r="K893" t="s">
        <v>1303</v>
      </c>
      <c r="L893" t="s">
        <v>1309</v>
      </c>
      <c r="M893" t="s">
        <v>1317</v>
      </c>
      <c r="N893">
        <v>2</v>
      </c>
      <c r="O893">
        <v>0</v>
      </c>
      <c r="P893">
        <v>1589.71</v>
      </c>
      <c r="Q893">
        <v>299.32</v>
      </c>
      <c r="R893" t="s">
        <v>1332</v>
      </c>
      <c r="S893" t="b">
        <f t="shared" si="52"/>
        <v>0</v>
      </c>
      <c r="T893" t="b">
        <f t="shared" si="53"/>
        <v>0</v>
      </c>
      <c r="U893" t="b">
        <f t="shared" si="54"/>
        <v>0</v>
      </c>
    </row>
    <row r="894" spans="1:21" x14ac:dyDescent="0.3">
      <c r="A894">
        <v>893</v>
      </c>
      <c r="B894" t="s">
        <v>909</v>
      </c>
      <c r="C894" s="2">
        <v>45917</v>
      </c>
      <c r="D894" s="2" t="str">
        <f t="shared" si="55"/>
        <v>Sep-2025</v>
      </c>
      <c r="E894" s="2">
        <v>45920</v>
      </c>
      <c r="F894" t="s">
        <v>1018</v>
      </c>
      <c r="G894" t="s">
        <v>1120</v>
      </c>
      <c r="H894" t="s">
        <v>1282</v>
      </c>
      <c r="I894" t="s">
        <v>1289</v>
      </c>
      <c r="J894" t="s">
        <v>1295</v>
      </c>
      <c r="K894" t="s">
        <v>1305</v>
      </c>
      <c r="L894" t="s">
        <v>1308</v>
      </c>
      <c r="M894" t="s">
        <v>1312</v>
      </c>
      <c r="N894">
        <v>1</v>
      </c>
      <c r="O894">
        <v>0</v>
      </c>
      <c r="P894">
        <v>1308.27</v>
      </c>
      <c r="Q894">
        <v>436.97</v>
      </c>
      <c r="R894" t="s">
        <v>1333</v>
      </c>
      <c r="S894" t="b">
        <f t="shared" si="52"/>
        <v>0</v>
      </c>
      <c r="T894" t="b">
        <f t="shared" si="53"/>
        <v>0</v>
      </c>
      <c r="U894" t="b">
        <f t="shared" si="54"/>
        <v>0</v>
      </c>
    </row>
    <row r="895" spans="1:21" x14ac:dyDescent="0.3">
      <c r="A895">
        <v>894</v>
      </c>
      <c r="B895" t="s">
        <v>910</v>
      </c>
      <c r="C895" s="2">
        <v>45868</v>
      </c>
      <c r="D895" s="2" t="str">
        <f t="shared" si="55"/>
        <v>Jul-2025</v>
      </c>
      <c r="E895" s="2">
        <v>45869</v>
      </c>
      <c r="F895" t="s">
        <v>1017</v>
      </c>
      <c r="G895" t="s">
        <v>1155</v>
      </c>
      <c r="H895" t="s">
        <v>1281</v>
      </c>
      <c r="I895" t="s">
        <v>1289</v>
      </c>
      <c r="J895" t="s">
        <v>1298</v>
      </c>
      <c r="K895" t="s">
        <v>1303</v>
      </c>
      <c r="L895" t="s">
        <v>1307</v>
      </c>
      <c r="M895" t="s">
        <v>1322</v>
      </c>
      <c r="N895">
        <v>1</v>
      </c>
      <c r="O895">
        <v>0.1</v>
      </c>
      <c r="P895">
        <v>606.32000000000005</v>
      </c>
      <c r="Q895">
        <v>90.28</v>
      </c>
      <c r="R895" t="s">
        <v>1332</v>
      </c>
      <c r="S895" t="b">
        <f t="shared" si="52"/>
        <v>0</v>
      </c>
      <c r="T895" t="b">
        <f t="shared" si="53"/>
        <v>0</v>
      </c>
      <c r="U895" t="b">
        <f t="shared" si="54"/>
        <v>0</v>
      </c>
    </row>
    <row r="896" spans="1:21" x14ac:dyDescent="0.3">
      <c r="A896">
        <v>895</v>
      </c>
      <c r="B896" t="s">
        <v>911</v>
      </c>
      <c r="C896" s="2">
        <v>46006</v>
      </c>
      <c r="D896" s="2" t="str">
        <f t="shared" si="55"/>
        <v>Dec-2025</v>
      </c>
      <c r="E896" s="2">
        <v>46008</v>
      </c>
      <c r="F896" t="s">
        <v>1018</v>
      </c>
      <c r="G896" t="s">
        <v>1129</v>
      </c>
      <c r="H896" t="s">
        <v>1270</v>
      </c>
      <c r="I896" t="s">
        <v>1287</v>
      </c>
      <c r="J896" t="s">
        <v>1293</v>
      </c>
      <c r="K896" t="s">
        <v>1304</v>
      </c>
      <c r="L896" t="s">
        <v>1307</v>
      </c>
      <c r="M896" t="s">
        <v>1322</v>
      </c>
      <c r="N896">
        <v>2</v>
      </c>
      <c r="O896">
        <v>0.1</v>
      </c>
      <c r="P896">
        <v>1245.02</v>
      </c>
      <c r="Q896">
        <v>247.88</v>
      </c>
      <c r="R896" t="s">
        <v>1330</v>
      </c>
      <c r="S896" t="b">
        <f t="shared" si="52"/>
        <v>0</v>
      </c>
      <c r="T896" t="b">
        <f t="shared" si="53"/>
        <v>0</v>
      </c>
      <c r="U896" t="b">
        <f t="shared" si="54"/>
        <v>0</v>
      </c>
    </row>
    <row r="897" spans="1:21" x14ac:dyDescent="0.3">
      <c r="A897">
        <v>896</v>
      </c>
      <c r="B897" t="s">
        <v>912</v>
      </c>
      <c r="C897" s="2">
        <v>45710</v>
      </c>
      <c r="D897" s="2" t="str">
        <f t="shared" si="55"/>
        <v>Feb-2025</v>
      </c>
      <c r="E897" s="2">
        <v>45712</v>
      </c>
      <c r="F897" t="s">
        <v>1017</v>
      </c>
      <c r="G897" t="s">
        <v>1153</v>
      </c>
      <c r="H897" t="s">
        <v>1272</v>
      </c>
      <c r="I897" t="s">
        <v>1287</v>
      </c>
      <c r="J897" t="s">
        <v>1297</v>
      </c>
      <c r="K897" t="s">
        <v>1304</v>
      </c>
      <c r="L897" t="s">
        <v>1309</v>
      </c>
      <c r="M897" t="s">
        <v>1313</v>
      </c>
      <c r="N897">
        <v>1</v>
      </c>
      <c r="O897">
        <v>0.15</v>
      </c>
      <c r="P897">
        <v>1317.78</v>
      </c>
      <c r="Q897">
        <v>248.71</v>
      </c>
      <c r="R897" t="s">
        <v>1331</v>
      </c>
      <c r="S897" t="b">
        <f t="shared" si="52"/>
        <v>0</v>
      </c>
      <c r="T897" t="b">
        <f t="shared" si="53"/>
        <v>0</v>
      </c>
      <c r="U897" t="b">
        <f t="shared" si="54"/>
        <v>0</v>
      </c>
    </row>
    <row r="898" spans="1:21" x14ac:dyDescent="0.3">
      <c r="A898">
        <v>897</v>
      </c>
      <c r="B898" t="s">
        <v>913</v>
      </c>
      <c r="C898" s="2">
        <v>45999</v>
      </c>
      <c r="D898" s="2" t="str">
        <f t="shared" si="55"/>
        <v>Dec-2025</v>
      </c>
      <c r="E898" s="2">
        <v>46003</v>
      </c>
      <c r="F898" t="s">
        <v>1017</v>
      </c>
      <c r="G898" t="s">
        <v>1242</v>
      </c>
      <c r="H898" t="s">
        <v>1279</v>
      </c>
      <c r="I898" t="s">
        <v>1287</v>
      </c>
      <c r="J898" t="s">
        <v>1291</v>
      </c>
      <c r="K898" t="s">
        <v>1302</v>
      </c>
      <c r="L898" t="s">
        <v>1309</v>
      </c>
      <c r="M898" t="s">
        <v>1325</v>
      </c>
      <c r="N898">
        <v>1</v>
      </c>
      <c r="O898">
        <v>0</v>
      </c>
      <c r="P898">
        <v>1354.1</v>
      </c>
      <c r="Q898">
        <v>347.29</v>
      </c>
      <c r="R898" t="s">
        <v>1332</v>
      </c>
      <c r="S898" t="b">
        <f t="shared" ref="S898:S961" si="56">E898&lt;C898</f>
        <v>0</v>
      </c>
      <c r="T898" t="b">
        <f t="shared" ref="T898:T961" si="57">N898&lt;=0</f>
        <v>0</v>
      </c>
      <c r="U898" t="b">
        <f t="shared" ref="U898:U961" si="58">OR(O898&lt;0,O898&gt;1)</f>
        <v>0</v>
      </c>
    </row>
    <row r="899" spans="1:21" x14ac:dyDescent="0.3">
      <c r="A899">
        <v>898</v>
      </c>
      <c r="B899" t="s">
        <v>914</v>
      </c>
      <c r="C899" s="2">
        <v>45675</v>
      </c>
      <c r="D899" s="2" t="str">
        <f t="shared" ref="D899:D962" si="59">TEXT(C899,"mmm-yyyy")</f>
        <v>Jan-2025</v>
      </c>
      <c r="E899" s="2">
        <v>45680</v>
      </c>
      <c r="F899" t="s">
        <v>1018</v>
      </c>
      <c r="G899" t="s">
        <v>1154</v>
      </c>
      <c r="H899" t="s">
        <v>1270</v>
      </c>
      <c r="I899" t="s">
        <v>1287</v>
      </c>
      <c r="J899" t="s">
        <v>1301</v>
      </c>
      <c r="K899" t="s">
        <v>1303</v>
      </c>
      <c r="L899" t="s">
        <v>1309</v>
      </c>
      <c r="M899" t="s">
        <v>1317</v>
      </c>
      <c r="N899">
        <v>2</v>
      </c>
      <c r="O899">
        <v>0</v>
      </c>
      <c r="P899">
        <v>1539.41</v>
      </c>
      <c r="Q899">
        <v>339.43</v>
      </c>
      <c r="R899" t="s">
        <v>1333</v>
      </c>
      <c r="S899" t="b">
        <f t="shared" si="56"/>
        <v>0</v>
      </c>
      <c r="T899" t="b">
        <f t="shared" si="57"/>
        <v>0</v>
      </c>
      <c r="U899" t="b">
        <f t="shared" si="58"/>
        <v>0</v>
      </c>
    </row>
    <row r="900" spans="1:21" x14ac:dyDescent="0.3">
      <c r="A900">
        <v>899</v>
      </c>
      <c r="B900" t="s">
        <v>915</v>
      </c>
      <c r="C900" s="2">
        <v>46005</v>
      </c>
      <c r="D900" s="2" t="str">
        <f t="shared" si="59"/>
        <v>Dec-2025</v>
      </c>
      <c r="E900" s="2">
        <v>46010</v>
      </c>
      <c r="F900" t="s">
        <v>1017</v>
      </c>
      <c r="G900" t="s">
        <v>1111</v>
      </c>
      <c r="H900" t="s">
        <v>1286</v>
      </c>
      <c r="I900" t="s">
        <v>1287</v>
      </c>
      <c r="J900" t="s">
        <v>1300</v>
      </c>
      <c r="K900" t="s">
        <v>1305</v>
      </c>
      <c r="L900" t="s">
        <v>1309</v>
      </c>
      <c r="M900" t="s">
        <v>1325</v>
      </c>
      <c r="N900">
        <v>1</v>
      </c>
      <c r="O900">
        <v>0.05</v>
      </c>
      <c r="P900">
        <v>1272.69</v>
      </c>
      <c r="Q900">
        <v>458.63</v>
      </c>
      <c r="R900" t="s">
        <v>1333</v>
      </c>
      <c r="S900" t="b">
        <f t="shared" si="56"/>
        <v>0</v>
      </c>
      <c r="T900" t="b">
        <f t="shared" si="57"/>
        <v>0</v>
      </c>
      <c r="U900" t="b">
        <f t="shared" si="58"/>
        <v>0</v>
      </c>
    </row>
    <row r="901" spans="1:21" x14ac:dyDescent="0.3">
      <c r="A901">
        <v>900</v>
      </c>
      <c r="B901" t="s">
        <v>916</v>
      </c>
      <c r="C901" s="2">
        <v>45672</v>
      </c>
      <c r="D901" s="2" t="str">
        <f t="shared" si="59"/>
        <v>Jan-2025</v>
      </c>
      <c r="E901" s="2">
        <v>45676</v>
      </c>
      <c r="F901" t="s">
        <v>1018</v>
      </c>
      <c r="G901" t="s">
        <v>1188</v>
      </c>
      <c r="H901" t="s">
        <v>1285</v>
      </c>
      <c r="I901" t="s">
        <v>1287</v>
      </c>
      <c r="J901" t="s">
        <v>1296</v>
      </c>
      <c r="K901" t="s">
        <v>1304</v>
      </c>
      <c r="L901" t="s">
        <v>1306</v>
      </c>
      <c r="M901" t="s">
        <v>1324</v>
      </c>
      <c r="N901">
        <v>5</v>
      </c>
      <c r="O901">
        <v>0.1</v>
      </c>
      <c r="P901">
        <v>385.29</v>
      </c>
      <c r="Q901">
        <v>56.99</v>
      </c>
      <c r="R901" t="s">
        <v>1333</v>
      </c>
      <c r="S901" t="b">
        <f t="shared" si="56"/>
        <v>0</v>
      </c>
      <c r="T901" t="b">
        <f t="shared" si="57"/>
        <v>0</v>
      </c>
      <c r="U901" t="b">
        <f t="shared" si="58"/>
        <v>0</v>
      </c>
    </row>
    <row r="902" spans="1:21" x14ac:dyDescent="0.3">
      <c r="A902">
        <v>901</v>
      </c>
      <c r="B902" t="s">
        <v>917</v>
      </c>
      <c r="C902" s="2">
        <v>45916</v>
      </c>
      <c r="D902" s="2" t="str">
        <f t="shared" si="59"/>
        <v>Sep-2025</v>
      </c>
      <c r="E902" s="2">
        <v>45918</v>
      </c>
      <c r="F902" t="s">
        <v>1018</v>
      </c>
      <c r="G902" t="s">
        <v>1153</v>
      </c>
      <c r="H902" t="s">
        <v>1279</v>
      </c>
      <c r="I902" t="s">
        <v>1288</v>
      </c>
      <c r="J902" t="s">
        <v>1292</v>
      </c>
      <c r="K902" t="s">
        <v>1303</v>
      </c>
      <c r="L902" t="s">
        <v>1306</v>
      </c>
      <c r="M902" t="s">
        <v>1310</v>
      </c>
      <c r="N902">
        <v>2</v>
      </c>
      <c r="O902">
        <v>0.1</v>
      </c>
      <c r="P902">
        <v>1123.81</v>
      </c>
      <c r="Q902">
        <v>117.88</v>
      </c>
      <c r="R902" t="s">
        <v>1333</v>
      </c>
      <c r="S902" t="b">
        <f t="shared" si="56"/>
        <v>0</v>
      </c>
      <c r="T902" t="b">
        <f t="shared" si="57"/>
        <v>0</v>
      </c>
      <c r="U902" t="b">
        <f t="shared" si="58"/>
        <v>0</v>
      </c>
    </row>
    <row r="903" spans="1:21" x14ac:dyDescent="0.3">
      <c r="A903">
        <v>902</v>
      </c>
      <c r="B903" t="s">
        <v>918</v>
      </c>
      <c r="C903" s="2">
        <v>45847</v>
      </c>
      <c r="D903" s="2" t="str">
        <f t="shared" si="59"/>
        <v>Jul-2025</v>
      </c>
      <c r="E903" s="2">
        <v>45850</v>
      </c>
      <c r="F903" t="s">
        <v>1018</v>
      </c>
      <c r="G903" t="s">
        <v>1182</v>
      </c>
      <c r="H903" t="s">
        <v>1286</v>
      </c>
      <c r="I903" t="s">
        <v>1287</v>
      </c>
      <c r="J903" t="s">
        <v>1300</v>
      </c>
      <c r="K903" t="s">
        <v>1305</v>
      </c>
      <c r="L903" t="s">
        <v>1309</v>
      </c>
      <c r="M903" t="s">
        <v>1329</v>
      </c>
      <c r="N903">
        <v>3</v>
      </c>
      <c r="O903">
        <v>0.2</v>
      </c>
      <c r="P903">
        <v>4780.62</v>
      </c>
      <c r="Q903">
        <v>937.94</v>
      </c>
      <c r="R903" t="s">
        <v>1333</v>
      </c>
      <c r="S903" t="b">
        <f t="shared" si="56"/>
        <v>0</v>
      </c>
      <c r="T903" t="b">
        <f t="shared" si="57"/>
        <v>0</v>
      </c>
      <c r="U903" t="b">
        <f t="shared" si="58"/>
        <v>0</v>
      </c>
    </row>
    <row r="904" spans="1:21" x14ac:dyDescent="0.3">
      <c r="A904">
        <v>903</v>
      </c>
      <c r="B904" t="s">
        <v>919</v>
      </c>
      <c r="C904" s="2">
        <v>45946</v>
      </c>
      <c r="D904" s="2" t="str">
        <f t="shared" si="59"/>
        <v>Oct-2025</v>
      </c>
      <c r="E904" s="2">
        <v>45950</v>
      </c>
      <c r="F904" t="s">
        <v>1017</v>
      </c>
      <c r="G904" t="s">
        <v>1035</v>
      </c>
      <c r="H904" t="s">
        <v>1285</v>
      </c>
      <c r="I904" t="s">
        <v>1287</v>
      </c>
      <c r="J904" t="s">
        <v>1295</v>
      </c>
      <c r="K904" t="s">
        <v>1305</v>
      </c>
      <c r="L904" t="s">
        <v>1308</v>
      </c>
      <c r="M904" t="s">
        <v>1312</v>
      </c>
      <c r="N904">
        <v>4</v>
      </c>
      <c r="O904">
        <v>0.1</v>
      </c>
      <c r="P904">
        <v>4888.28</v>
      </c>
      <c r="Q904">
        <v>1226.74</v>
      </c>
      <c r="R904" t="s">
        <v>1330</v>
      </c>
      <c r="S904" t="b">
        <f t="shared" si="56"/>
        <v>0</v>
      </c>
      <c r="T904" t="b">
        <f t="shared" si="57"/>
        <v>0</v>
      </c>
      <c r="U904" t="b">
        <f t="shared" si="58"/>
        <v>0</v>
      </c>
    </row>
    <row r="905" spans="1:21" x14ac:dyDescent="0.3">
      <c r="A905">
        <v>904</v>
      </c>
      <c r="B905" t="s">
        <v>920</v>
      </c>
      <c r="C905" s="2">
        <v>45717</v>
      </c>
      <c r="D905" s="2" t="str">
        <f t="shared" si="59"/>
        <v>Mar-2025</v>
      </c>
      <c r="E905" s="2">
        <v>45720</v>
      </c>
      <c r="F905" t="s">
        <v>1018</v>
      </c>
      <c r="G905" t="s">
        <v>1128</v>
      </c>
      <c r="H905" t="s">
        <v>1285</v>
      </c>
      <c r="I905" t="s">
        <v>1287</v>
      </c>
      <c r="J905" t="s">
        <v>1298</v>
      </c>
      <c r="K905" t="s">
        <v>1303</v>
      </c>
      <c r="L905" t="s">
        <v>1307</v>
      </c>
      <c r="M905" t="s">
        <v>1314</v>
      </c>
      <c r="N905">
        <v>1</v>
      </c>
      <c r="O905">
        <v>0.05</v>
      </c>
      <c r="P905">
        <v>812.9</v>
      </c>
      <c r="Q905">
        <v>125.62</v>
      </c>
      <c r="R905" t="s">
        <v>1334</v>
      </c>
      <c r="S905" t="b">
        <f t="shared" si="56"/>
        <v>0</v>
      </c>
      <c r="T905" t="b">
        <f t="shared" si="57"/>
        <v>0</v>
      </c>
      <c r="U905" t="b">
        <f t="shared" si="58"/>
        <v>0</v>
      </c>
    </row>
    <row r="906" spans="1:21" x14ac:dyDescent="0.3">
      <c r="A906">
        <v>905</v>
      </c>
      <c r="B906" t="s">
        <v>921</v>
      </c>
      <c r="C906" s="2">
        <v>45848</v>
      </c>
      <c r="D906" s="2" t="str">
        <f t="shared" si="59"/>
        <v>Jul-2025</v>
      </c>
      <c r="E906" s="2">
        <v>45852</v>
      </c>
      <c r="F906" t="s">
        <v>1018</v>
      </c>
      <c r="G906" t="s">
        <v>1218</v>
      </c>
      <c r="H906" t="s">
        <v>1270</v>
      </c>
      <c r="I906" t="s">
        <v>1288</v>
      </c>
      <c r="J906" t="s">
        <v>1296</v>
      </c>
      <c r="K906" t="s">
        <v>1304</v>
      </c>
      <c r="L906" t="s">
        <v>1307</v>
      </c>
      <c r="M906" t="s">
        <v>1322</v>
      </c>
      <c r="N906">
        <v>4</v>
      </c>
      <c r="O906">
        <v>0.2</v>
      </c>
      <c r="P906">
        <v>2224.94</v>
      </c>
      <c r="Q906">
        <v>348.27</v>
      </c>
      <c r="R906" t="s">
        <v>1331</v>
      </c>
      <c r="S906" t="b">
        <f t="shared" si="56"/>
        <v>0</v>
      </c>
      <c r="T906" t="b">
        <f t="shared" si="57"/>
        <v>0</v>
      </c>
      <c r="U906" t="b">
        <f t="shared" si="58"/>
        <v>0</v>
      </c>
    </row>
    <row r="907" spans="1:21" x14ac:dyDescent="0.3">
      <c r="A907">
        <v>906</v>
      </c>
      <c r="B907" t="s">
        <v>922</v>
      </c>
      <c r="C907" s="2">
        <v>45829</v>
      </c>
      <c r="D907" s="2" t="str">
        <f t="shared" si="59"/>
        <v>Jun-2025</v>
      </c>
      <c r="E907" s="2">
        <v>45832</v>
      </c>
      <c r="F907" t="s">
        <v>1017</v>
      </c>
      <c r="G907" t="s">
        <v>1257</v>
      </c>
      <c r="H907" t="s">
        <v>1281</v>
      </c>
      <c r="I907" t="s">
        <v>1287</v>
      </c>
      <c r="J907" t="s">
        <v>1292</v>
      </c>
      <c r="K907" t="s">
        <v>1303</v>
      </c>
      <c r="L907" t="s">
        <v>1309</v>
      </c>
      <c r="M907" t="s">
        <v>1320</v>
      </c>
      <c r="N907">
        <v>3</v>
      </c>
      <c r="O907">
        <v>0.1</v>
      </c>
      <c r="P907">
        <v>3354.62</v>
      </c>
      <c r="Q907">
        <v>509.92</v>
      </c>
      <c r="R907" t="s">
        <v>1333</v>
      </c>
      <c r="S907" t="b">
        <f t="shared" si="56"/>
        <v>0</v>
      </c>
      <c r="T907" t="b">
        <f t="shared" si="57"/>
        <v>0</v>
      </c>
      <c r="U907" t="b">
        <f t="shared" si="58"/>
        <v>0</v>
      </c>
    </row>
    <row r="908" spans="1:21" x14ac:dyDescent="0.3">
      <c r="A908">
        <v>907</v>
      </c>
      <c r="B908" t="s">
        <v>923</v>
      </c>
      <c r="C908" s="2">
        <v>45853</v>
      </c>
      <c r="D908" s="2" t="str">
        <f t="shared" si="59"/>
        <v>Jul-2025</v>
      </c>
      <c r="E908" s="2">
        <v>45854</v>
      </c>
      <c r="F908" t="s">
        <v>1019</v>
      </c>
      <c r="G908" t="s">
        <v>1033</v>
      </c>
      <c r="H908" t="s">
        <v>1270</v>
      </c>
      <c r="I908" t="s">
        <v>1287</v>
      </c>
      <c r="J908" t="s">
        <v>1290</v>
      </c>
      <c r="K908" t="s">
        <v>1302</v>
      </c>
      <c r="L908" t="s">
        <v>1307</v>
      </c>
      <c r="M908" t="s">
        <v>1315</v>
      </c>
      <c r="N908">
        <v>3</v>
      </c>
      <c r="O908">
        <v>0</v>
      </c>
      <c r="P908">
        <v>5165.9399999999996</v>
      </c>
      <c r="Q908">
        <v>1194.3399999999999</v>
      </c>
      <c r="R908" t="s">
        <v>1333</v>
      </c>
      <c r="S908" t="b">
        <f t="shared" si="56"/>
        <v>0</v>
      </c>
      <c r="T908" t="b">
        <f t="shared" si="57"/>
        <v>0</v>
      </c>
      <c r="U908" t="b">
        <f t="shared" si="58"/>
        <v>0</v>
      </c>
    </row>
    <row r="909" spans="1:21" x14ac:dyDescent="0.3">
      <c r="A909">
        <v>908</v>
      </c>
      <c r="B909" t="s">
        <v>924</v>
      </c>
      <c r="C909" s="2">
        <v>45928</v>
      </c>
      <c r="D909" s="2" t="str">
        <f t="shared" si="59"/>
        <v>Sep-2025</v>
      </c>
      <c r="E909" s="2">
        <v>45929</v>
      </c>
      <c r="F909" t="s">
        <v>1018</v>
      </c>
      <c r="G909" t="s">
        <v>1107</v>
      </c>
      <c r="H909" t="s">
        <v>1270</v>
      </c>
      <c r="I909" t="s">
        <v>1288</v>
      </c>
      <c r="J909" t="s">
        <v>1296</v>
      </c>
      <c r="K909" t="s">
        <v>1304</v>
      </c>
      <c r="L909" t="s">
        <v>1309</v>
      </c>
      <c r="M909" t="s">
        <v>1320</v>
      </c>
      <c r="N909">
        <v>2</v>
      </c>
      <c r="O909">
        <v>0</v>
      </c>
      <c r="P909">
        <v>2450.2800000000002</v>
      </c>
      <c r="Q909">
        <v>510.95</v>
      </c>
      <c r="R909" t="s">
        <v>1332</v>
      </c>
      <c r="S909" t="b">
        <f t="shared" si="56"/>
        <v>0</v>
      </c>
      <c r="T909" t="b">
        <f t="shared" si="57"/>
        <v>0</v>
      </c>
      <c r="U909" t="b">
        <f t="shared" si="58"/>
        <v>0</v>
      </c>
    </row>
    <row r="910" spans="1:21" x14ac:dyDescent="0.3">
      <c r="A910">
        <v>909</v>
      </c>
      <c r="B910" t="s">
        <v>925</v>
      </c>
      <c r="C910" s="2">
        <v>45903</v>
      </c>
      <c r="D910" s="2" t="str">
        <f t="shared" si="59"/>
        <v>Sep-2025</v>
      </c>
      <c r="E910" s="2">
        <v>45905</v>
      </c>
      <c r="F910" t="s">
        <v>1017</v>
      </c>
      <c r="G910" t="s">
        <v>1224</v>
      </c>
      <c r="H910" t="s">
        <v>1279</v>
      </c>
      <c r="I910" t="s">
        <v>1288</v>
      </c>
      <c r="J910" t="s">
        <v>1294</v>
      </c>
      <c r="K910" t="s">
        <v>1305</v>
      </c>
      <c r="L910" t="s">
        <v>1307</v>
      </c>
      <c r="M910" t="s">
        <v>1315</v>
      </c>
      <c r="N910">
        <v>1</v>
      </c>
      <c r="O910">
        <v>0.15</v>
      </c>
      <c r="P910">
        <v>1555.34</v>
      </c>
      <c r="Q910">
        <v>83.69</v>
      </c>
      <c r="R910" t="s">
        <v>1334</v>
      </c>
      <c r="S910" t="b">
        <f t="shared" si="56"/>
        <v>0</v>
      </c>
      <c r="T910" t="b">
        <f t="shared" si="57"/>
        <v>0</v>
      </c>
      <c r="U910" t="b">
        <f t="shared" si="58"/>
        <v>0</v>
      </c>
    </row>
    <row r="911" spans="1:21" x14ac:dyDescent="0.3">
      <c r="A911">
        <v>910</v>
      </c>
      <c r="B911" t="s">
        <v>926</v>
      </c>
      <c r="C911" s="2">
        <v>45704</v>
      </c>
      <c r="D911" s="2" t="str">
        <f t="shared" si="59"/>
        <v>Feb-2025</v>
      </c>
      <c r="E911" s="2">
        <v>45708</v>
      </c>
      <c r="F911" t="s">
        <v>1017</v>
      </c>
      <c r="G911" t="s">
        <v>1165</v>
      </c>
      <c r="H911" t="s">
        <v>1276</v>
      </c>
      <c r="I911" t="s">
        <v>1288</v>
      </c>
      <c r="J911" t="s">
        <v>1298</v>
      </c>
      <c r="K911" t="s">
        <v>1303</v>
      </c>
      <c r="L911" t="s">
        <v>1306</v>
      </c>
      <c r="M911" t="s">
        <v>1324</v>
      </c>
      <c r="N911">
        <v>2</v>
      </c>
      <c r="O911">
        <v>0</v>
      </c>
      <c r="P911">
        <v>184.31</v>
      </c>
      <c r="Q911">
        <v>44.5</v>
      </c>
      <c r="R911" t="s">
        <v>1334</v>
      </c>
      <c r="S911" t="b">
        <f t="shared" si="56"/>
        <v>0</v>
      </c>
      <c r="T911" t="b">
        <f t="shared" si="57"/>
        <v>0</v>
      </c>
      <c r="U911" t="b">
        <f t="shared" si="58"/>
        <v>0</v>
      </c>
    </row>
    <row r="912" spans="1:21" x14ac:dyDescent="0.3">
      <c r="A912">
        <v>911</v>
      </c>
      <c r="B912" t="s">
        <v>927</v>
      </c>
      <c r="C912" s="2">
        <v>46006</v>
      </c>
      <c r="D912" s="2" t="str">
        <f t="shared" si="59"/>
        <v>Dec-2025</v>
      </c>
      <c r="E912" s="2">
        <v>46010</v>
      </c>
      <c r="F912" t="s">
        <v>1018</v>
      </c>
      <c r="G912" t="s">
        <v>1149</v>
      </c>
      <c r="H912" t="s">
        <v>1280</v>
      </c>
      <c r="I912" t="s">
        <v>1287</v>
      </c>
      <c r="J912" t="s">
        <v>1298</v>
      </c>
      <c r="K912" t="s">
        <v>1303</v>
      </c>
      <c r="L912" t="s">
        <v>1307</v>
      </c>
      <c r="M912" t="s">
        <v>1311</v>
      </c>
      <c r="N912">
        <v>4</v>
      </c>
      <c r="O912">
        <v>0.15</v>
      </c>
      <c r="P912">
        <v>1004.78</v>
      </c>
      <c r="Q912">
        <v>229.4</v>
      </c>
      <c r="R912" t="s">
        <v>1333</v>
      </c>
      <c r="S912" t="b">
        <f t="shared" si="56"/>
        <v>0</v>
      </c>
      <c r="T912" t="b">
        <f t="shared" si="57"/>
        <v>0</v>
      </c>
      <c r="U912" t="b">
        <f t="shared" si="58"/>
        <v>0</v>
      </c>
    </row>
    <row r="913" spans="1:21" x14ac:dyDescent="0.3">
      <c r="A913">
        <v>912</v>
      </c>
      <c r="B913" t="s">
        <v>928</v>
      </c>
      <c r="C913" s="2">
        <v>46000</v>
      </c>
      <c r="D913" s="2" t="str">
        <f t="shared" si="59"/>
        <v>Dec-2025</v>
      </c>
      <c r="E913" s="2">
        <v>46004</v>
      </c>
      <c r="F913" t="s">
        <v>1018</v>
      </c>
      <c r="G913" t="s">
        <v>1131</v>
      </c>
      <c r="H913" t="s">
        <v>1286</v>
      </c>
      <c r="I913" t="s">
        <v>1287</v>
      </c>
      <c r="J913" t="s">
        <v>1299</v>
      </c>
      <c r="K913" t="s">
        <v>1304</v>
      </c>
      <c r="L913" t="s">
        <v>1308</v>
      </c>
      <c r="M913" t="s">
        <v>1319</v>
      </c>
      <c r="N913">
        <v>2</v>
      </c>
      <c r="O913">
        <v>0</v>
      </c>
      <c r="P913">
        <v>9118.43</v>
      </c>
      <c r="Q913">
        <v>2636.44</v>
      </c>
      <c r="R913" t="s">
        <v>1333</v>
      </c>
      <c r="S913" t="b">
        <f t="shared" si="56"/>
        <v>0</v>
      </c>
      <c r="T913" t="b">
        <f t="shared" si="57"/>
        <v>0</v>
      </c>
      <c r="U913" t="b">
        <f t="shared" si="58"/>
        <v>0</v>
      </c>
    </row>
    <row r="914" spans="1:21" x14ac:dyDescent="0.3">
      <c r="A914">
        <v>913</v>
      </c>
      <c r="B914" t="s">
        <v>929</v>
      </c>
      <c r="C914" s="2">
        <v>45852</v>
      </c>
      <c r="D914" s="2" t="str">
        <f t="shared" si="59"/>
        <v>Jul-2025</v>
      </c>
      <c r="E914" s="2">
        <v>45855</v>
      </c>
      <c r="F914" t="s">
        <v>1018</v>
      </c>
      <c r="G914" t="s">
        <v>1024</v>
      </c>
      <c r="H914" t="s">
        <v>1267</v>
      </c>
      <c r="I914" t="s">
        <v>1287</v>
      </c>
      <c r="J914" t="s">
        <v>1299</v>
      </c>
      <c r="K914" t="s">
        <v>1304</v>
      </c>
      <c r="L914" t="s">
        <v>1307</v>
      </c>
      <c r="M914" t="s">
        <v>1316</v>
      </c>
      <c r="N914">
        <v>1</v>
      </c>
      <c r="O914">
        <v>0.1</v>
      </c>
      <c r="P914">
        <v>449.56</v>
      </c>
      <c r="Q914">
        <v>87.38</v>
      </c>
      <c r="R914" t="s">
        <v>1333</v>
      </c>
      <c r="S914" t="b">
        <f t="shared" si="56"/>
        <v>0</v>
      </c>
      <c r="T914" t="b">
        <f t="shared" si="57"/>
        <v>0</v>
      </c>
      <c r="U914" t="b">
        <f t="shared" si="58"/>
        <v>0</v>
      </c>
    </row>
    <row r="915" spans="1:21" x14ac:dyDescent="0.3">
      <c r="A915">
        <v>914</v>
      </c>
      <c r="B915" t="s">
        <v>930</v>
      </c>
      <c r="C915" s="2">
        <v>45700</v>
      </c>
      <c r="D915" s="2" t="str">
        <f t="shared" si="59"/>
        <v>Feb-2025</v>
      </c>
      <c r="E915" s="2">
        <v>45705</v>
      </c>
      <c r="F915" t="s">
        <v>1018</v>
      </c>
      <c r="G915" t="s">
        <v>1217</v>
      </c>
      <c r="H915" t="s">
        <v>1281</v>
      </c>
      <c r="I915" t="s">
        <v>1288</v>
      </c>
      <c r="J915" t="s">
        <v>1291</v>
      </c>
      <c r="K915" t="s">
        <v>1302</v>
      </c>
      <c r="L915" t="s">
        <v>1308</v>
      </c>
      <c r="M915" t="s">
        <v>1319</v>
      </c>
      <c r="N915">
        <v>1</v>
      </c>
      <c r="O915">
        <v>0.15</v>
      </c>
      <c r="P915">
        <v>3850.96</v>
      </c>
      <c r="Q915">
        <v>667.44</v>
      </c>
      <c r="R915" t="s">
        <v>1330</v>
      </c>
      <c r="S915" t="b">
        <f t="shared" si="56"/>
        <v>0</v>
      </c>
      <c r="T915" t="b">
        <f t="shared" si="57"/>
        <v>0</v>
      </c>
      <c r="U915" t="b">
        <f t="shared" si="58"/>
        <v>0</v>
      </c>
    </row>
    <row r="916" spans="1:21" x14ac:dyDescent="0.3">
      <c r="A916">
        <v>915</v>
      </c>
      <c r="B916" t="s">
        <v>931</v>
      </c>
      <c r="C916" s="2">
        <v>45726</v>
      </c>
      <c r="D916" s="2" t="str">
        <f t="shared" si="59"/>
        <v>Mar-2025</v>
      </c>
      <c r="E916" s="2">
        <v>45729</v>
      </c>
      <c r="F916" t="s">
        <v>1017</v>
      </c>
      <c r="G916" t="s">
        <v>1224</v>
      </c>
      <c r="H916" t="s">
        <v>1271</v>
      </c>
      <c r="I916" t="s">
        <v>1288</v>
      </c>
      <c r="J916" t="s">
        <v>1299</v>
      </c>
      <c r="K916" t="s">
        <v>1304</v>
      </c>
      <c r="L916" t="s">
        <v>1307</v>
      </c>
      <c r="M916" t="s">
        <v>1315</v>
      </c>
      <c r="N916">
        <v>2</v>
      </c>
      <c r="O916">
        <v>0.2</v>
      </c>
      <c r="P916">
        <v>2970.82</v>
      </c>
      <c r="Q916">
        <v>347.26</v>
      </c>
      <c r="R916" t="s">
        <v>1331</v>
      </c>
      <c r="S916" t="b">
        <f t="shared" si="56"/>
        <v>0</v>
      </c>
      <c r="T916" t="b">
        <f t="shared" si="57"/>
        <v>0</v>
      </c>
      <c r="U916" t="b">
        <f t="shared" si="58"/>
        <v>0</v>
      </c>
    </row>
    <row r="917" spans="1:21" x14ac:dyDescent="0.3">
      <c r="A917">
        <v>916</v>
      </c>
      <c r="B917" t="s">
        <v>932</v>
      </c>
      <c r="C917" s="2">
        <v>45670</v>
      </c>
      <c r="D917" s="2" t="str">
        <f t="shared" si="59"/>
        <v>Jan-2025</v>
      </c>
      <c r="E917" s="2">
        <v>45672</v>
      </c>
      <c r="F917" t="s">
        <v>1017</v>
      </c>
      <c r="G917" t="s">
        <v>1259</v>
      </c>
      <c r="H917" t="s">
        <v>1280</v>
      </c>
      <c r="I917" t="s">
        <v>1287</v>
      </c>
      <c r="J917" t="s">
        <v>1301</v>
      </c>
      <c r="K917" t="s">
        <v>1303</v>
      </c>
      <c r="L917" t="s">
        <v>1306</v>
      </c>
      <c r="M917" t="s">
        <v>1310</v>
      </c>
      <c r="N917">
        <v>4</v>
      </c>
      <c r="O917">
        <v>0.1</v>
      </c>
      <c r="P917">
        <v>2401.56</v>
      </c>
      <c r="Q917">
        <v>444.1</v>
      </c>
      <c r="R917" t="s">
        <v>1331</v>
      </c>
      <c r="S917" t="b">
        <f t="shared" si="56"/>
        <v>0</v>
      </c>
      <c r="T917" t="b">
        <f t="shared" si="57"/>
        <v>0</v>
      </c>
      <c r="U917" t="b">
        <f t="shared" si="58"/>
        <v>0</v>
      </c>
    </row>
    <row r="918" spans="1:21" x14ac:dyDescent="0.3">
      <c r="A918">
        <v>917</v>
      </c>
      <c r="B918" t="s">
        <v>933</v>
      </c>
      <c r="C918" s="2">
        <v>45951</v>
      </c>
      <c r="D918" s="2" t="str">
        <f t="shared" si="59"/>
        <v>Oct-2025</v>
      </c>
      <c r="E918" s="2">
        <v>45956</v>
      </c>
      <c r="F918" t="s">
        <v>1019</v>
      </c>
      <c r="G918" t="s">
        <v>1024</v>
      </c>
      <c r="H918" t="s">
        <v>1269</v>
      </c>
      <c r="I918" t="s">
        <v>1287</v>
      </c>
      <c r="J918" t="s">
        <v>1293</v>
      </c>
      <c r="K918" t="s">
        <v>1304</v>
      </c>
      <c r="L918" t="s">
        <v>1309</v>
      </c>
      <c r="M918" t="s">
        <v>1325</v>
      </c>
      <c r="N918">
        <v>1</v>
      </c>
      <c r="O918">
        <v>0.25</v>
      </c>
      <c r="P918">
        <v>1011.24</v>
      </c>
      <c r="Q918">
        <v>153.97</v>
      </c>
      <c r="R918" t="s">
        <v>1332</v>
      </c>
      <c r="S918" t="b">
        <f t="shared" si="56"/>
        <v>0</v>
      </c>
      <c r="T918" t="b">
        <f t="shared" si="57"/>
        <v>0</v>
      </c>
      <c r="U918" t="b">
        <f t="shared" si="58"/>
        <v>0</v>
      </c>
    </row>
    <row r="919" spans="1:21" x14ac:dyDescent="0.3">
      <c r="A919">
        <v>918</v>
      </c>
      <c r="B919" t="s">
        <v>934</v>
      </c>
      <c r="C919" s="2">
        <v>45808</v>
      </c>
      <c r="D919" s="2" t="str">
        <f t="shared" si="59"/>
        <v>May-2025</v>
      </c>
      <c r="E919" s="2">
        <v>45813</v>
      </c>
      <c r="F919" t="s">
        <v>1017</v>
      </c>
      <c r="G919" t="s">
        <v>1172</v>
      </c>
      <c r="H919" t="s">
        <v>1277</v>
      </c>
      <c r="I919" t="s">
        <v>1287</v>
      </c>
      <c r="J919" t="s">
        <v>1293</v>
      </c>
      <c r="K919" t="s">
        <v>1304</v>
      </c>
      <c r="L919" t="s">
        <v>1308</v>
      </c>
      <c r="M919" t="s">
        <v>1327</v>
      </c>
      <c r="N919">
        <v>2</v>
      </c>
      <c r="O919">
        <v>0.15</v>
      </c>
      <c r="P919">
        <v>2908.81</v>
      </c>
      <c r="Q919">
        <v>348.43</v>
      </c>
      <c r="R919" t="s">
        <v>1331</v>
      </c>
      <c r="S919" t="b">
        <f t="shared" si="56"/>
        <v>0</v>
      </c>
      <c r="T919" t="b">
        <f t="shared" si="57"/>
        <v>0</v>
      </c>
      <c r="U919" t="b">
        <f t="shared" si="58"/>
        <v>0</v>
      </c>
    </row>
    <row r="920" spans="1:21" x14ac:dyDescent="0.3">
      <c r="A920">
        <v>919</v>
      </c>
      <c r="B920" t="s">
        <v>935</v>
      </c>
      <c r="C920" s="2">
        <v>45706</v>
      </c>
      <c r="D920" s="2" t="str">
        <f t="shared" si="59"/>
        <v>Feb-2025</v>
      </c>
      <c r="E920" s="2">
        <v>45710</v>
      </c>
      <c r="F920" t="s">
        <v>1017</v>
      </c>
      <c r="G920" t="s">
        <v>1187</v>
      </c>
      <c r="H920" t="s">
        <v>1273</v>
      </c>
      <c r="I920" t="s">
        <v>1287</v>
      </c>
      <c r="J920" t="s">
        <v>1296</v>
      </c>
      <c r="K920" t="s">
        <v>1304</v>
      </c>
      <c r="L920" t="s">
        <v>1309</v>
      </c>
      <c r="M920" t="s">
        <v>1325</v>
      </c>
      <c r="N920">
        <v>1</v>
      </c>
      <c r="O920">
        <v>0</v>
      </c>
      <c r="P920">
        <v>1326.08</v>
      </c>
      <c r="Q920">
        <v>503.05</v>
      </c>
      <c r="R920" t="s">
        <v>1330</v>
      </c>
      <c r="S920" t="b">
        <f t="shared" si="56"/>
        <v>0</v>
      </c>
      <c r="T920" t="b">
        <f t="shared" si="57"/>
        <v>0</v>
      </c>
      <c r="U920" t="b">
        <f t="shared" si="58"/>
        <v>0</v>
      </c>
    </row>
    <row r="921" spans="1:21" x14ac:dyDescent="0.3">
      <c r="A921">
        <v>920</v>
      </c>
      <c r="B921" t="s">
        <v>936</v>
      </c>
      <c r="C921" s="2">
        <v>45710</v>
      </c>
      <c r="D921" s="2" t="str">
        <f t="shared" si="59"/>
        <v>Feb-2025</v>
      </c>
      <c r="E921" s="2">
        <v>45713</v>
      </c>
      <c r="F921" t="s">
        <v>1017</v>
      </c>
      <c r="G921" t="s">
        <v>1197</v>
      </c>
      <c r="H921" t="s">
        <v>1273</v>
      </c>
      <c r="I921" t="s">
        <v>1287</v>
      </c>
      <c r="J921" t="s">
        <v>1296</v>
      </c>
      <c r="K921" t="s">
        <v>1304</v>
      </c>
      <c r="L921" t="s">
        <v>1307</v>
      </c>
      <c r="M921" t="s">
        <v>1311</v>
      </c>
      <c r="N921">
        <v>2</v>
      </c>
      <c r="O921">
        <v>0.1</v>
      </c>
      <c r="P921">
        <v>562.26</v>
      </c>
      <c r="Q921">
        <v>119.39</v>
      </c>
      <c r="R921" t="s">
        <v>1332</v>
      </c>
      <c r="S921" t="b">
        <f t="shared" si="56"/>
        <v>0</v>
      </c>
      <c r="T921" t="b">
        <f t="shared" si="57"/>
        <v>0</v>
      </c>
      <c r="U921" t="b">
        <f t="shared" si="58"/>
        <v>0</v>
      </c>
    </row>
    <row r="922" spans="1:21" x14ac:dyDescent="0.3">
      <c r="A922">
        <v>921</v>
      </c>
      <c r="B922" t="s">
        <v>937</v>
      </c>
      <c r="C922" s="2">
        <v>45823</v>
      </c>
      <c r="D922" s="2" t="str">
        <f t="shared" si="59"/>
        <v>Jun-2025</v>
      </c>
      <c r="E922" s="2">
        <v>45826</v>
      </c>
      <c r="F922" t="s">
        <v>1019</v>
      </c>
      <c r="G922" t="s">
        <v>1214</v>
      </c>
      <c r="H922" t="s">
        <v>1275</v>
      </c>
      <c r="I922" t="s">
        <v>1287</v>
      </c>
      <c r="J922" t="s">
        <v>1296</v>
      </c>
      <c r="K922" t="s">
        <v>1304</v>
      </c>
      <c r="L922" t="s">
        <v>1308</v>
      </c>
      <c r="M922" t="s">
        <v>1319</v>
      </c>
      <c r="N922">
        <v>3</v>
      </c>
      <c r="O922">
        <v>0</v>
      </c>
      <c r="P922">
        <v>13468.53</v>
      </c>
      <c r="Q922">
        <v>3013.57</v>
      </c>
      <c r="R922" t="s">
        <v>1333</v>
      </c>
      <c r="S922" t="b">
        <f t="shared" si="56"/>
        <v>0</v>
      </c>
      <c r="T922" t="b">
        <f t="shared" si="57"/>
        <v>0</v>
      </c>
      <c r="U922" t="b">
        <f t="shared" si="58"/>
        <v>0</v>
      </c>
    </row>
    <row r="923" spans="1:21" x14ac:dyDescent="0.3">
      <c r="A923">
        <v>922</v>
      </c>
      <c r="B923" t="s">
        <v>938</v>
      </c>
      <c r="C923" s="2">
        <v>46017</v>
      </c>
      <c r="D923" s="2" t="str">
        <f t="shared" si="59"/>
        <v>Dec-2025</v>
      </c>
      <c r="E923" s="2">
        <v>46021</v>
      </c>
      <c r="F923" t="s">
        <v>1017</v>
      </c>
      <c r="G923" t="s">
        <v>1178</v>
      </c>
      <c r="H923" t="s">
        <v>1267</v>
      </c>
      <c r="I923" t="s">
        <v>1287</v>
      </c>
      <c r="J923" t="s">
        <v>1290</v>
      </c>
      <c r="K923" t="s">
        <v>1302</v>
      </c>
      <c r="L923" t="s">
        <v>1309</v>
      </c>
      <c r="M923" t="s">
        <v>1325</v>
      </c>
      <c r="N923">
        <v>2</v>
      </c>
      <c r="O923">
        <v>0.05</v>
      </c>
      <c r="P923">
        <v>2439.2399999999998</v>
      </c>
      <c r="Q923">
        <v>375.59</v>
      </c>
      <c r="R923" t="s">
        <v>1334</v>
      </c>
      <c r="S923" t="b">
        <f t="shared" si="56"/>
        <v>0</v>
      </c>
      <c r="T923" t="b">
        <f t="shared" si="57"/>
        <v>0</v>
      </c>
      <c r="U923" t="b">
        <f t="shared" si="58"/>
        <v>0</v>
      </c>
    </row>
    <row r="924" spans="1:21" x14ac:dyDescent="0.3">
      <c r="A924">
        <v>923</v>
      </c>
      <c r="B924" t="s">
        <v>939</v>
      </c>
      <c r="C924" s="2">
        <v>45736</v>
      </c>
      <c r="D924" s="2" t="str">
        <f t="shared" si="59"/>
        <v>Mar-2025</v>
      </c>
      <c r="E924" s="2">
        <v>45739</v>
      </c>
      <c r="F924" t="s">
        <v>1017</v>
      </c>
      <c r="G924" t="s">
        <v>1173</v>
      </c>
      <c r="H924" t="s">
        <v>1274</v>
      </c>
      <c r="I924" t="s">
        <v>1288</v>
      </c>
      <c r="J924" t="s">
        <v>1299</v>
      </c>
      <c r="K924" t="s">
        <v>1304</v>
      </c>
      <c r="L924" t="s">
        <v>1308</v>
      </c>
      <c r="M924" t="s">
        <v>1327</v>
      </c>
      <c r="N924">
        <v>1</v>
      </c>
      <c r="O924">
        <v>0.25</v>
      </c>
      <c r="P924">
        <v>1369.98</v>
      </c>
      <c r="Q924">
        <v>247.81</v>
      </c>
      <c r="R924" t="s">
        <v>1333</v>
      </c>
      <c r="S924" t="b">
        <f t="shared" si="56"/>
        <v>0</v>
      </c>
      <c r="T924" t="b">
        <f t="shared" si="57"/>
        <v>0</v>
      </c>
      <c r="U924" t="b">
        <f t="shared" si="58"/>
        <v>0</v>
      </c>
    </row>
    <row r="925" spans="1:21" x14ac:dyDescent="0.3">
      <c r="A925">
        <v>924</v>
      </c>
      <c r="B925" t="s">
        <v>940</v>
      </c>
      <c r="C925" s="2">
        <v>45992</v>
      </c>
      <c r="D925" s="2" t="str">
        <f t="shared" si="59"/>
        <v>Dec-2025</v>
      </c>
      <c r="E925" s="2">
        <v>45995</v>
      </c>
      <c r="F925" t="s">
        <v>1019</v>
      </c>
      <c r="G925" t="s">
        <v>1044</v>
      </c>
      <c r="H925" t="s">
        <v>1275</v>
      </c>
      <c r="I925" t="s">
        <v>1289</v>
      </c>
      <c r="J925" t="s">
        <v>1297</v>
      </c>
      <c r="K925" t="s">
        <v>1304</v>
      </c>
      <c r="L925" t="s">
        <v>1307</v>
      </c>
      <c r="M925" t="s">
        <v>1311</v>
      </c>
      <c r="N925">
        <v>3</v>
      </c>
      <c r="O925">
        <v>0.05</v>
      </c>
      <c r="P925">
        <v>871.67</v>
      </c>
      <c r="Q925">
        <v>240.24</v>
      </c>
      <c r="R925" t="s">
        <v>1330</v>
      </c>
      <c r="S925" t="b">
        <f t="shared" si="56"/>
        <v>0</v>
      </c>
      <c r="T925" t="b">
        <f t="shared" si="57"/>
        <v>0</v>
      </c>
      <c r="U925" t="b">
        <f t="shared" si="58"/>
        <v>0</v>
      </c>
    </row>
    <row r="926" spans="1:21" x14ac:dyDescent="0.3">
      <c r="A926">
        <v>925</v>
      </c>
      <c r="B926" t="s">
        <v>941</v>
      </c>
      <c r="C926" s="2">
        <v>45706</v>
      </c>
      <c r="D926" s="2" t="str">
        <f t="shared" si="59"/>
        <v>Feb-2025</v>
      </c>
      <c r="E926" s="2">
        <v>45709</v>
      </c>
      <c r="F926" t="s">
        <v>1017</v>
      </c>
      <c r="G926" t="s">
        <v>1116</v>
      </c>
      <c r="H926" t="s">
        <v>1275</v>
      </c>
      <c r="I926" t="s">
        <v>1287</v>
      </c>
      <c r="J926" t="s">
        <v>1298</v>
      </c>
      <c r="K926" t="s">
        <v>1303</v>
      </c>
      <c r="L926" t="s">
        <v>1309</v>
      </c>
      <c r="M926" t="s">
        <v>1325</v>
      </c>
      <c r="N926">
        <v>2</v>
      </c>
      <c r="O926">
        <v>0.2</v>
      </c>
      <c r="P926">
        <v>2071.5300000000002</v>
      </c>
      <c r="Q926">
        <v>342.4</v>
      </c>
      <c r="R926" t="s">
        <v>1331</v>
      </c>
      <c r="S926" t="b">
        <f t="shared" si="56"/>
        <v>0</v>
      </c>
      <c r="T926" t="b">
        <f t="shared" si="57"/>
        <v>0</v>
      </c>
      <c r="U926" t="b">
        <f t="shared" si="58"/>
        <v>0</v>
      </c>
    </row>
    <row r="927" spans="1:21" x14ac:dyDescent="0.3">
      <c r="A927">
        <v>926</v>
      </c>
      <c r="B927" t="s">
        <v>942</v>
      </c>
      <c r="C927" s="2">
        <v>45911</v>
      </c>
      <c r="D927" s="2" t="str">
        <f t="shared" si="59"/>
        <v>Sep-2025</v>
      </c>
      <c r="E927" s="2">
        <v>45913</v>
      </c>
      <c r="F927" t="s">
        <v>1018</v>
      </c>
      <c r="G927" t="s">
        <v>1115</v>
      </c>
      <c r="H927" t="s">
        <v>1276</v>
      </c>
      <c r="I927" t="s">
        <v>1287</v>
      </c>
      <c r="J927" t="s">
        <v>1300</v>
      </c>
      <c r="K927" t="s">
        <v>1305</v>
      </c>
      <c r="L927" t="s">
        <v>1308</v>
      </c>
      <c r="M927" t="s">
        <v>1318</v>
      </c>
      <c r="N927">
        <v>1</v>
      </c>
      <c r="O927">
        <v>0.1</v>
      </c>
      <c r="P927">
        <v>4707.07</v>
      </c>
      <c r="Q927">
        <v>1110.95</v>
      </c>
      <c r="R927" t="s">
        <v>1332</v>
      </c>
      <c r="S927" t="b">
        <f t="shared" si="56"/>
        <v>0</v>
      </c>
      <c r="T927" t="b">
        <f t="shared" si="57"/>
        <v>0</v>
      </c>
      <c r="U927" t="b">
        <f t="shared" si="58"/>
        <v>0</v>
      </c>
    </row>
    <row r="928" spans="1:21" x14ac:dyDescent="0.3">
      <c r="A928">
        <v>927</v>
      </c>
      <c r="B928" t="s">
        <v>943</v>
      </c>
      <c r="C928" s="2">
        <v>45675</v>
      </c>
      <c r="D928" s="2" t="str">
        <f t="shared" si="59"/>
        <v>Jan-2025</v>
      </c>
      <c r="E928" s="2">
        <v>45676</v>
      </c>
      <c r="F928" t="s">
        <v>1017</v>
      </c>
      <c r="G928" t="s">
        <v>1152</v>
      </c>
      <c r="H928" t="s">
        <v>1274</v>
      </c>
      <c r="I928" t="s">
        <v>1288</v>
      </c>
      <c r="J928" t="s">
        <v>1300</v>
      </c>
      <c r="K928" t="s">
        <v>1305</v>
      </c>
      <c r="L928" t="s">
        <v>1309</v>
      </c>
      <c r="M928" t="s">
        <v>1320</v>
      </c>
      <c r="N928">
        <v>1</v>
      </c>
      <c r="O928">
        <v>0.1</v>
      </c>
      <c r="P928">
        <v>1070.5999999999999</v>
      </c>
      <c r="Q928">
        <v>125.89</v>
      </c>
      <c r="R928" t="s">
        <v>1333</v>
      </c>
      <c r="S928" t="b">
        <f t="shared" si="56"/>
        <v>0</v>
      </c>
      <c r="T928" t="b">
        <f t="shared" si="57"/>
        <v>0</v>
      </c>
      <c r="U928" t="b">
        <f t="shared" si="58"/>
        <v>0</v>
      </c>
    </row>
    <row r="929" spans="1:21" x14ac:dyDescent="0.3">
      <c r="A929">
        <v>928</v>
      </c>
      <c r="B929" t="s">
        <v>944</v>
      </c>
      <c r="C929" s="2">
        <v>45850</v>
      </c>
      <c r="D929" s="2" t="str">
        <f t="shared" si="59"/>
        <v>Jul-2025</v>
      </c>
      <c r="E929" s="2">
        <v>45851</v>
      </c>
      <c r="F929" t="s">
        <v>1017</v>
      </c>
      <c r="G929" t="s">
        <v>1050</v>
      </c>
      <c r="H929" t="s">
        <v>1285</v>
      </c>
      <c r="I929" t="s">
        <v>1287</v>
      </c>
      <c r="J929" t="s">
        <v>1297</v>
      </c>
      <c r="K929" t="s">
        <v>1304</v>
      </c>
      <c r="L929" t="s">
        <v>1306</v>
      </c>
      <c r="M929" t="s">
        <v>1328</v>
      </c>
      <c r="N929">
        <v>1</v>
      </c>
      <c r="O929">
        <v>0.2</v>
      </c>
      <c r="P929">
        <v>92.04</v>
      </c>
      <c r="Q929">
        <v>1.25</v>
      </c>
      <c r="R929" t="s">
        <v>1332</v>
      </c>
      <c r="S929" t="b">
        <f t="shared" si="56"/>
        <v>0</v>
      </c>
      <c r="T929" t="b">
        <f t="shared" si="57"/>
        <v>0</v>
      </c>
      <c r="U929" t="b">
        <f t="shared" si="58"/>
        <v>0</v>
      </c>
    </row>
    <row r="930" spans="1:21" x14ac:dyDescent="0.3">
      <c r="A930">
        <v>929</v>
      </c>
      <c r="B930" t="s">
        <v>945</v>
      </c>
      <c r="C930" s="2">
        <v>45825</v>
      </c>
      <c r="D930" s="2" t="str">
        <f t="shared" si="59"/>
        <v>Jun-2025</v>
      </c>
      <c r="E930" s="2">
        <v>45826</v>
      </c>
      <c r="F930" t="s">
        <v>1017</v>
      </c>
      <c r="G930" t="s">
        <v>1196</v>
      </c>
      <c r="H930" t="s">
        <v>1276</v>
      </c>
      <c r="I930" t="s">
        <v>1289</v>
      </c>
      <c r="J930" t="s">
        <v>1297</v>
      </c>
      <c r="K930" t="s">
        <v>1304</v>
      </c>
      <c r="L930" t="s">
        <v>1309</v>
      </c>
      <c r="M930" t="s">
        <v>1329</v>
      </c>
      <c r="N930">
        <v>3</v>
      </c>
      <c r="O930">
        <v>0</v>
      </c>
      <c r="P930">
        <v>5747.92</v>
      </c>
      <c r="Q930">
        <v>1436.17</v>
      </c>
      <c r="R930" t="s">
        <v>1331</v>
      </c>
      <c r="S930" t="b">
        <f t="shared" si="56"/>
        <v>0</v>
      </c>
      <c r="T930" t="b">
        <f t="shared" si="57"/>
        <v>0</v>
      </c>
      <c r="U930" t="b">
        <f t="shared" si="58"/>
        <v>0</v>
      </c>
    </row>
    <row r="931" spans="1:21" x14ac:dyDescent="0.3">
      <c r="A931">
        <v>930</v>
      </c>
      <c r="B931" t="s">
        <v>946</v>
      </c>
      <c r="C931" s="2">
        <v>45694</v>
      </c>
      <c r="D931" s="2" t="str">
        <f t="shared" si="59"/>
        <v>Feb-2025</v>
      </c>
      <c r="E931" s="2">
        <v>45697</v>
      </c>
      <c r="F931" t="s">
        <v>1019</v>
      </c>
      <c r="G931" t="s">
        <v>1251</v>
      </c>
      <c r="H931" t="s">
        <v>1267</v>
      </c>
      <c r="I931" t="s">
        <v>1289</v>
      </c>
      <c r="J931" t="s">
        <v>1301</v>
      </c>
      <c r="K931" t="s">
        <v>1303</v>
      </c>
      <c r="L931" t="s">
        <v>1307</v>
      </c>
      <c r="M931" t="s">
        <v>1316</v>
      </c>
      <c r="N931">
        <v>4</v>
      </c>
      <c r="O931">
        <v>0.1</v>
      </c>
      <c r="P931">
        <v>1727.62</v>
      </c>
      <c r="Q931">
        <v>370.6</v>
      </c>
      <c r="R931" t="s">
        <v>1333</v>
      </c>
      <c r="S931" t="b">
        <f t="shared" si="56"/>
        <v>0</v>
      </c>
      <c r="T931" t="b">
        <f t="shared" si="57"/>
        <v>0</v>
      </c>
      <c r="U931" t="b">
        <f t="shared" si="58"/>
        <v>0</v>
      </c>
    </row>
    <row r="932" spans="1:21" x14ac:dyDescent="0.3">
      <c r="A932">
        <v>931</v>
      </c>
      <c r="B932" t="s">
        <v>947</v>
      </c>
      <c r="C932" s="2">
        <v>45696</v>
      </c>
      <c r="D932" s="2" t="str">
        <f t="shared" si="59"/>
        <v>Feb-2025</v>
      </c>
      <c r="E932" s="2">
        <v>45697</v>
      </c>
      <c r="F932" t="s">
        <v>1017</v>
      </c>
      <c r="G932" t="s">
        <v>1106</v>
      </c>
      <c r="H932" t="s">
        <v>1284</v>
      </c>
      <c r="I932" t="s">
        <v>1287</v>
      </c>
      <c r="J932" t="s">
        <v>1293</v>
      </c>
      <c r="K932" t="s">
        <v>1304</v>
      </c>
      <c r="L932" t="s">
        <v>1309</v>
      </c>
      <c r="M932" t="s">
        <v>1320</v>
      </c>
      <c r="N932">
        <v>1</v>
      </c>
      <c r="O932">
        <v>0.1</v>
      </c>
      <c r="P932">
        <v>1068.26</v>
      </c>
      <c r="Q932">
        <v>88.45</v>
      </c>
      <c r="R932" t="s">
        <v>1333</v>
      </c>
      <c r="S932" t="b">
        <f t="shared" si="56"/>
        <v>0</v>
      </c>
      <c r="T932" t="b">
        <f t="shared" si="57"/>
        <v>0</v>
      </c>
      <c r="U932" t="b">
        <f t="shared" si="58"/>
        <v>0</v>
      </c>
    </row>
    <row r="933" spans="1:21" x14ac:dyDescent="0.3">
      <c r="A933">
        <v>932</v>
      </c>
      <c r="B933" t="s">
        <v>948</v>
      </c>
      <c r="C933" s="2">
        <v>45752</v>
      </c>
      <c r="D933" s="2" t="str">
        <f t="shared" si="59"/>
        <v>Apr-2025</v>
      </c>
      <c r="E933" s="2">
        <v>45753</v>
      </c>
      <c r="F933" t="s">
        <v>1018</v>
      </c>
      <c r="G933" t="s">
        <v>1023</v>
      </c>
      <c r="H933" t="s">
        <v>1268</v>
      </c>
      <c r="I933" t="s">
        <v>1287</v>
      </c>
      <c r="J933" t="s">
        <v>1294</v>
      </c>
      <c r="K933" t="s">
        <v>1305</v>
      </c>
      <c r="L933" t="s">
        <v>1309</v>
      </c>
      <c r="M933" t="s">
        <v>1313</v>
      </c>
      <c r="N933">
        <v>2</v>
      </c>
      <c r="O933">
        <v>0.05</v>
      </c>
      <c r="P933">
        <v>2900.32</v>
      </c>
      <c r="Q933">
        <v>884.19</v>
      </c>
      <c r="R933" t="s">
        <v>1334</v>
      </c>
      <c r="S933" t="b">
        <f t="shared" si="56"/>
        <v>0</v>
      </c>
      <c r="T933" t="b">
        <f t="shared" si="57"/>
        <v>0</v>
      </c>
      <c r="U933" t="b">
        <f t="shared" si="58"/>
        <v>0</v>
      </c>
    </row>
    <row r="934" spans="1:21" x14ac:dyDescent="0.3">
      <c r="A934">
        <v>933</v>
      </c>
      <c r="B934" t="s">
        <v>949</v>
      </c>
      <c r="C934" s="2">
        <v>46022</v>
      </c>
      <c r="D934" s="2" t="str">
        <f t="shared" si="59"/>
        <v>Dec-2025</v>
      </c>
      <c r="E934" s="2">
        <v>46023</v>
      </c>
      <c r="F934" t="s">
        <v>1018</v>
      </c>
      <c r="G934" t="s">
        <v>1248</v>
      </c>
      <c r="H934" t="s">
        <v>1283</v>
      </c>
      <c r="I934" t="s">
        <v>1287</v>
      </c>
      <c r="J934" t="s">
        <v>1291</v>
      </c>
      <c r="K934" t="s">
        <v>1302</v>
      </c>
      <c r="L934" t="s">
        <v>1309</v>
      </c>
      <c r="M934" t="s">
        <v>1317</v>
      </c>
      <c r="N934">
        <v>3</v>
      </c>
      <c r="O934">
        <v>0</v>
      </c>
      <c r="P934">
        <v>2451.1999999999998</v>
      </c>
      <c r="Q934">
        <v>814.3</v>
      </c>
      <c r="R934" t="s">
        <v>1333</v>
      </c>
      <c r="S934" t="b">
        <f t="shared" si="56"/>
        <v>0</v>
      </c>
      <c r="T934" t="b">
        <f t="shared" si="57"/>
        <v>0</v>
      </c>
      <c r="U934" t="b">
        <f t="shared" si="58"/>
        <v>0</v>
      </c>
    </row>
    <row r="935" spans="1:21" x14ac:dyDescent="0.3">
      <c r="A935">
        <v>934</v>
      </c>
      <c r="B935" t="s">
        <v>950</v>
      </c>
      <c r="C935" s="2">
        <v>45879</v>
      </c>
      <c r="D935" s="2" t="str">
        <f t="shared" si="59"/>
        <v>Aug-2025</v>
      </c>
      <c r="E935" s="2">
        <v>45884</v>
      </c>
      <c r="F935" t="s">
        <v>1018</v>
      </c>
      <c r="G935" t="s">
        <v>1157</v>
      </c>
      <c r="H935" t="s">
        <v>1269</v>
      </c>
      <c r="I935" t="s">
        <v>1288</v>
      </c>
      <c r="J935" t="s">
        <v>1296</v>
      </c>
      <c r="K935" t="s">
        <v>1304</v>
      </c>
      <c r="L935" t="s">
        <v>1308</v>
      </c>
      <c r="M935" t="s">
        <v>1312</v>
      </c>
      <c r="N935">
        <v>3</v>
      </c>
      <c r="O935">
        <v>0</v>
      </c>
      <c r="P935">
        <v>4069.73</v>
      </c>
      <c r="Q935">
        <v>1090.1500000000001</v>
      </c>
      <c r="R935" t="s">
        <v>1331</v>
      </c>
      <c r="S935" t="b">
        <f t="shared" si="56"/>
        <v>0</v>
      </c>
      <c r="T935" t="b">
        <f t="shared" si="57"/>
        <v>0</v>
      </c>
      <c r="U935" t="b">
        <f t="shared" si="58"/>
        <v>0</v>
      </c>
    </row>
    <row r="936" spans="1:21" x14ac:dyDescent="0.3">
      <c r="A936">
        <v>935</v>
      </c>
      <c r="B936" t="s">
        <v>951</v>
      </c>
      <c r="C936" s="2">
        <v>45977</v>
      </c>
      <c r="D936" s="2" t="str">
        <f t="shared" si="59"/>
        <v>Nov-2025</v>
      </c>
      <c r="E936" s="2">
        <v>45982</v>
      </c>
      <c r="F936" t="s">
        <v>1018</v>
      </c>
      <c r="G936" t="s">
        <v>1123</v>
      </c>
      <c r="H936" t="s">
        <v>1271</v>
      </c>
      <c r="I936" t="s">
        <v>1287</v>
      </c>
      <c r="J936" t="s">
        <v>1296</v>
      </c>
      <c r="K936" t="s">
        <v>1304</v>
      </c>
      <c r="L936" t="s">
        <v>1306</v>
      </c>
      <c r="M936" t="s">
        <v>1310</v>
      </c>
      <c r="N936">
        <v>2</v>
      </c>
      <c r="O936">
        <v>0.05</v>
      </c>
      <c r="P936">
        <v>1211.33</v>
      </c>
      <c r="Q936">
        <v>175.36</v>
      </c>
      <c r="R936" t="s">
        <v>1334</v>
      </c>
      <c r="S936" t="b">
        <f t="shared" si="56"/>
        <v>0</v>
      </c>
      <c r="T936" t="b">
        <f t="shared" si="57"/>
        <v>0</v>
      </c>
      <c r="U936" t="b">
        <f t="shared" si="58"/>
        <v>0</v>
      </c>
    </row>
    <row r="937" spans="1:21" x14ac:dyDescent="0.3">
      <c r="A937">
        <v>936</v>
      </c>
      <c r="B937" t="s">
        <v>952</v>
      </c>
      <c r="C937" s="2">
        <v>45828</v>
      </c>
      <c r="D937" s="2" t="str">
        <f t="shared" si="59"/>
        <v>Jun-2025</v>
      </c>
      <c r="E937" s="2">
        <v>45830</v>
      </c>
      <c r="F937" t="s">
        <v>1017</v>
      </c>
      <c r="G937" t="s">
        <v>1142</v>
      </c>
      <c r="H937" t="s">
        <v>1267</v>
      </c>
      <c r="I937" t="s">
        <v>1287</v>
      </c>
      <c r="J937" t="s">
        <v>1295</v>
      </c>
      <c r="K937" t="s">
        <v>1305</v>
      </c>
      <c r="L937" t="s">
        <v>1307</v>
      </c>
      <c r="M937" t="s">
        <v>1316</v>
      </c>
      <c r="N937">
        <v>1</v>
      </c>
      <c r="O937">
        <v>0.05</v>
      </c>
      <c r="P937">
        <v>494.49</v>
      </c>
      <c r="Q937">
        <v>149.04</v>
      </c>
      <c r="R937" t="s">
        <v>1331</v>
      </c>
      <c r="S937" t="b">
        <f t="shared" si="56"/>
        <v>0</v>
      </c>
      <c r="T937" t="b">
        <f t="shared" si="57"/>
        <v>0</v>
      </c>
      <c r="U937" t="b">
        <f t="shared" si="58"/>
        <v>0</v>
      </c>
    </row>
    <row r="938" spans="1:21" x14ac:dyDescent="0.3">
      <c r="A938">
        <v>937</v>
      </c>
      <c r="B938" t="s">
        <v>953</v>
      </c>
      <c r="C938" s="2">
        <v>45688</v>
      </c>
      <c r="D938" s="2" t="str">
        <f t="shared" si="59"/>
        <v>Jan-2025</v>
      </c>
      <c r="E938" s="2">
        <v>45690</v>
      </c>
      <c r="F938" t="s">
        <v>1017</v>
      </c>
      <c r="G938" t="s">
        <v>1164</v>
      </c>
      <c r="H938" t="s">
        <v>1271</v>
      </c>
      <c r="I938" t="s">
        <v>1289</v>
      </c>
      <c r="J938" t="s">
        <v>1295</v>
      </c>
      <c r="K938" t="s">
        <v>1305</v>
      </c>
      <c r="L938" t="s">
        <v>1308</v>
      </c>
      <c r="M938" t="s">
        <v>1318</v>
      </c>
      <c r="N938">
        <v>3</v>
      </c>
      <c r="O938">
        <v>0</v>
      </c>
      <c r="P938">
        <v>16847.63</v>
      </c>
      <c r="Q938">
        <v>5405.63</v>
      </c>
      <c r="R938" t="s">
        <v>1331</v>
      </c>
      <c r="S938" t="b">
        <f t="shared" si="56"/>
        <v>0</v>
      </c>
      <c r="T938" t="b">
        <f t="shared" si="57"/>
        <v>0</v>
      </c>
      <c r="U938" t="b">
        <f t="shared" si="58"/>
        <v>0</v>
      </c>
    </row>
    <row r="939" spans="1:21" x14ac:dyDescent="0.3">
      <c r="A939">
        <v>938</v>
      </c>
      <c r="B939" t="s">
        <v>954</v>
      </c>
      <c r="C939" s="2">
        <v>45917</v>
      </c>
      <c r="D939" s="2" t="str">
        <f t="shared" si="59"/>
        <v>Sep-2025</v>
      </c>
      <c r="E939" s="2">
        <v>45921</v>
      </c>
      <c r="F939" t="s">
        <v>1018</v>
      </c>
      <c r="G939" t="s">
        <v>1162</v>
      </c>
      <c r="H939" t="s">
        <v>1283</v>
      </c>
      <c r="I939" t="s">
        <v>1287</v>
      </c>
      <c r="J939" t="s">
        <v>1293</v>
      </c>
      <c r="K939" t="s">
        <v>1304</v>
      </c>
      <c r="L939" t="s">
        <v>1309</v>
      </c>
      <c r="M939" t="s">
        <v>1320</v>
      </c>
      <c r="N939">
        <v>2</v>
      </c>
      <c r="O939">
        <v>0</v>
      </c>
      <c r="P939">
        <v>2399.5300000000002</v>
      </c>
      <c r="Q939">
        <v>627.84</v>
      </c>
      <c r="R939" t="s">
        <v>1331</v>
      </c>
      <c r="S939" t="b">
        <f t="shared" si="56"/>
        <v>0</v>
      </c>
      <c r="T939" t="b">
        <f t="shared" si="57"/>
        <v>0</v>
      </c>
      <c r="U939" t="b">
        <f t="shared" si="58"/>
        <v>0</v>
      </c>
    </row>
    <row r="940" spans="1:21" x14ac:dyDescent="0.3">
      <c r="A940">
        <v>939</v>
      </c>
      <c r="B940" t="s">
        <v>955</v>
      </c>
      <c r="C940" s="2">
        <v>45853</v>
      </c>
      <c r="D940" s="2" t="str">
        <f t="shared" si="59"/>
        <v>Jul-2025</v>
      </c>
      <c r="E940" s="2">
        <v>45855</v>
      </c>
      <c r="F940" t="s">
        <v>1018</v>
      </c>
      <c r="G940" t="s">
        <v>1064</v>
      </c>
      <c r="H940" t="s">
        <v>1276</v>
      </c>
      <c r="I940" t="s">
        <v>1288</v>
      </c>
      <c r="J940" t="s">
        <v>1293</v>
      </c>
      <c r="K940" t="s">
        <v>1304</v>
      </c>
      <c r="L940" t="s">
        <v>1306</v>
      </c>
      <c r="M940" t="s">
        <v>1324</v>
      </c>
      <c r="N940">
        <v>2</v>
      </c>
      <c r="O940">
        <v>0</v>
      </c>
      <c r="P940">
        <v>188.16</v>
      </c>
      <c r="Q940">
        <v>70.069999999999993</v>
      </c>
      <c r="R940" t="s">
        <v>1332</v>
      </c>
      <c r="S940" t="b">
        <f t="shared" si="56"/>
        <v>0</v>
      </c>
      <c r="T940" t="b">
        <f t="shared" si="57"/>
        <v>0</v>
      </c>
      <c r="U940" t="b">
        <f t="shared" si="58"/>
        <v>0</v>
      </c>
    </row>
    <row r="941" spans="1:21" x14ac:dyDescent="0.3">
      <c r="A941">
        <v>940</v>
      </c>
      <c r="B941" t="s">
        <v>956</v>
      </c>
      <c r="C941" s="2">
        <v>45806</v>
      </c>
      <c r="D941" s="2" t="str">
        <f t="shared" si="59"/>
        <v>May-2025</v>
      </c>
      <c r="E941" s="2">
        <v>45807</v>
      </c>
      <c r="F941" t="s">
        <v>1017</v>
      </c>
      <c r="G941" t="s">
        <v>1182</v>
      </c>
      <c r="H941" t="s">
        <v>1283</v>
      </c>
      <c r="I941" t="s">
        <v>1287</v>
      </c>
      <c r="J941" t="s">
        <v>1298</v>
      </c>
      <c r="K941" t="s">
        <v>1303</v>
      </c>
      <c r="L941" t="s">
        <v>1308</v>
      </c>
      <c r="M941" t="s">
        <v>1326</v>
      </c>
      <c r="N941">
        <v>2</v>
      </c>
      <c r="O941">
        <v>0.05</v>
      </c>
      <c r="P941">
        <v>13081.86</v>
      </c>
      <c r="Q941">
        <v>4059.2</v>
      </c>
      <c r="R941" t="s">
        <v>1331</v>
      </c>
      <c r="S941" t="b">
        <f t="shared" si="56"/>
        <v>0</v>
      </c>
      <c r="T941" t="b">
        <f t="shared" si="57"/>
        <v>0</v>
      </c>
      <c r="U941" t="b">
        <f t="shared" si="58"/>
        <v>0</v>
      </c>
    </row>
    <row r="942" spans="1:21" x14ac:dyDescent="0.3">
      <c r="A942">
        <v>941</v>
      </c>
      <c r="B942" t="s">
        <v>957</v>
      </c>
      <c r="C942" s="2">
        <v>45868</v>
      </c>
      <c r="D942" s="2" t="str">
        <f t="shared" si="59"/>
        <v>Jul-2025</v>
      </c>
      <c r="E942" s="2">
        <v>45872</v>
      </c>
      <c r="F942" t="s">
        <v>1018</v>
      </c>
      <c r="G942" t="s">
        <v>1063</v>
      </c>
      <c r="H942" t="s">
        <v>1276</v>
      </c>
      <c r="I942" t="s">
        <v>1287</v>
      </c>
      <c r="J942" t="s">
        <v>1295</v>
      </c>
      <c r="K942" t="s">
        <v>1305</v>
      </c>
      <c r="L942" t="s">
        <v>1308</v>
      </c>
      <c r="M942" t="s">
        <v>1327</v>
      </c>
      <c r="N942">
        <v>2</v>
      </c>
      <c r="O942">
        <v>0.15</v>
      </c>
      <c r="P942">
        <v>3144.39</v>
      </c>
      <c r="Q942">
        <v>804.55</v>
      </c>
      <c r="R942" t="s">
        <v>1333</v>
      </c>
      <c r="S942" t="b">
        <f t="shared" si="56"/>
        <v>0</v>
      </c>
      <c r="T942" t="b">
        <f t="shared" si="57"/>
        <v>0</v>
      </c>
      <c r="U942" t="b">
        <f t="shared" si="58"/>
        <v>0</v>
      </c>
    </row>
    <row r="943" spans="1:21" x14ac:dyDescent="0.3">
      <c r="A943">
        <v>942</v>
      </c>
      <c r="B943" t="s">
        <v>958</v>
      </c>
      <c r="C943" s="2">
        <v>45899</v>
      </c>
      <c r="D943" s="2" t="str">
        <f t="shared" si="59"/>
        <v>Aug-2025</v>
      </c>
      <c r="E943" s="2">
        <v>45903</v>
      </c>
      <c r="F943" t="s">
        <v>1017</v>
      </c>
      <c r="G943" t="s">
        <v>1070</v>
      </c>
      <c r="H943" t="s">
        <v>1280</v>
      </c>
      <c r="I943" t="s">
        <v>1287</v>
      </c>
      <c r="J943" t="s">
        <v>1292</v>
      </c>
      <c r="K943" t="s">
        <v>1303</v>
      </c>
      <c r="L943" t="s">
        <v>1306</v>
      </c>
      <c r="M943" t="s">
        <v>1328</v>
      </c>
      <c r="N943">
        <v>2</v>
      </c>
      <c r="O943">
        <v>0.15</v>
      </c>
      <c r="P943">
        <v>200.64</v>
      </c>
      <c r="Q943">
        <v>10.41</v>
      </c>
      <c r="R943" t="s">
        <v>1333</v>
      </c>
      <c r="S943" t="b">
        <f t="shared" si="56"/>
        <v>0</v>
      </c>
      <c r="T943" t="b">
        <f t="shared" si="57"/>
        <v>0</v>
      </c>
      <c r="U943" t="b">
        <f t="shared" si="58"/>
        <v>0</v>
      </c>
    </row>
    <row r="944" spans="1:21" x14ac:dyDescent="0.3">
      <c r="A944">
        <v>943</v>
      </c>
      <c r="B944" t="s">
        <v>959</v>
      </c>
      <c r="C944" s="2">
        <v>45800</v>
      </c>
      <c r="D944" s="2" t="str">
        <f t="shared" si="59"/>
        <v>May-2025</v>
      </c>
      <c r="E944" s="2">
        <v>45805</v>
      </c>
      <c r="F944" t="s">
        <v>1019</v>
      </c>
      <c r="G944" t="s">
        <v>1149</v>
      </c>
      <c r="H944" t="s">
        <v>1280</v>
      </c>
      <c r="I944" t="s">
        <v>1289</v>
      </c>
      <c r="J944" t="s">
        <v>1290</v>
      </c>
      <c r="K944" t="s">
        <v>1302</v>
      </c>
      <c r="L944" t="s">
        <v>1307</v>
      </c>
      <c r="M944" t="s">
        <v>1314</v>
      </c>
      <c r="N944">
        <v>2</v>
      </c>
      <c r="O944">
        <v>0</v>
      </c>
      <c r="P944">
        <v>1777.33</v>
      </c>
      <c r="Q944">
        <v>361.77</v>
      </c>
      <c r="R944" t="s">
        <v>1332</v>
      </c>
      <c r="S944" t="b">
        <f t="shared" si="56"/>
        <v>0</v>
      </c>
      <c r="T944" t="b">
        <f t="shared" si="57"/>
        <v>0</v>
      </c>
      <c r="U944" t="b">
        <f t="shared" si="58"/>
        <v>0</v>
      </c>
    </row>
    <row r="945" spans="1:21" x14ac:dyDescent="0.3">
      <c r="A945">
        <v>944</v>
      </c>
      <c r="B945" t="s">
        <v>960</v>
      </c>
      <c r="C945" s="2">
        <v>45847</v>
      </c>
      <c r="D945" s="2" t="str">
        <f t="shared" si="59"/>
        <v>Jul-2025</v>
      </c>
      <c r="E945" s="2">
        <v>45848</v>
      </c>
      <c r="F945" t="s">
        <v>1019</v>
      </c>
      <c r="G945" t="s">
        <v>1105</v>
      </c>
      <c r="H945" t="s">
        <v>1269</v>
      </c>
      <c r="I945" t="s">
        <v>1288</v>
      </c>
      <c r="J945" t="s">
        <v>1298</v>
      </c>
      <c r="K945" t="s">
        <v>1303</v>
      </c>
      <c r="L945" t="s">
        <v>1307</v>
      </c>
      <c r="M945" t="s">
        <v>1322</v>
      </c>
      <c r="N945">
        <v>4</v>
      </c>
      <c r="O945">
        <v>0.2</v>
      </c>
      <c r="P945">
        <v>2205.98</v>
      </c>
      <c r="Q945">
        <v>350.86</v>
      </c>
      <c r="R945" t="s">
        <v>1331</v>
      </c>
      <c r="S945" t="b">
        <f t="shared" si="56"/>
        <v>0</v>
      </c>
      <c r="T945" t="b">
        <f t="shared" si="57"/>
        <v>0</v>
      </c>
      <c r="U945" t="b">
        <f t="shared" si="58"/>
        <v>0</v>
      </c>
    </row>
    <row r="946" spans="1:21" x14ac:dyDescent="0.3">
      <c r="A946">
        <v>945</v>
      </c>
      <c r="B946" t="s">
        <v>961</v>
      </c>
      <c r="C946" s="2">
        <v>45703</v>
      </c>
      <c r="D946" s="2" t="str">
        <f t="shared" si="59"/>
        <v>Feb-2025</v>
      </c>
      <c r="E946" s="2">
        <v>45708</v>
      </c>
      <c r="F946" t="s">
        <v>1017</v>
      </c>
      <c r="G946" t="s">
        <v>1148</v>
      </c>
      <c r="H946" t="s">
        <v>1268</v>
      </c>
      <c r="I946" t="s">
        <v>1288</v>
      </c>
      <c r="J946" t="s">
        <v>1297</v>
      </c>
      <c r="K946" t="s">
        <v>1304</v>
      </c>
      <c r="L946" t="s">
        <v>1307</v>
      </c>
      <c r="M946" t="s">
        <v>1316</v>
      </c>
      <c r="N946">
        <v>3</v>
      </c>
      <c r="O946">
        <v>0.1</v>
      </c>
      <c r="P946">
        <v>1341.69</v>
      </c>
      <c r="Q946">
        <v>330.6</v>
      </c>
      <c r="R946" t="s">
        <v>1331</v>
      </c>
      <c r="S946" t="b">
        <f t="shared" si="56"/>
        <v>0</v>
      </c>
      <c r="T946" t="b">
        <f t="shared" si="57"/>
        <v>0</v>
      </c>
      <c r="U946" t="b">
        <f t="shared" si="58"/>
        <v>0</v>
      </c>
    </row>
    <row r="947" spans="1:21" x14ac:dyDescent="0.3">
      <c r="A947">
        <v>946</v>
      </c>
      <c r="B947" t="s">
        <v>962</v>
      </c>
      <c r="C947" s="2">
        <v>45951</v>
      </c>
      <c r="D947" s="2" t="str">
        <f t="shared" si="59"/>
        <v>Oct-2025</v>
      </c>
      <c r="E947" s="2">
        <v>45955</v>
      </c>
      <c r="F947" t="s">
        <v>1019</v>
      </c>
      <c r="G947" t="s">
        <v>1105</v>
      </c>
      <c r="H947" t="s">
        <v>1282</v>
      </c>
      <c r="I947" t="s">
        <v>1287</v>
      </c>
      <c r="J947" t="s">
        <v>1301</v>
      </c>
      <c r="K947" t="s">
        <v>1303</v>
      </c>
      <c r="L947" t="s">
        <v>1309</v>
      </c>
      <c r="M947" t="s">
        <v>1329</v>
      </c>
      <c r="N947">
        <v>1</v>
      </c>
      <c r="O947">
        <v>0.05</v>
      </c>
      <c r="P947">
        <v>1800.75</v>
      </c>
      <c r="Q947">
        <v>471.2</v>
      </c>
      <c r="R947" t="s">
        <v>1332</v>
      </c>
      <c r="S947" t="b">
        <f t="shared" si="56"/>
        <v>0</v>
      </c>
      <c r="T947" t="b">
        <f t="shared" si="57"/>
        <v>0</v>
      </c>
      <c r="U947" t="b">
        <f t="shared" si="58"/>
        <v>0</v>
      </c>
    </row>
    <row r="948" spans="1:21" x14ac:dyDescent="0.3">
      <c r="A948">
        <v>947</v>
      </c>
      <c r="B948" t="s">
        <v>963</v>
      </c>
      <c r="C948" s="2">
        <v>45970</v>
      </c>
      <c r="D948" s="2" t="str">
        <f t="shared" si="59"/>
        <v>Nov-2025</v>
      </c>
      <c r="E948" s="2">
        <v>45972</v>
      </c>
      <c r="F948" t="s">
        <v>1019</v>
      </c>
      <c r="G948" t="s">
        <v>1207</v>
      </c>
      <c r="H948" t="s">
        <v>1283</v>
      </c>
      <c r="I948" t="s">
        <v>1287</v>
      </c>
      <c r="J948" t="s">
        <v>1297</v>
      </c>
      <c r="K948" t="s">
        <v>1304</v>
      </c>
      <c r="L948" t="s">
        <v>1309</v>
      </c>
      <c r="M948" t="s">
        <v>1325</v>
      </c>
      <c r="N948">
        <v>3</v>
      </c>
      <c r="O948">
        <v>0.05</v>
      </c>
      <c r="P948">
        <v>3658.19</v>
      </c>
      <c r="Q948">
        <v>851.62</v>
      </c>
      <c r="R948" t="s">
        <v>1331</v>
      </c>
      <c r="S948" t="b">
        <f t="shared" si="56"/>
        <v>0</v>
      </c>
      <c r="T948" t="b">
        <f t="shared" si="57"/>
        <v>0</v>
      </c>
      <c r="U948" t="b">
        <f t="shared" si="58"/>
        <v>0</v>
      </c>
    </row>
    <row r="949" spans="1:21" x14ac:dyDescent="0.3">
      <c r="A949">
        <v>948</v>
      </c>
      <c r="B949" t="s">
        <v>964</v>
      </c>
      <c r="C949" s="2">
        <v>45816</v>
      </c>
      <c r="D949" s="2" t="str">
        <f t="shared" si="59"/>
        <v>Jun-2025</v>
      </c>
      <c r="E949" s="2">
        <v>45821</v>
      </c>
      <c r="F949" t="s">
        <v>1017</v>
      </c>
      <c r="G949" t="s">
        <v>1124</v>
      </c>
      <c r="H949" t="s">
        <v>1286</v>
      </c>
      <c r="I949" t="s">
        <v>1288</v>
      </c>
      <c r="J949" t="s">
        <v>1298</v>
      </c>
      <c r="K949" t="s">
        <v>1303</v>
      </c>
      <c r="L949" t="s">
        <v>1309</v>
      </c>
      <c r="M949" t="s">
        <v>1329</v>
      </c>
      <c r="N949">
        <v>3</v>
      </c>
      <c r="O949">
        <v>0.05</v>
      </c>
      <c r="P949">
        <v>5624.2</v>
      </c>
      <c r="Q949">
        <v>1050.8800000000001</v>
      </c>
      <c r="R949" t="s">
        <v>1334</v>
      </c>
      <c r="S949" t="b">
        <f t="shared" si="56"/>
        <v>0</v>
      </c>
      <c r="T949" t="b">
        <f t="shared" si="57"/>
        <v>0</v>
      </c>
      <c r="U949" t="b">
        <f t="shared" si="58"/>
        <v>0</v>
      </c>
    </row>
    <row r="950" spans="1:21" x14ac:dyDescent="0.3">
      <c r="A950">
        <v>949</v>
      </c>
      <c r="B950" t="s">
        <v>965</v>
      </c>
      <c r="C950" s="2">
        <v>45842</v>
      </c>
      <c r="D950" s="2" t="str">
        <f t="shared" si="59"/>
        <v>Jul-2025</v>
      </c>
      <c r="E950" s="2">
        <v>45843</v>
      </c>
      <c r="F950" t="s">
        <v>1017</v>
      </c>
      <c r="G950" t="s">
        <v>1031</v>
      </c>
      <c r="H950" t="s">
        <v>1275</v>
      </c>
      <c r="I950" t="s">
        <v>1288</v>
      </c>
      <c r="J950" t="s">
        <v>1299</v>
      </c>
      <c r="K950" t="s">
        <v>1304</v>
      </c>
      <c r="L950" t="s">
        <v>1308</v>
      </c>
      <c r="M950" t="s">
        <v>1327</v>
      </c>
      <c r="N950">
        <v>4</v>
      </c>
      <c r="O950">
        <v>0.15</v>
      </c>
      <c r="P950">
        <v>6053.47</v>
      </c>
      <c r="Q950">
        <v>993.17</v>
      </c>
      <c r="R950" t="s">
        <v>1331</v>
      </c>
      <c r="S950" t="b">
        <f t="shared" si="56"/>
        <v>0</v>
      </c>
      <c r="T950" t="b">
        <f t="shared" si="57"/>
        <v>0</v>
      </c>
      <c r="U950" t="b">
        <f t="shared" si="58"/>
        <v>0</v>
      </c>
    </row>
    <row r="951" spans="1:21" x14ac:dyDescent="0.3">
      <c r="A951">
        <v>950</v>
      </c>
      <c r="B951" t="s">
        <v>966</v>
      </c>
      <c r="C951" s="2">
        <v>45678</v>
      </c>
      <c r="D951" s="2" t="str">
        <f t="shared" si="59"/>
        <v>Jan-2025</v>
      </c>
      <c r="E951" s="2">
        <v>45683</v>
      </c>
      <c r="F951" t="s">
        <v>1018</v>
      </c>
      <c r="G951" t="s">
        <v>1027</v>
      </c>
      <c r="H951" t="s">
        <v>1274</v>
      </c>
      <c r="I951" t="s">
        <v>1287</v>
      </c>
      <c r="J951" t="s">
        <v>1295</v>
      </c>
      <c r="K951" t="s">
        <v>1305</v>
      </c>
      <c r="L951" t="s">
        <v>1309</v>
      </c>
      <c r="M951" t="s">
        <v>1325</v>
      </c>
      <c r="N951">
        <v>1</v>
      </c>
      <c r="O951">
        <v>0.15</v>
      </c>
      <c r="P951">
        <v>1138.7</v>
      </c>
      <c r="Q951">
        <v>302.56</v>
      </c>
      <c r="R951" t="s">
        <v>1332</v>
      </c>
      <c r="S951" t="b">
        <f t="shared" si="56"/>
        <v>0</v>
      </c>
      <c r="T951" t="b">
        <f t="shared" si="57"/>
        <v>0</v>
      </c>
      <c r="U951" t="b">
        <f t="shared" si="58"/>
        <v>0</v>
      </c>
    </row>
    <row r="952" spans="1:21" x14ac:dyDescent="0.3">
      <c r="A952">
        <v>951</v>
      </c>
      <c r="B952" t="s">
        <v>967</v>
      </c>
      <c r="C952" s="2">
        <v>46016</v>
      </c>
      <c r="D952" s="2" t="str">
        <f t="shared" si="59"/>
        <v>Dec-2025</v>
      </c>
      <c r="E952" s="2">
        <v>46021</v>
      </c>
      <c r="F952" t="s">
        <v>1019</v>
      </c>
      <c r="G952" t="s">
        <v>1043</v>
      </c>
      <c r="H952" t="s">
        <v>1285</v>
      </c>
      <c r="I952" t="s">
        <v>1287</v>
      </c>
      <c r="J952" t="s">
        <v>1291</v>
      </c>
      <c r="K952" t="s">
        <v>1302</v>
      </c>
      <c r="L952" t="s">
        <v>1309</v>
      </c>
      <c r="M952" t="s">
        <v>1320</v>
      </c>
      <c r="N952">
        <v>4</v>
      </c>
      <c r="O952">
        <v>0.2</v>
      </c>
      <c r="P952">
        <v>3823.09</v>
      </c>
      <c r="Q952">
        <v>-39.78</v>
      </c>
      <c r="R952" t="s">
        <v>1330</v>
      </c>
      <c r="S952" t="b">
        <f t="shared" si="56"/>
        <v>0</v>
      </c>
      <c r="T952" t="b">
        <f t="shared" si="57"/>
        <v>0</v>
      </c>
      <c r="U952" t="b">
        <f t="shared" si="58"/>
        <v>0</v>
      </c>
    </row>
    <row r="953" spans="1:21" x14ac:dyDescent="0.3">
      <c r="A953">
        <v>952</v>
      </c>
      <c r="B953" t="s">
        <v>968</v>
      </c>
      <c r="C953" s="2">
        <v>45754</v>
      </c>
      <c r="D953" s="2" t="str">
        <f t="shared" si="59"/>
        <v>Apr-2025</v>
      </c>
      <c r="E953" s="2">
        <v>45756</v>
      </c>
      <c r="F953" t="s">
        <v>1017</v>
      </c>
      <c r="G953" t="s">
        <v>1149</v>
      </c>
      <c r="H953" t="s">
        <v>1268</v>
      </c>
      <c r="I953" t="s">
        <v>1287</v>
      </c>
      <c r="J953" t="s">
        <v>1291</v>
      </c>
      <c r="K953" t="s">
        <v>1302</v>
      </c>
      <c r="L953" t="s">
        <v>1308</v>
      </c>
      <c r="M953" t="s">
        <v>1326</v>
      </c>
      <c r="N953">
        <v>2</v>
      </c>
      <c r="O953">
        <v>0</v>
      </c>
      <c r="P953">
        <v>13573.6</v>
      </c>
      <c r="Q953">
        <v>4850.34</v>
      </c>
      <c r="R953" t="s">
        <v>1331</v>
      </c>
      <c r="S953" t="b">
        <f t="shared" si="56"/>
        <v>0</v>
      </c>
      <c r="T953" t="b">
        <f t="shared" si="57"/>
        <v>0</v>
      </c>
      <c r="U953" t="b">
        <f t="shared" si="58"/>
        <v>0</v>
      </c>
    </row>
    <row r="954" spans="1:21" x14ac:dyDescent="0.3">
      <c r="A954">
        <v>953</v>
      </c>
      <c r="B954" t="s">
        <v>969</v>
      </c>
      <c r="C954" s="2">
        <v>45861</v>
      </c>
      <c r="D954" s="2" t="str">
        <f t="shared" si="59"/>
        <v>Jul-2025</v>
      </c>
      <c r="E954" s="2">
        <v>45863</v>
      </c>
      <c r="F954" t="s">
        <v>1017</v>
      </c>
      <c r="G954" t="s">
        <v>1246</v>
      </c>
      <c r="H954" t="s">
        <v>1269</v>
      </c>
      <c r="I954" t="s">
        <v>1289</v>
      </c>
      <c r="J954" t="s">
        <v>1293</v>
      </c>
      <c r="K954" t="s">
        <v>1304</v>
      </c>
      <c r="L954" t="s">
        <v>1308</v>
      </c>
      <c r="M954" t="s">
        <v>1326</v>
      </c>
      <c r="N954">
        <v>2</v>
      </c>
      <c r="O954">
        <v>0.15</v>
      </c>
      <c r="P954">
        <v>12199.64</v>
      </c>
      <c r="Q954">
        <v>1390.96</v>
      </c>
      <c r="R954" t="s">
        <v>1331</v>
      </c>
      <c r="S954" t="b">
        <f t="shared" si="56"/>
        <v>0</v>
      </c>
      <c r="T954" t="b">
        <f t="shared" si="57"/>
        <v>0</v>
      </c>
      <c r="U954" t="b">
        <f t="shared" si="58"/>
        <v>0</v>
      </c>
    </row>
    <row r="955" spans="1:21" x14ac:dyDescent="0.3">
      <c r="A955">
        <v>954</v>
      </c>
      <c r="B955" t="s">
        <v>970</v>
      </c>
      <c r="C955" s="2">
        <v>45838</v>
      </c>
      <c r="D955" s="2" t="str">
        <f t="shared" si="59"/>
        <v>Jun-2025</v>
      </c>
      <c r="E955" s="2">
        <v>45843</v>
      </c>
      <c r="F955" t="s">
        <v>1018</v>
      </c>
      <c r="G955" t="s">
        <v>1118</v>
      </c>
      <c r="H955" t="s">
        <v>1276</v>
      </c>
      <c r="I955" t="s">
        <v>1288</v>
      </c>
      <c r="J955" t="s">
        <v>1295</v>
      </c>
      <c r="K955" t="s">
        <v>1305</v>
      </c>
      <c r="L955" t="s">
        <v>1307</v>
      </c>
      <c r="M955" t="s">
        <v>1322</v>
      </c>
      <c r="N955">
        <v>1</v>
      </c>
      <c r="O955">
        <v>0</v>
      </c>
      <c r="P955">
        <v>697.27</v>
      </c>
      <c r="Q955">
        <v>201.07</v>
      </c>
      <c r="R955" t="s">
        <v>1332</v>
      </c>
      <c r="S955" t="b">
        <f t="shared" si="56"/>
        <v>0</v>
      </c>
      <c r="T955" t="b">
        <f t="shared" si="57"/>
        <v>0</v>
      </c>
      <c r="U955" t="b">
        <f t="shared" si="58"/>
        <v>0</v>
      </c>
    </row>
    <row r="956" spans="1:21" x14ac:dyDescent="0.3">
      <c r="A956">
        <v>955</v>
      </c>
      <c r="B956" t="s">
        <v>971</v>
      </c>
      <c r="C956" s="2">
        <v>45996</v>
      </c>
      <c r="D956" s="2" t="str">
        <f t="shared" si="59"/>
        <v>Dec-2025</v>
      </c>
      <c r="E956" s="2">
        <v>46000</v>
      </c>
      <c r="F956" t="s">
        <v>1017</v>
      </c>
      <c r="G956" t="s">
        <v>1060</v>
      </c>
      <c r="H956" t="s">
        <v>1274</v>
      </c>
      <c r="I956" t="s">
        <v>1287</v>
      </c>
      <c r="J956" t="s">
        <v>1291</v>
      </c>
      <c r="K956" t="s">
        <v>1302</v>
      </c>
      <c r="L956" t="s">
        <v>1309</v>
      </c>
      <c r="M956" t="s">
        <v>1329</v>
      </c>
      <c r="N956">
        <v>2</v>
      </c>
      <c r="O956">
        <v>0.05</v>
      </c>
      <c r="P956">
        <v>3721.41</v>
      </c>
      <c r="Q956">
        <v>1241.58</v>
      </c>
      <c r="R956" t="s">
        <v>1331</v>
      </c>
      <c r="S956" t="b">
        <f t="shared" si="56"/>
        <v>0</v>
      </c>
      <c r="T956" t="b">
        <f t="shared" si="57"/>
        <v>0</v>
      </c>
      <c r="U956" t="b">
        <f t="shared" si="58"/>
        <v>0</v>
      </c>
    </row>
    <row r="957" spans="1:21" x14ac:dyDescent="0.3">
      <c r="A957">
        <v>956</v>
      </c>
      <c r="B957" t="s">
        <v>972</v>
      </c>
      <c r="C957" s="2">
        <v>45858</v>
      </c>
      <c r="D957" s="2" t="str">
        <f t="shared" si="59"/>
        <v>Jul-2025</v>
      </c>
      <c r="E957" s="2">
        <v>45859</v>
      </c>
      <c r="F957" t="s">
        <v>1017</v>
      </c>
      <c r="G957" t="s">
        <v>1186</v>
      </c>
      <c r="H957" t="s">
        <v>1279</v>
      </c>
      <c r="I957" t="s">
        <v>1287</v>
      </c>
      <c r="J957" t="s">
        <v>1297</v>
      </c>
      <c r="K957" t="s">
        <v>1304</v>
      </c>
      <c r="L957" t="s">
        <v>1306</v>
      </c>
      <c r="M957" t="s">
        <v>1310</v>
      </c>
      <c r="N957">
        <v>3</v>
      </c>
      <c r="O957">
        <v>0.1</v>
      </c>
      <c r="P957">
        <v>1819.52</v>
      </c>
      <c r="Q957">
        <v>480.79</v>
      </c>
      <c r="R957" t="s">
        <v>1331</v>
      </c>
      <c r="S957" t="b">
        <f t="shared" si="56"/>
        <v>0</v>
      </c>
      <c r="T957" t="b">
        <f t="shared" si="57"/>
        <v>0</v>
      </c>
      <c r="U957" t="b">
        <f t="shared" si="58"/>
        <v>0</v>
      </c>
    </row>
    <row r="958" spans="1:21" x14ac:dyDescent="0.3">
      <c r="A958">
        <v>957</v>
      </c>
      <c r="B958" t="s">
        <v>973</v>
      </c>
      <c r="C958" s="2">
        <v>45802</v>
      </c>
      <c r="D958" s="2" t="str">
        <f t="shared" si="59"/>
        <v>May-2025</v>
      </c>
      <c r="E958" s="2">
        <v>45804</v>
      </c>
      <c r="F958" t="s">
        <v>1017</v>
      </c>
      <c r="G958" t="s">
        <v>1047</v>
      </c>
      <c r="H958" t="s">
        <v>1268</v>
      </c>
      <c r="I958" t="s">
        <v>1287</v>
      </c>
      <c r="J958" t="s">
        <v>1296</v>
      </c>
      <c r="K958" t="s">
        <v>1304</v>
      </c>
      <c r="L958" t="s">
        <v>1307</v>
      </c>
      <c r="M958" t="s">
        <v>1322</v>
      </c>
      <c r="N958">
        <v>2</v>
      </c>
      <c r="O958">
        <v>0.1</v>
      </c>
      <c r="P958">
        <v>1201.8599999999999</v>
      </c>
      <c r="Q958">
        <v>332.24</v>
      </c>
      <c r="R958" t="s">
        <v>1331</v>
      </c>
      <c r="S958" t="b">
        <f t="shared" si="56"/>
        <v>0</v>
      </c>
      <c r="T958" t="b">
        <f t="shared" si="57"/>
        <v>0</v>
      </c>
      <c r="U958" t="b">
        <f t="shared" si="58"/>
        <v>0</v>
      </c>
    </row>
    <row r="959" spans="1:21" x14ac:dyDescent="0.3">
      <c r="A959">
        <v>958</v>
      </c>
      <c r="B959" t="s">
        <v>974</v>
      </c>
      <c r="C959" s="2">
        <v>45871</v>
      </c>
      <c r="D959" s="2" t="str">
        <f t="shared" si="59"/>
        <v>Aug-2025</v>
      </c>
      <c r="E959" s="2">
        <v>45875</v>
      </c>
      <c r="F959" t="s">
        <v>1019</v>
      </c>
      <c r="G959" t="s">
        <v>1029</v>
      </c>
      <c r="H959" t="s">
        <v>1285</v>
      </c>
      <c r="I959" t="s">
        <v>1288</v>
      </c>
      <c r="J959" t="s">
        <v>1298</v>
      </c>
      <c r="K959" t="s">
        <v>1303</v>
      </c>
      <c r="L959" t="s">
        <v>1309</v>
      </c>
      <c r="M959" t="s">
        <v>1325</v>
      </c>
      <c r="N959">
        <v>1</v>
      </c>
      <c r="O959">
        <v>0</v>
      </c>
      <c r="P959">
        <v>1262.53</v>
      </c>
      <c r="Q959">
        <v>377.85</v>
      </c>
      <c r="R959" t="s">
        <v>1334</v>
      </c>
      <c r="S959" t="b">
        <f t="shared" si="56"/>
        <v>0</v>
      </c>
      <c r="T959" t="b">
        <f t="shared" si="57"/>
        <v>0</v>
      </c>
      <c r="U959" t="b">
        <f t="shared" si="58"/>
        <v>0</v>
      </c>
    </row>
    <row r="960" spans="1:21" x14ac:dyDescent="0.3">
      <c r="A960">
        <v>959</v>
      </c>
      <c r="B960" t="s">
        <v>975</v>
      </c>
      <c r="C960" s="2">
        <v>46013</v>
      </c>
      <c r="D960" s="2" t="str">
        <f t="shared" si="59"/>
        <v>Dec-2025</v>
      </c>
      <c r="E960" s="2">
        <v>46016</v>
      </c>
      <c r="F960" t="s">
        <v>1018</v>
      </c>
      <c r="G960" t="s">
        <v>1168</v>
      </c>
      <c r="H960" t="s">
        <v>1281</v>
      </c>
      <c r="I960" t="s">
        <v>1287</v>
      </c>
      <c r="J960" t="s">
        <v>1291</v>
      </c>
      <c r="K960" t="s">
        <v>1302</v>
      </c>
      <c r="L960" t="s">
        <v>1307</v>
      </c>
      <c r="M960" t="s">
        <v>1314</v>
      </c>
      <c r="N960">
        <v>2</v>
      </c>
      <c r="O960">
        <v>0.2</v>
      </c>
      <c r="P960">
        <v>1392.79</v>
      </c>
      <c r="Q960">
        <v>108.93</v>
      </c>
      <c r="R960" t="s">
        <v>1331</v>
      </c>
      <c r="S960" t="b">
        <f t="shared" si="56"/>
        <v>0</v>
      </c>
      <c r="T960" t="b">
        <f t="shared" si="57"/>
        <v>0</v>
      </c>
      <c r="U960" t="b">
        <f t="shared" si="58"/>
        <v>0</v>
      </c>
    </row>
    <row r="961" spans="1:21" x14ac:dyDescent="0.3">
      <c r="A961">
        <v>960</v>
      </c>
      <c r="B961" t="s">
        <v>976</v>
      </c>
      <c r="C961" s="2">
        <v>45873</v>
      </c>
      <c r="D961" s="2" t="str">
        <f t="shared" si="59"/>
        <v>Aug-2025</v>
      </c>
      <c r="E961" s="2">
        <v>45878</v>
      </c>
      <c r="F961" t="s">
        <v>1018</v>
      </c>
      <c r="G961" t="s">
        <v>1180</v>
      </c>
      <c r="H961" t="s">
        <v>1283</v>
      </c>
      <c r="I961" t="s">
        <v>1288</v>
      </c>
      <c r="J961" t="s">
        <v>1291</v>
      </c>
      <c r="K961" t="s">
        <v>1302</v>
      </c>
      <c r="L961" t="s">
        <v>1306</v>
      </c>
      <c r="M961" t="s">
        <v>1323</v>
      </c>
      <c r="N961">
        <v>2</v>
      </c>
      <c r="O961">
        <v>0.05</v>
      </c>
      <c r="P961">
        <v>358.92</v>
      </c>
      <c r="Q961">
        <v>127.46</v>
      </c>
      <c r="R961" t="s">
        <v>1330</v>
      </c>
      <c r="S961" t="b">
        <f t="shared" si="56"/>
        <v>0</v>
      </c>
      <c r="T961" t="b">
        <f t="shared" si="57"/>
        <v>0</v>
      </c>
      <c r="U961" t="b">
        <f t="shared" si="58"/>
        <v>0</v>
      </c>
    </row>
    <row r="962" spans="1:21" x14ac:dyDescent="0.3">
      <c r="A962">
        <v>961</v>
      </c>
      <c r="B962" t="s">
        <v>977</v>
      </c>
      <c r="C962" s="2">
        <v>45906</v>
      </c>
      <c r="D962" s="2" t="str">
        <f t="shared" si="59"/>
        <v>Sep-2025</v>
      </c>
      <c r="E962" s="2">
        <v>45911</v>
      </c>
      <c r="F962" t="s">
        <v>1017</v>
      </c>
      <c r="G962" t="s">
        <v>1242</v>
      </c>
      <c r="H962" t="s">
        <v>1286</v>
      </c>
      <c r="I962" t="s">
        <v>1288</v>
      </c>
      <c r="J962" t="s">
        <v>1297</v>
      </c>
      <c r="K962" t="s">
        <v>1304</v>
      </c>
      <c r="L962" t="s">
        <v>1306</v>
      </c>
      <c r="M962" t="s">
        <v>1324</v>
      </c>
      <c r="N962">
        <v>1</v>
      </c>
      <c r="O962">
        <v>0.1</v>
      </c>
      <c r="P962">
        <v>83.21</v>
      </c>
      <c r="Q962">
        <v>17.14</v>
      </c>
      <c r="R962" t="s">
        <v>1330</v>
      </c>
      <c r="S962" t="b">
        <f t="shared" ref="S962:S1001" si="60">E962&lt;C962</f>
        <v>0</v>
      </c>
      <c r="T962" t="b">
        <f t="shared" ref="T962:T1001" si="61">N962&lt;=0</f>
        <v>0</v>
      </c>
      <c r="U962" t="b">
        <f t="shared" ref="U962:U1001" si="62">OR(O962&lt;0,O962&gt;1)</f>
        <v>0</v>
      </c>
    </row>
    <row r="963" spans="1:21" x14ac:dyDescent="0.3">
      <c r="A963">
        <v>962</v>
      </c>
      <c r="B963" t="s">
        <v>978</v>
      </c>
      <c r="C963" s="2">
        <v>45895</v>
      </c>
      <c r="D963" s="2" t="str">
        <f t="shared" ref="D963:D1002" si="63">TEXT(C963,"mmm-yyyy")</f>
        <v>Aug-2025</v>
      </c>
      <c r="E963" s="2">
        <v>45897</v>
      </c>
      <c r="F963" t="s">
        <v>1019</v>
      </c>
      <c r="G963" t="s">
        <v>1230</v>
      </c>
      <c r="H963" t="s">
        <v>1274</v>
      </c>
      <c r="I963" t="s">
        <v>1288</v>
      </c>
      <c r="J963" t="s">
        <v>1298</v>
      </c>
      <c r="K963" t="s">
        <v>1303</v>
      </c>
      <c r="L963" t="s">
        <v>1309</v>
      </c>
      <c r="M963" t="s">
        <v>1320</v>
      </c>
      <c r="N963">
        <v>1</v>
      </c>
      <c r="O963">
        <v>0</v>
      </c>
      <c r="P963">
        <v>1233.4100000000001</v>
      </c>
      <c r="Q963">
        <v>379.29</v>
      </c>
      <c r="R963" t="s">
        <v>1334</v>
      </c>
      <c r="S963" t="b">
        <f t="shared" si="60"/>
        <v>0</v>
      </c>
      <c r="T963" t="b">
        <f t="shared" si="61"/>
        <v>0</v>
      </c>
      <c r="U963" t="b">
        <f t="shared" si="62"/>
        <v>0</v>
      </c>
    </row>
    <row r="964" spans="1:21" x14ac:dyDescent="0.3">
      <c r="A964">
        <v>963</v>
      </c>
      <c r="B964" t="s">
        <v>979</v>
      </c>
      <c r="C964" s="2">
        <v>45802</v>
      </c>
      <c r="D964" s="2" t="str">
        <f t="shared" si="63"/>
        <v>May-2025</v>
      </c>
      <c r="E964" s="2">
        <v>45803</v>
      </c>
      <c r="F964" t="s">
        <v>1019</v>
      </c>
      <c r="G964" t="s">
        <v>1050</v>
      </c>
      <c r="H964" t="s">
        <v>1286</v>
      </c>
      <c r="I964" t="s">
        <v>1287</v>
      </c>
      <c r="J964" t="s">
        <v>1294</v>
      </c>
      <c r="K964" t="s">
        <v>1305</v>
      </c>
      <c r="L964" t="s">
        <v>1308</v>
      </c>
      <c r="M964" t="s">
        <v>1326</v>
      </c>
      <c r="N964">
        <v>1</v>
      </c>
      <c r="O964">
        <v>0.1</v>
      </c>
      <c r="P964">
        <v>6602.74</v>
      </c>
      <c r="Q964">
        <v>2175.13</v>
      </c>
      <c r="R964" t="s">
        <v>1330</v>
      </c>
      <c r="S964" t="b">
        <f t="shared" si="60"/>
        <v>0</v>
      </c>
      <c r="T964" t="b">
        <f t="shared" si="61"/>
        <v>0</v>
      </c>
      <c r="U964" t="b">
        <f t="shared" si="62"/>
        <v>0</v>
      </c>
    </row>
    <row r="965" spans="1:21" x14ac:dyDescent="0.3">
      <c r="A965">
        <v>964</v>
      </c>
      <c r="B965" t="s">
        <v>980</v>
      </c>
      <c r="C965" s="2">
        <v>45681</v>
      </c>
      <c r="D965" s="2" t="str">
        <f t="shared" si="63"/>
        <v>Jan-2025</v>
      </c>
      <c r="E965" s="2">
        <v>45685</v>
      </c>
      <c r="F965" t="s">
        <v>1018</v>
      </c>
      <c r="G965" t="s">
        <v>1075</v>
      </c>
      <c r="H965" t="s">
        <v>1278</v>
      </c>
      <c r="I965" t="s">
        <v>1289</v>
      </c>
      <c r="J965" t="s">
        <v>1295</v>
      </c>
      <c r="K965" t="s">
        <v>1305</v>
      </c>
      <c r="L965" t="s">
        <v>1309</v>
      </c>
      <c r="M965" t="s">
        <v>1320</v>
      </c>
      <c r="N965">
        <v>4</v>
      </c>
      <c r="O965">
        <v>0.15</v>
      </c>
      <c r="P965">
        <v>4196.01</v>
      </c>
      <c r="Q965">
        <v>960.62</v>
      </c>
      <c r="R965" t="s">
        <v>1330</v>
      </c>
      <c r="S965" t="b">
        <f t="shared" si="60"/>
        <v>0</v>
      </c>
      <c r="T965" t="b">
        <f t="shared" si="61"/>
        <v>0</v>
      </c>
      <c r="U965" t="b">
        <f t="shared" si="62"/>
        <v>0</v>
      </c>
    </row>
    <row r="966" spans="1:21" x14ac:dyDescent="0.3">
      <c r="A966">
        <v>965</v>
      </c>
      <c r="B966" t="s">
        <v>981</v>
      </c>
      <c r="C966" s="2">
        <v>45687</v>
      </c>
      <c r="D966" s="2" t="str">
        <f t="shared" si="63"/>
        <v>Jan-2025</v>
      </c>
      <c r="E966" s="2">
        <v>45689</v>
      </c>
      <c r="F966" t="s">
        <v>1017</v>
      </c>
      <c r="G966" t="s">
        <v>1204</v>
      </c>
      <c r="H966" t="s">
        <v>1285</v>
      </c>
      <c r="I966" t="s">
        <v>1289</v>
      </c>
      <c r="J966" t="s">
        <v>1297</v>
      </c>
      <c r="K966" t="s">
        <v>1304</v>
      </c>
      <c r="L966" t="s">
        <v>1307</v>
      </c>
      <c r="M966" t="s">
        <v>1322</v>
      </c>
      <c r="N966">
        <v>3</v>
      </c>
      <c r="O966">
        <v>0.15</v>
      </c>
      <c r="P966">
        <v>1869.24</v>
      </c>
      <c r="Q966">
        <v>402.16</v>
      </c>
      <c r="R966" t="s">
        <v>1330</v>
      </c>
      <c r="S966" t="b">
        <f t="shared" si="60"/>
        <v>0</v>
      </c>
      <c r="T966" t="b">
        <f t="shared" si="61"/>
        <v>0</v>
      </c>
      <c r="U966" t="b">
        <f t="shared" si="62"/>
        <v>0</v>
      </c>
    </row>
    <row r="967" spans="1:21" x14ac:dyDescent="0.3">
      <c r="A967">
        <v>966</v>
      </c>
      <c r="B967" t="s">
        <v>982</v>
      </c>
      <c r="C967" s="2">
        <v>45829</v>
      </c>
      <c r="D967" s="2" t="str">
        <f t="shared" si="63"/>
        <v>Jun-2025</v>
      </c>
      <c r="E967" s="2">
        <v>45833</v>
      </c>
      <c r="F967" t="s">
        <v>1018</v>
      </c>
      <c r="G967" t="s">
        <v>1121</v>
      </c>
      <c r="H967" t="s">
        <v>1277</v>
      </c>
      <c r="I967" t="s">
        <v>1287</v>
      </c>
      <c r="J967" t="s">
        <v>1293</v>
      </c>
      <c r="K967" t="s">
        <v>1304</v>
      </c>
      <c r="L967" t="s">
        <v>1307</v>
      </c>
      <c r="M967" t="s">
        <v>1316</v>
      </c>
      <c r="N967">
        <v>4</v>
      </c>
      <c r="O967">
        <v>0.1</v>
      </c>
      <c r="P967">
        <v>1737.07</v>
      </c>
      <c r="Q967">
        <v>499.49</v>
      </c>
      <c r="R967" t="s">
        <v>1331</v>
      </c>
      <c r="S967" t="b">
        <f t="shared" si="60"/>
        <v>0</v>
      </c>
      <c r="T967" t="b">
        <f t="shared" si="61"/>
        <v>0</v>
      </c>
      <c r="U967" t="b">
        <f t="shared" si="62"/>
        <v>0</v>
      </c>
    </row>
    <row r="968" spans="1:21" x14ac:dyDescent="0.3">
      <c r="A968">
        <v>967</v>
      </c>
      <c r="B968" t="s">
        <v>983</v>
      </c>
      <c r="C968" s="2">
        <v>45849</v>
      </c>
      <c r="D968" s="2" t="str">
        <f t="shared" si="63"/>
        <v>Jul-2025</v>
      </c>
      <c r="E968" s="2">
        <v>45850</v>
      </c>
      <c r="F968" t="s">
        <v>1017</v>
      </c>
      <c r="G968" t="s">
        <v>1222</v>
      </c>
      <c r="H968" t="s">
        <v>1283</v>
      </c>
      <c r="I968" t="s">
        <v>1289</v>
      </c>
      <c r="J968" t="s">
        <v>1290</v>
      </c>
      <c r="K968" t="s">
        <v>1302</v>
      </c>
      <c r="L968" t="s">
        <v>1308</v>
      </c>
      <c r="M968" t="s">
        <v>1326</v>
      </c>
      <c r="N968">
        <v>3</v>
      </c>
      <c r="O968">
        <v>0</v>
      </c>
      <c r="P968">
        <v>20995.34</v>
      </c>
      <c r="Q968">
        <v>6562.15</v>
      </c>
      <c r="R968" t="s">
        <v>1332</v>
      </c>
      <c r="S968" t="b">
        <f t="shared" si="60"/>
        <v>0</v>
      </c>
      <c r="T968" t="b">
        <f t="shared" si="61"/>
        <v>0</v>
      </c>
      <c r="U968" t="b">
        <f t="shared" si="62"/>
        <v>0</v>
      </c>
    </row>
    <row r="969" spans="1:21" x14ac:dyDescent="0.3">
      <c r="A969">
        <v>968</v>
      </c>
      <c r="B969" t="s">
        <v>984</v>
      </c>
      <c r="C969" s="2">
        <v>45891</v>
      </c>
      <c r="D969" s="2" t="str">
        <f t="shared" si="63"/>
        <v>Aug-2025</v>
      </c>
      <c r="E969" s="2">
        <v>45894</v>
      </c>
      <c r="F969" t="s">
        <v>1017</v>
      </c>
      <c r="G969" t="s">
        <v>1238</v>
      </c>
      <c r="H969" t="s">
        <v>1284</v>
      </c>
      <c r="I969" t="s">
        <v>1289</v>
      </c>
      <c r="J969" t="s">
        <v>1295</v>
      </c>
      <c r="K969" t="s">
        <v>1305</v>
      </c>
      <c r="L969" t="s">
        <v>1309</v>
      </c>
      <c r="M969" t="s">
        <v>1329</v>
      </c>
      <c r="N969">
        <v>2</v>
      </c>
      <c r="O969">
        <v>0</v>
      </c>
      <c r="P969">
        <v>3895.35</v>
      </c>
      <c r="Q969">
        <v>948.13</v>
      </c>
      <c r="R969" t="s">
        <v>1332</v>
      </c>
      <c r="S969" t="b">
        <f t="shared" si="60"/>
        <v>0</v>
      </c>
      <c r="T969" t="b">
        <f t="shared" si="61"/>
        <v>0</v>
      </c>
      <c r="U969" t="b">
        <f t="shared" si="62"/>
        <v>0</v>
      </c>
    </row>
    <row r="970" spans="1:21" x14ac:dyDescent="0.3">
      <c r="A970">
        <v>969</v>
      </c>
      <c r="B970" t="s">
        <v>985</v>
      </c>
      <c r="C970" s="2">
        <v>45705</v>
      </c>
      <c r="D970" s="2" t="str">
        <f t="shared" si="63"/>
        <v>Feb-2025</v>
      </c>
      <c r="E970" s="2">
        <v>45709</v>
      </c>
      <c r="F970" t="s">
        <v>1018</v>
      </c>
      <c r="G970" t="s">
        <v>1095</v>
      </c>
      <c r="H970" t="s">
        <v>1283</v>
      </c>
      <c r="I970" t="s">
        <v>1287</v>
      </c>
      <c r="J970" t="s">
        <v>1293</v>
      </c>
      <c r="K970" t="s">
        <v>1304</v>
      </c>
      <c r="L970" t="s">
        <v>1309</v>
      </c>
      <c r="M970" t="s">
        <v>1325</v>
      </c>
      <c r="N970">
        <v>5</v>
      </c>
      <c r="O970">
        <v>0.2</v>
      </c>
      <c r="P970">
        <v>5062.3999999999996</v>
      </c>
      <c r="Q970">
        <v>81.540000000000006</v>
      </c>
      <c r="R970" t="s">
        <v>1332</v>
      </c>
      <c r="S970" t="b">
        <f t="shared" si="60"/>
        <v>0</v>
      </c>
      <c r="T970" t="b">
        <f t="shared" si="61"/>
        <v>0</v>
      </c>
      <c r="U970" t="b">
        <f t="shared" si="62"/>
        <v>0</v>
      </c>
    </row>
    <row r="971" spans="1:21" x14ac:dyDescent="0.3">
      <c r="A971">
        <v>970</v>
      </c>
      <c r="B971" t="s">
        <v>986</v>
      </c>
      <c r="C971" s="2">
        <v>45664</v>
      </c>
      <c r="D971" s="2" t="str">
        <f t="shared" si="63"/>
        <v>Jan-2025</v>
      </c>
      <c r="E971" s="2">
        <v>45669</v>
      </c>
      <c r="F971" t="s">
        <v>1018</v>
      </c>
      <c r="G971" t="s">
        <v>1117</v>
      </c>
      <c r="H971" t="s">
        <v>1280</v>
      </c>
      <c r="I971" t="s">
        <v>1287</v>
      </c>
      <c r="J971" t="s">
        <v>1296</v>
      </c>
      <c r="K971" t="s">
        <v>1304</v>
      </c>
      <c r="L971" t="s">
        <v>1306</v>
      </c>
      <c r="M971" t="s">
        <v>1328</v>
      </c>
      <c r="N971">
        <v>3</v>
      </c>
      <c r="O971">
        <v>0.2</v>
      </c>
      <c r="P971">
        <v>284.77999999999997</v>
      </c>
      <c r="Q971">
        <v>48.22</v>
      </c>
      <c r="R971" t="s">
        <v>1333</v>
      </c>
      <c r="S971" t="b">
        <f t="shared" si="60"/>
        <v>0</v>
      </c>
      <c r="T971" t="b">
        <f t="shared" si="61"/>
        <v>0</v>
      </c>
      <c r="U971" t="b">
        <f t="shared" si="62"/>
        <v>0</v>
      </c>
    </row>
    <row r="972" spans="1:21" x14ac:dyDescent="0.3">
      <c r="A972">
        <v>971</v>
      </c>
      <c r="B972" t="s">
        <v>987</v>
      </c>
      <c r="C972" s="2">
        <v>45760</v>
      </c>
      <c r="D972" s="2" t="str">
        <f t="shared" si="63"/>
        <v>Apr-2025</v>
      </c>
      <c r="E972" s="2">
        <v>45761</v>
      </c>
      <c r="F972" t="s">
        <v>1017</v>
      </c>
      <c r="G972" t="s">
        <v>1044</v>
      </c>
      <c r="H972" t="s">
        <v>1269</v>
      </c>
      <c r="I972" t="s">
        <v>1288</v>
      </c>
      <c r="J972" t="s">
        <v>1299</v>
      </c>
      <c r="K972" t="s">
        <v>1304</v>
      </c>
      <c r="L972" t="s">
        <v>1309</v>
      </c>
      <c r="M972" t="s">
        <v>1329</v>
      </c>
      <c r="N972">
        <v>1</v>
      </c>
      <c r="O972">
        <v>0.15</v>
      </c>
      <c r="P972">
        <v>1587.37</v>
      </c>
      <c r="Q972">
        <v>306.51</v>
      </c>
      <c r="R972" t="s">
        <v>1331</v>
      </c>
      <c r="S972" t="b">
        <f t="shared" si="60"/>
        <v>0</v>
      </c>
      <c r="T972" t="b">
        <f t="shared" si="61"/>
        <v>0</v>
      </c>
      <c r="U972" t="b">
        <f t="shared" si="62"/>
        <v>0</v>
      </c>
    </row>
    <row r="973" spans="1:21" x14ac:dyDescent="0.3">
      <c r="A973">
        <v>972</v>
      </c>
      <c r="B973" t="s">
        <v>988</v>
      </c>
      <c r="C973" s="2">
        <v>45795</v>
      </c>
      <c r="D973" s="2" t="str">
        <f t="shared" si="63"/>
        <v>May-2025</v>
      </c>
      <c r="E973" s="2">
        <v>45799</v>
      </c>
      <c r="F973" t="s">
        <v>1017</v>
      </c>
      <c r="G973" t="s">
        <v>1047</v>
      </c>
      <c r="H973" t="s">
        <v>1273</v>
      </c>
      <c r="I973" t="s">
        <v>1287</v>
      </c>
      <c r="J973" t="s">
        <v>1293</v>
      </c>
      <c r="K973" t="s">
        <v>1304</v>
      </c>
      <c r="L973" t="s">
        <v>1309</v>
      </c>
      <c r="M973" t="s">
        <v>1320</v>
      </c>
      <c r="N973">
        <v>4</v>
      </c>
      <c r="O973">
        <v>0.05</v>
      </c>
      <c r="P973">
        <v>4649.59</v>
      </c>
      <c r="Q973">
        <v>1330.63</v>
      </c>
      <c r="R973" t="s">
        <v>1333</v>
      </c>
      <c r="S973" t="b">
        <f t="shared" si="60"/>
        <v>0</v>
      </c>
      <c r="T973" t="b">
        <f t="shared" si="61"/>
        <v>0</v>
      </c>
      <c r="U973" t="b">
        <f t="shared" si="62"/>
        <v>0</v>
      </c>
    </row>
    <row r="974" spans="1:21" x14ac:dyDescent="0.3">
      <c r="A974">
        <v>973</v>
      </c>
      <c r="B974" t="s">
        <v>989</v>
      </c>
      <c r="C974" s="2">
        <v>45873</v>
      </c>
      <c r="D974" s="2" t="str">
        <f t="shared" si="63"/>
        <v>Aug-2025</v>
      </c>
      <c r="E974" s="2">
        <v>45874</v>
      </c>
      <c r="F974" t="s">
        <v>1018</v>
      </c>
      <c r="G974" t="s">
        <v>1200</v>
      </c>
      <c r="H974" t="s">
        <v>1283</v>
      </c>
      <c r="I974" t="s">
        <v>1289</v>
      </c>
      <c r="J974" t="s">
        <v>1300</v>
      </c>
      <c r="K974" t="s">
        <v>1305</v>
      </c>
      <c r="L974" t="s">
        <v>1307</v>
      </c>
      <c r="M974" t="s">
        <v>1315</v>
      </c>
      <c r="N974">
        <v>2</v>
      </c>
      <c r="O974">
        <v>0.1</v>
      </c>
      <c r="P974">
        <v>3220.01</v>
      </c>
      <c r="Q974">
        <v>812.16</v>
      </c>
      <c r="R974" t="s">
        <v>1333</v>
      </c>
      <c r="S974" t="b">
        <f t="shared" si="60"/>
        <v>0</v>
      </c>
      <c r="T974" t="b">
        <f t="shared" si="61"/>
        <v>0</v>
      </c>
      <c r="U974" t="b">
        <f t="shared" si="62"/>
        <v>0</v>
      </c>
    </row>
    <row r="975" spans="1:21" x14ac:dyDescent="0.3">
      <c r="A975">
        <v>974</v>
      </c>
      <c r="B975" t="s">
        <v>990</v>
      </c>
      <c r="C975" s="2">
        <v>45910</v>
      </c>
      <c r="D975" s="2" t="str">
        <f t="shared" si="63"/>
        <v>Sep-2025</v>
      </c>
      <c r="E975" s="2">
        <v>45914</v>
      </c>
      <c r="F975" t="s">
        <v>1017</v>
      </c>
      <c r="G975" t="s">
        <v>1121</v>
      </c>
      <c r="H975" t="s">
        <v>1286</v>
      </c>
      <c r="I975" t="s">
        <v>1288</v>
      </c>
      <c r="J975" t="s">
        <v>1298</v>
      </c>
      <c r="K975" t="s">
        <v>1303</v>
      </c>
      <c r="L975" t="s">
        <v>1306</v>
      </c>
      <c r="M975" t="s">
        <v>1323</v>
      </c>
      <c r="N975">
        <v>3</v>
      </c>
      <c r="O975">
        <v>0.2</v>
      </c>
      <c r="P975">
        <v>435.15</v>
      </c>
      <c r="Q975">
        <v>56.99</v>
      </c>
      <c r="R975" t="s">
        <v>1333</v>
      </c>
      <c r="S975" t="b">
        <f t="shared" si="60"/>
        <v>0</v>
      </c>
      <c r="T975" t="b">
        <f t="shared" si="61"/>
        <v>0</v>
      </c>
      <c r="U975" t="b">
        <f t="shared" si="62"/>
        <v>0</v>
      </c>
    </row>
    <row r="976" spans="1:21" x14ac:dyDescent="0.3">
      <c r="A976">
        <v>975</v>
      </c>
      <c r="B976" t="s">
        <v>991</v>
      </c>
      <c r="C976" s="2">
        <v>45670</v>
      </c>
      <c r="D976" s="2" t="str">
        <f t="shared" si="63"/>
        <v>Jan-2025</v>
      </c>
      <c r="E976" s="2">
        <v>45672</v>
      </c>
      <c r="F976" t="s">
        <v>1018</v>
      </c>
      <c r="G976" t="s">
        <v>1265</v>
      </c>
      <c r="H976" t="s">
        <v>1267</v>
      </c>
      <c r="I976" t="s">
        <v>1287</v>
      </c>
      <c r="J976" t="s">
        <v>1290</v>
      </c>
      <c r="K976" t="s">
        <v>1302</v>
      </c>
      <c r="L976" t="s">
        <v>1309</v>
      </c>
      <c r="M976" t="s">
        <v>1320</v>
      </c>
      <c r="N976">
        <v>1</v>
      </c>
      <c r="O976">
        <v>0.25</v>
      </c>
      <c r="P976">
        <v>938.69</v>
      </c>
      <c r="Q976">
        <v>119.31</v>
      </c>
      <c r="R976" t="s">
        <v>1332</v>
      </c>
      <c r="S976" t="b">
        <f t="shared" si="60"/>
        <v>0</v>
      </c>
      <c r="T976" t="b">
        <f t="shared" si="61"/>
        <v>0</v>
      </c>
      <c r="U976" t="b">
        <f t="shared" si="62"/>
        <v>0</v>
      </c>
    </row>
    <row r="977" spans="1:21" x14ac:dyDescent="0.3">
      <c r="A977">
        <v>976</v>
      </c>
      <c r="B977" t="s">
        <v>992</v>
      </c>
      <c r="C977" s="2">
        <v>45726</v>
      </c>
      <c r="D977" s="2" t="str">
        <f t="shared" si="63"/>
        <v>Mar-2025</v>
      </c>
      <c r="E977" s="2">
        <v>45729</v>
      </c>
      <c r="F977" t="s">
        <v>1018</v>
      </c>
      <c r="G977" t="s">
        <v>1071</v>
      </c>
      <c r="H977" t="s">
        <v>1269</v>
      </c>
      <c r="I977" t="s">
        <v>1289</v>
      </c>
      <c r="J977" t="s">
        <v>1294</v>
      </c>
      <c r="K977" t="s">
        <v>1305</v>
      </c>
      <c r="L977" t="s">
        <v>1306</v>
      </c>
      <c r="M977" t="s">
        <v>1323</v>
      </c>
      <c r="N977">
        <v>2</v>
      </c>
      <c r="O977">
        <v>0.2</v>
      </c>
      <c r="P977">
        <v>276.92</v>
      </c>
      <c r="Q977">
        <v>-13.07</v>
      </c>
      <c r="R977" t="s">
        <v>1331</v>
      </c>
      <c r="S977" t="b">
        <f t="shared" si="60"/>
        <v>0</v>
      </c>
      <c r="T977" t="b">
        <f t="shared" si="61"/>
        <v>0</v>
      </c>
      <c r="U977" t="b">
        <f t="shared" si="62"/>
        <v>0</v>
      </c>
    </row>
    <row r="978" spans="1:21" x14ac:dyDescent="0.3">
      <c r="A978">
        <v>977</v>
      </c>
      <c r="B978" t="s">
        <v>993</v>
      </c>
      <c r="C978" s="2">
        <v>45995</v>
      </c>
      <c r="D978" s="2" t="str">
        <f t="shared" si="63"/>
        <v>Dec-2025</v>
      </c>
      <c r="E978" s="2">
        <v>46000</v>
      </c>
      <c r="F978" t="s">
        <v>1017</v>
      </c>
      <c r="G978" t="s">
        <v>1186</v>
      </c>
      <c r="H978" t="s">
        <v>1281</v>
      </c>
      <c r="I978" t="s">
        <v>1288</v>
      </c>
      <c r="J978" t="s">
        <v>1295</v>
      </c>
      <c r="K978" t="s">
        <v>1305</v>
      </c>
      <c r="L978" t="s">
        <v>1309</v>
      </c>
      <c r="M978" t="s">
        <v>1329</v>
      </c>
      <c r="N978">
        <v>4</v>
      </c>
      <c r="O978">
        <v>0.05</v>
      </c>
      <c r="P978">
        <v>7558.42</v>
      </c>
      <c r="Q978">
        <v>2181.2199999999998</v>
      </c>
      <c r="R978" t="s">
        <v>1331</v>
      </c>
      <c r="S978" t="b">
        <f t="shared" si="60"/>
        <v>0</v>
      </c>
      <c r="T978" t="b">
        <f t="shared" si="61"/>
        <v>0</v>
      </c>
      <c r="U978" t="b">
        <f t="shared" si="62"/>
        <v>0</v>
      </c>
    </row>
    <row r="979" spans="1:21" x14ac:dyDescent="0.3">
      <c r="A979">
        <v>978</v>
      </c>
      <c r="B979" t="s">
        <v>994</v>
      </c>
      <c r="C979" s="2">
        <v>45684</v>
      </c>
      <c r="D979" s="2" t="str">
        <f t="shared" si="63"/>
        <v>Jan-2025</v>
      </c>
      <c r="E979" s="2">
        <v>45688</v>
      </c>
      <c r="F979" t="s">
        <v>1017</v>
      </c>
      <c r="G979" t="s">
        <v>1153</v>
      </c>
      <c r="H979" t="s">
        <v>1278</v>
      </c>
      <c r="I979" t="s">
        <v>1288</v>
      </c>
      <c r="J979" t="s">
        <v>1291</v>
      </c>
      <c r="K979" t="s">
        <v>1302</v>
      </c>
      <c r="L979" t="s">
        <v>1307</v>
      </c>
      <c r="M979" t="s">
        <v>1316</v>
      </c>
      <c r="N979">
        <v>2</v>
      </c>
      <c r="O979">
        <v>0.2</v>
      </c>
      <c r="P979">
        <v>821.26</v>
      </c>
      <c r="Q979">
        <v>52.31</v>
      </c>
      <c r="R979" t="s">
        <v>1333</v>
      </c>
      <c r="S979" t="b">
        <f t="shared" si="60"/>
        <v>0</v>
      </c>
      <c r="T979" t="b">
        <f t="shared" si="61"/>
        <v>0</v>
      </c>
      <c r="U979" t="b">
        <f t="shared" si="62"/>
        <v>0</v>
      </c>
    </row>
    <row r="980" spans="1:21" x14ac:dyDescent="0.3">
      <c r="A980">
        <v>979</v>
      </c>
      <c r="B980" t="s">
        <v>995</v>
      </c>
      <c r="C980" s="2">
        <v>45906</v>
      </c>
      <c r="D980" s="2" t="str">
        <f t="shared" si="63"/>
        <v>Sep-2025</v>
      </c>
      <c r="E980" s="2">
        <v>45908</v>
      </c>
      <c r="F980" t="s">
        <v>1017</v>
      </c>
      <c r="G980" t="s">
        <v>1266</v>
      </c>
      <c r="H980" t="s">
        <v>1270</v>
      </c>
      <c r="I980" t="s">
        <v>1288</v>
      </c>
      <c r="J980" t="s">
        <v>1290</v>
      </c>
      <c r="K980" t="s">
        <v>1302</v>
      </c>
      <c r="L980" t="s">
        <v>1307</v>
      </c>
      <c r="M980" t="s">
        <v>1322</v>
      </c>
      <c r="N980">
        <v>2</v>
      </c>
      <c r="O980">
        <v>0.25</v>
      </c>
      <c r="P980">
        <v>1012.84</v>
      </c>
      <c r="Q980">
        <v>68.42</v>
      </c>
      <c r="R980" t="s">
        <v>1333</v>
      </c>
      <c r="S980" t="b">
        <f t="shared" si="60"/>
        <v>0</v>
      </c>
      <c r="T980" t="b">
        <f t="shared" si="61"/>
        <v>0</v>
      </c>
      <c r="U980" t="b">
        <f t="shared" si="62"/>
        <v>0</v>
      </c>
    </row>
    <row r="981" spans="1:21" x14ac:dyDescent="0.3">
      <c r="A981">
        <v>980</v>
      </c>
      <c r="B981" t="s">
        <v>996</v>
      </c>
      <c r="C981" s="2">
        <v>45935</v>
      </c>
      <c r="D981" s="2" t="str">
        <f t="shared" si="63"/>
        <v>Oct-2025</v>
      </c>
      <c r="E981" s="2">
        <v>45937</v>
      </c>
      <c r="F981" t="s">
        <v>1017</v>
      </c>
      <c r="G981" t="s">
        <v>1120</v>
      </c>
      <c r="H981" t="s">
        <v>1272</v>
      </c>
      <c r="I981" t="s">
        <v>1287</v>
      </c>
      <c r="J981" t="s">
        <v>1299</v>
      </c>
      <c r="K981" t="s">
        <v>1304</v>
      </c>
      <c r="L981" t="s">
        <v>1306</v>
      </c>
      <c r="M981" t="s">
        <v>1324</v>
      </c>
      <c r="N981">
        <v>1</v>
      </c>
      <c r="O981">
        <v>0</v>
      </c>
      <c r="P981">
        <v>87.41</v>
      </c>
      <c r="Q981">
        <v>27.86</v>
      </c>
      <c r="R981" t="s">
        <v>1332</v>
      </c>
      <c r="S981" t="b">
        <f t="shared" si="60"/>
        <v>0</v>
      </c>
      <c r="T981" t="b">
        <f t="shared" si="61"/>
        <v>0</v>
      </c>
      <c r="U981" t="b">
        <f t="shared" si="62"/>
        <v>0</v>
      </c>
    </row>
    <row r="982" spans="1:21" x14ac:dyDescent="0.3">
      <c r="A982">
        <v>981</v>
      </c>
      <c r="B982" t="s">
        <v>997</v>
      </c>
      <c r="C982" s="2">
        <v>45772</v>
      </c>
      <c r="D982" s="2" t="str">
        <f t="shared" si="63"/>
        <v>Apr-2025</v>
      </c>
      <c r="E982" s="2">
        <v>45775</v>
      </c>
      <c r="F982" t="s">
        <v>1018</v>
      </c>
      <c r="G982" t="s">
        <v>1163</v>
      </c>
      <c r="H982" t="s">
        <v>1269</v>
      </c>
      <c r="I982" t="s">
        <v>1287</v>
      </c>
      <c r="J982" t="s">
        <v>1301</v>
      </c>
      <c r="K982" t="s">
        <v>1303</v>
      </c>
      <c r="L982" t="s">
        <v>1306</v>
      </c>
      <c r="M982" t="s">
        <v>1323</v>
      </c>
      <c r="N982">
        <v>2</v>
      </c>
      <c r="O982">
        <v>0.1</v>
      </c>
      <c r="P982">
        <v>323.25</v>
      </c>
      <c r="Q982">
        <v>33.78</v>
      </c>
      <c r="R982" t="s">
        <v>1332</v>
      </c>
      <c r="S982" t="b">
        <f t="shared" si="60"/>
        <v>0</v>
      </c>
      <c r="T982" t="b">
        <f t="shared" si="61"/>
        <v>0</v>
      </c>
      <c r="U982" t="b">
        <f t="shared" si="62"/>
        <v>0</v>
      </c>
    </row>
    <row r="983" spans="1:21" x14ac:dyDescent="0.3">
      <c r="A983">
        <v>982</v>
      </c>
      <c r="B983" t="s">
        <v>998</v>
      </c>
      <c r="C983" s="2">
        <v>45681</v>
      </c>
      <c r="D983" s="2" t="str">
        <f t="shared" si="63"/>
        <v>Jan-2025</v>
      </c>
      <c r="E983" s="2">
        <v>45683</v>
      </c>
      <c r="F983" t="s">
        <v>1017</v>
      </c>
      <c r="G983" t="s">
        <v>1044</v>
      </c>
      <c r="H983" t="s">
        <v>1270</v>
      </c>
      <c r="I983" t="s">
        <v>1287</v>
      </c>
      <c r="J983" t="s">
        <v>1292</v>
      </c>
      <c r="K983" t="s">
        <v>1303</v>
      </c>
      <c r="L983" t="s">
        <v>1309</v>
      </c>
      <c r="M983" t="s">
        <v>1317</v>
      </c>
      <c r="N983">
        <v>2</v>
      </c>
      <c r="O983">
        <v>0.05</v>
      </c>
      <c r="P983">
        <v>1564.79</v>
      </c>
      <c r="Q983">
        <v>556.82000000000005</v>
      </c>
      <c r="R983" t="s">
        <v>1332</v>
      </c>
      <c r="S983" t="b">
        <f t="shared" si="60"/>
        <v>0</v>
      </c>
      <c r="T983" t="b">
        <f t="shared" si="61"/>
        <v>0</v>
      </c>
      <c r="U983" t="b">
        <f t="shared" si="62"/>
        <v>0</v>
      </c>
    </row>
    <row r="984" spans="1:21" x14ac:dyDescent="0.3">
      <c r="A984">
        <v>983</v>
      </c>
      <c r="B984" t="s">
        <v>999</v>
      </c>
      <c r="C984" s="2">
        <v>45854</v>
      </c>
      <c r="D984" s="2" t="str">
        <f t="shared" si="63"/>
        <v>Jul-2025</v>
      </c>
      <c r="E984" s="2">
        <v>45855</v>
      </c>
      <c r="F984" t="s">
        <v>1017</v>
      </c>
      <c r="G984" t="s">
        <v>1218</v>
      </c>
      <c r="H984" t="s">
        <v>1269</v>
      </c>
      <c r="I984" t="s">
        <v>1287</v>
      </c>
      <c r="J984" t="s">
        <v>1298</v>
      </c>
      <c r="K984" t="s">
        <v>1303</v>
      </c>
      <c r="L984" t="s">
        <v>1308</v>
      </c>
      <c r="M984" t="s">
        <v>1319</v>
      </c>
      <c r="N984">
        <v>1</v>
      </c>
      <c r="O984">
        <v>0.15</v>
      </c>
      <c r="P984">
        <v>3846.56</v>
      </c>
      <c r="Q984">
        <v>167.4</v>
      </c>
      <c r="R984" t="s">
        <v>1330</v>
      </c>
      <c r="S984" t="b">
        <f t="shared" si="60"/>
        <v>0</v>
      </c>
      <c r="T984" t="b">
        <f t="shared" si="61"/>
        <v>0</v>
      </c>
      <c r="U984" t="b">
        <f t="shared" si="62"/>
        <v>0</v>
      </c>
    </row>
    <row r="985" spans="1:21" x14ac:dyDescent="0.3">
      <c r="A985">
        <v>984</v>
      </c>
      <c r="B985" t="s">
        <v>1000</v>
      </c>
      <c r="C985" s="2">
        <v>45998</v>
      </c>
      <c r="D985" s="2" t="str">
        <f t="shared" si="63"/>
        <v>Dec-2025</v>
      </c>
      <c r="E985" s="2">
        <v>46000</v>
      </c>
      <c r="F985" t="s">
        <v>1018</v>
      </c>
      <c r="G985" t="s">
        <v>1084</v>
      </c>
      <c r="H985" t="s">
        <v>1274</v>
      </c>
      <c r="I985" t="s">
        <v>1289</v>
      </c>
      <c r="J985" t="s">
        <v>1291</v>
      </c>
      <c r="K985" t="s">
        <v>1302</v>
      </c>
      <c r="L985" t="s">
        <v>1307</v>
      </c>
      <c r="M985" t="s">
        <v>1322</v>
      </c>
      <c r="N985">
        <v>1</v>
      </c>
      <c r="O985">
        <v>0.2</v>
      </c>
      <c r="P985">
        <v>541.64</v>
      </c>
      <c r="Q985">
        <v>92.73</v>
      </c>
      <c r="R985" t="s">
        <v>1331</v>
      </c>
      <c r="S985" t="b">
        <f t="shared" si="60"/>
        <v>0</v>
      </c>
      <c r="T985" t="b">
        <f t="shared" si="61"/>
        <v>0</v>
      </c>
      <c r="U985" t="b">
        <f t="shared" si="62"/>
        <v>0</v>
      </c>
    </row>
    <row r="986" spans="1:21" x14ac:dyDescent="0.3">
      <c r="A986">
        <v>985</v>
      </c>
      <c r="B986" t="s">
        <v>1001</v>
      </c>
      <c r="C986" s="2">
        <v>45732</v>
      </c>
      <c r="D986" s="2" t="str">
        <f t="shared" si="63"/>
        <v>Mar-2025</v>
      </c>
      <c r="E986" s="2">
        <v>45737</v>
      </c>
      <c r="F986" t="s">
        <v>1017</v>
      </c>
      <c r="G986" t="s">
        <v>1050</v>
      </c>
      <c r="H986" t="s">
        <v>1276</v>
      </c>
      <c r="I986" t="s">
        <v>1287</v>
      </c>
      <c r="J986" t="s">
        <v>1295</v>
      </c>
      <c r="K986" t="s">
        <v>1305</v>
      </c>
      <c r="L986" t="s">
        <v>1306</v>
      </c>
      <c r="M986" t="s">
        <v>1321</v>
      </c>
      <c r="N986">
        <v>3</v>
      </c>
      <c r="O986">
        <v>0.15</v>
      </c>
      <c r="P986">
        <v>1158.4000000000001</v>
      </c>
      <c r="Q986">
        <v>58.44</v>
      </c>
      <c r="R986" t="s">
        <v>1330</v>
      </c>
      <c r="S986" t="b">
        <f t="shared" si="60"/>
        <v>0</v>
      </c>
      <c r="T986" t="b">
        <f t="shared" si="61"/>
        <v>0</v>
      </c>
      <c r="U986" t="b">
        <f t="shared" si="62"/>
        <v>0</v>
      </c>
    </row>
    <row r="987" spans="1:21" x14ac:dyDescent="0.3">
      <c r="A987">
        <v>986</v>
      </c>
      <c r="B987" t="s">
        <v>1002</v>
      </c>
      <c r="C987" s="2">
        <v>45921</v>
      </c>
      <c r="D987" s="2" t="str">
        <f t="shared" si="63"/>
        <v>Sep-2025</v>
      </c>
      <c r="E987" s="2">
        <v>45922</v>
      </c>
      <c r="F987" t="s">
        <v>1018</v>
      </c>
      <c r="G987" t="s">
        <v>1245</v>
      </c>
      <c r="H987" t="s">
        <v>1280</v>
      </c>
      <c r="I987" t="s">
        <v>1287</v>
      </c>
      <c r="J987" t="s">
        <v>1301</v>
      </c>
      <c r="K987" t="s">
        <v>1303</v>
      </c>
      <c r="L987" t="s">
        <v>1308</v>
      </c>
      <c r="M987" t="s">
        <v>1326</v>
      </c>
      <c r="N987">
        <v>1</v>
      </c>
      <c r="O987">
        <v>0.05</v>
      </c>
      <c r="P987">
        <v>6392.43</v>
      </c>
      <c r="Q987">
        <v>1566.38</v>
      </c>
      <c r="R987" t="s">
        <v>1334</v>
      </c>
      <c r="S987" t="b">
        <f t="shared" si="60"/>
        <v>0</v>
      </c>
      <c r="T987" t="b">
        <f t="shared" si="61"/>
        <v>0</v>
      </c>
      <c r="U987" t="b">
        <f t="shared" si="62"/>
        <v>0</v>
      </c>
    </row>
    <row r="988" spans="1:21" x14ac:dyDescent="0.3">
      <c r="A988">
        <v>987</v>
      </c>
      <c r="B988" t="s">
        <v>1003</v>
      </c>
      <c r="C988" s="2">
        <v>45788</v>
      </c>
      <c r="D988" s="2" t="str">
        <f t="shared" si="63"/>
        <v>May-2025</v>
      </c>
      <c r="E988" s="2">
        <v>45793</v>
      </c>
      <c r="F988" t="s">
        <v>1018</v>
      </c>
      <c r="G988" t="s">
        <v>1099</v>
      </c>
      <c r="H988" t="s">
        <v>1286</v>
      </c>
      <c r="I988" t="s">
        <v>1287</v>
      </c>
      <c r="J988" t="s">
        <v>1291</v>
      </c>
      <c r="K988" t="s">
        <v>1302</v>
      </c>
      <c r="L988" t="s">
        <v>1308</v>
      </c>
      <c r="M988" t="s">
        <v>1326</v>
      </c>
      <c r="N988">
        <v>3</v>
      </c>
      <c r="O988">
        <v>0</v>
      </c>
      <c r="P988">
        <v>20275.22</v>
      </c>
      <c r="Q988">
        <v>3236.04</v>
      </c>
      <c r="R988" t="s">
        <v>1333</v>
      </c>
      <c r="S988" t="b">
        <f t="shared" si="60"/>
        <v>0</v>
      </c>
      <c r="T988" t="b">
        <f t="shared" si="61"/>
        <v>0</v>
      </c>
      <c r="U988" t="b">
        <f t="shared" si="62"/>
        <v>0</v>
      </c>
    </row>
    <row r="989" spans="1:21" x14ac:dyDescent="0.3">
      <c r="A989">
        <v>988</v>
      </c>
      <c r="B989" t="s">
        <v>1004</v>
      </c>
      <c r="C989" s="2">
        <v>45704</v>
      </c>
      <c r="D989" s="2" t="str">
        <f t="shared" si="63"/>
        <v>Feb-2025</v>
      </c>
      <c r="E989" s="2">
        <v>45706</v>
      </c>
      <c r="F989" t="s">
        <v>1017</v>
      </c>
      <c r="G989" t="s">
        <v>1153</v>
      </c>
      <c r="H989" t="s">
        <v>1267</v>
      </c>
      <c r="I989" t="s">
        <v>1287</v>
      </c>
      <c r="J989" t="s">
        <v>1300</v>
      </c>
      <c r="K989" t="s">
        <v>1305</v>
      </c>
      <c r="L989" t="s">
        <v>1309</v>
      </c>
      <c r="M989" t="s">
        <v>1329</v>
      </c>
      <c r="N989">
        <v>1</v>
      </c>
      <c r="O989">
        <v>0</v>
      </c>
      <c r="P989">
        <v>1963.29</v>
      </c>
      <c r="Q989">
        <v>564.21</v>
      </c>
      <c r="R989" t="s">
        <v>1334</v>
      </c>
      <c r="S989" t="b">
        <f t="shared" si="60"/>
        <v>0</v>
      </c>
      <c r="T989" t="b">
        <f t="shared" si="61"/>
        <v>0</v>
      </c>
      <c r="U989" t="b">
        <f t="shared" si="62"/>
        <v>0</v>
      </c>
    </row>
    <row r="990" spans="1:21" x14ac:dyDescent="0.3">
      <c r="A990">
        <v>989</v>
      </c>
      <c r="B990" t="s">
        <v>1005</v>
      </c>
      <c r="C990" s="2">
        <v>45695</v>
      </c>
      <c r="D990" s="2" t="str">
        <f t="shared" si="63"/>
        <v>Feb-2025</v>
      </c>
      <c r="E990" s="2">
        <v>45696</v>
      </c>
      <c r="F990" t="s">
        <v>1017</v>
      </c>
      <c r="G990" t="s">
        <v>1154</v>
      </c>
      <c r="H990" t="s">
        <v>1277</v>
      </c>
      <c r="I990" t="s">
        <v>1287</v>
      </c>
      <c r="J990" t="s">
        <v>1297</v>
      </c>
      <c r="K990" t="s">
        <v>1304</v>
      </c>
      <c r="L990" t="s">
        <v>1308</v>
      </c>
      <c r="M990" t="s">
        <v>1327</v>
      </c>
      <c r="N990">
        <v>2</v>
      </c>
      <c r="O990">
        <v>0.05</v>
      </c>
      <c r="P990">
        <v>3474.29</v>
      </c>
      <c r="Q990">
        <v>753.38</v>
      </c>
      <c r="R990" t="s">
        <v>1331</v>
      </c>
      <c r="S990" t="b">
        <f t="shared" si="60"/>
        <v>0</v>
      </c>
      <c r="T990" t="b">
        <f t="shared" si="61"/>
        <v>0</v>
      </c>
      <c r="U990" t="b">
        <f t="shared" si="62"/>
        <v>0</v>
      </c>
    </row>
    <row r="991" spans="1:21" x14ac:dyDescent="0.3">
      <c r="A991">
        <v>990</v>
      </c>
      <c r="B991" t="s">
        <v>1006</v>
      </c>
      <c r="C991" s="2">
        <v>45932</v>
      </c>
      <c r="D991" s="2" t="str">
        <f t="shared" si="63"/>
        <v>Oct-2025</v>
      </c>
      <c r="E991" s="2">
        <v>45933</v>
      </c>
      <c r="F991" t="s">
        <v>1017</v>
      </c>
      <c r="G991" t="s">
        <v>1026</v>
      </c>
      <c r="H991" t="s">
        <v>1273</v>
      </c>
      <c r="I991" t="s">
        <v>1288</v>
      </c>
      <c r="J991" t="s">
        <v>1298</v>
      </c>
      <c r="K991" t="s">
        <v>1303</v>
      </c>
      <c r="L991" t="s">
        <v>1307</v>
      </c>
      <c r="M991" t="s">
        <v>1322</v>
      </c>
      <c r="N991">
        <v>2</v>
      </c>
      <c r="O991">
        <v>0</v>
      </c>
      <c r="P991">
        <v>1426.36</v>
      </c>
      <c r="Q991">
        <v>387.91</v>
      </c>
      <c r="R991" t="s">
        <v>1331</v>
      </c>
      <c r="S991" t="b">
        <f t="shared" si="60"/>
        <v>0</v>
      </c>
      <c r="T991" t="b">
        <f t="shared" si="61"/>
        <v>0</v>
      </c>
      <c r="U991" t="b">
        <f t="shared" si="62"/>
        <v>0</v>
      </c>
    </row>
    <row r="992" spans="1:21" x14ac:dyDescent="0.3">
      <c r="A992">
        <v>991</v>
      </c>
      <c r="B992" t="s">
        <v>1007</v>
      </c>
      <c r="C992" s="2">
        <v>45822</v>
      </c>
      <c r="D992" s="2" t="str">
        <f t="shared" si="63"/>
        <v>Jun-2025</v>
      </c>
      <c r="E992" s="2">
        <v>45827</v>
      </c>
      <c r="F992" t="s">
        <v>1017</v>
      </c>
      <c r="G992" t="s">
        <v>1039</v>
      </c>
      <c r="H992" t="s">
        <v>1280</v>
      </c>
      <c r="I992" t="s">
        <v>1287</v>
      </c>
      <c r="J992" t="s">
        <v>1291</v>
      </c>
      <c r="K992" t="s">
        <v>1302</v>
      </c>
      <c r="L992" t="s">
        <v>1307</v>
      </c>
      <c r="M992" t="s">
        <v>1316</v>
      </c>
      <c r="N992">
        <v>4</v>
      </c>
      <c r="O992">
        <v>0.2</v>
      </c>
      <c r="P992">
        <v>1563.72</v>
      </c>
      <c r="Q992">
        <v>54.94</v>
      </c>
      <c r="R992" t="s">
        <v>1332</v>
      </c>
      <c r="S992" t="b">
        <f t="shared" si="60"/>
        <v>0</v>
      </c>
      <c r="T992" t="b">
        <f t="shared" si="61"/>
        <v>0</v>
      </c>
      <c r="U992" t="b">
        <f t="shared" si="62"/>
        <v>0</v>
      </c>
    </row>
    <row r="993" spans="1:21" x14ac:dyDescent="0.3">
      <c r="A993">
        <v>992</v>
      </c>
      <c r="B993" t="s">
        <v>1008</v>
      </c>
      <c r="C993" s="2">
        <v>45773</v>
      </c>
      <c r="D993" s="2" t="str">
        <f t="shared" si="63"/>
        <v>Apr-2025</v>
      </c>
      <c r="E993" s="2">
        <v>45774</v>
      </c>
      <c r="F993" t="s">
        <v>1019</v>
      </c>
      <c r="G993" t="s">
        <v>1264</v>
      </c>
      <c r="H993" t="s">
        <v>1279</v>
      </c>
      <c r="I993" t="s">
        <v>1287</v>
      </c>
      <c r="J993" t="s">
        <v>1294</v>
      </c>
      <c r="K993" t="s">
        <v>1305</v>
      </c>
      <c r="L993" t="s">
        <v>1309</v>
      </c>
      <c r="M993" t="s">
        <v>1320</v>
      </c>
      <c r="N993">
        <v>2</v>
      </c>
      <c r="O993">
        <v>0.05</v>
      </c>
      <c r="P993">
        <v>2304.73</v>
      </c>
      <c r="Q993">
        <v>573.85</v>
      </c>
      <c r="R993" t="s">
        <v>1331</v>
      </c>
      <c r="S993" t="b">
        <f t="shared" si="60"/>
        <v>0</v>
      </c>
      <c r="T993" t="b">
        <f t="shared" si="61"/>
        <v>0</v>
      </c>
      <c r="U993" t="b">
        <f t="shared" si="62"/>
        <v>0</v>
      </c>
    </row>
    <row r="994" spans="1:21" x14ac:dyDescent="0.3">
      <c r="A994">
        <v>993</v>
      </c>
      <c r="B994" t="s">
        <v>1009</v>
      </c>
      <c r="C994" s="2">
        <v>45736</v>
      </c>
      <c r="D994" s="2" t="str">
        <f t="shared" si="63"/>
        <v>Mar-2025</v>
      </c>
      <c r="E994" s="2">
        <v>45737</v>
      </c>
      <c r="F994" t="s">
        <v>1017</v>
      </c>
      <c r="G994" t="s">
        <v>1141</v>
      </c>
      <c r="H994" t="s">
        <v>1268</v>
      </c>
      <c r="I994" t="s">
        <v>1287</v>
      </c>
      <c r="J994" t="s">
        <v>1299</v>
      </c>
      <c r="K994" t="s">
        <v>1304</v>
      </c>
      <c r="L994" t="s">
        <v>1309</v>
      </c>
      <c r="M994" t="s">
        <v>1325</v>
      </c>
      <c r="N994">
        <v>2</v>
      </c>
      <c r="O994">
        <v>0.05</v>
      </c>
      <c r="P994">
        <v>2459.89</v>
      </c>
      <c r="Q994">
        <v>797.02</v>
      </c>
      <c r="R994" t="s">
        <v>1331</v>
      </c>
      <c r="S994" t="b">
        <f t="shared" si="60"/>
        <v>0</v>
      </c>
      <c r="T994" t="b">
        <f t="shared" si="61"/>
        <v>0</v>
      </c>
      <c r="U994" t="b">
        <f t="shared" si="62"/>
        <v>0</v>
      </c>
    </row>
    <row r="995" spans="1:21" x14ac:dyDescent="0.3">
      <c r="A995">
        <v>994</v>
      </c>
      <c r="B995" t="s">
        <v>1010</v>
      </c>
      <c r="C995" s="2">
        <v>46002</v>
      </c>
      <c r="D995" s="2" t="str">
        <f t="shared" si="63"/>
        <v>Dec-2025</v>
      </c>
      <c r="E995" s="2">
        <v>46007</v>
      </c>
      <c r="F995" t="s">
        <v>1018</v>
      </c>
      <c r="G995" t="s">
        <v>1101</v>
      </c>
      <c r="H995" t="s">
        <v>1275</v>
      </c>
      <c r="I995" t="s">
        <v>1288</v>
      </c>
      <c r="J995" t="s">
        <v>1291</v>
      </c>
      <c r="K995" t="s">
        <v>1302</v>
      </c>
      <c r="L995" t="s">
        <v>1308</v>
      </c>
      <c r="M995" t="s">
        <v>1318</v>
      </c>
      <c r="N995">
        <v>1</v>
      </c>
      <c r="O995">
        <v>0</v>
      </c>
      <c r="P995">
        <v>5242.1499999999996</v>
      </c>
      <c r="Q995">
        <v>1167.23</v>
      </c>
      <c r="R995" t="s">
        <v>1331</v>
      </c>
      <c r="S995" t="b">
        <f t="shared" si="60"/>
        <v>0</v>
      </c>
      <c r="T995" t="b">
        <f t="shared" si="61"/>
        <v>0</v>
      </c>
      <c r="U995" t="b">
        <f t="shared" si="62"/>
        <v>0</v>
      </c>
    </row>
    <row r="996" spans="1:21" x14ac:dyDescent="0.3">
      <c r="A996">
        <v>995</v>
      </c>
      <c r="B996" t="s">
        <v>1011</v>
      </c>
      <c r="C996" s="2">
        <v>45663</v>
      </c>
      <c r="D996" s="2" t="str">
        <f t="shared" si="63"/>
        <v>Jan-2025</v>
      </c>
      <c r="E996" s="2">
        <v>45664</v>
      </c>
      <c r="F996" t="s">
        <v>1019</v>
      </c>
      <c r="G996" t="s">
        <v>1089</v>
      </c>
      <c r="H996" t="s">
        <v>1267</v>
      </c>
      <c r="I996" t="s">
        <v>1288</v>
      </c>
      <c r="J996" t="s">
        <v>1294</v>
      </c>
      <c r="K996" t="s">
        <v>1305</v>
      </c>
      <c r="L996" t="s">
        <v>1307</v>
      </c>
      <c r="M996" t="s">
        <v>1316</v>
      </c>
      <c r="N996">
        <v>1</v>
      </c>
      <c r="O996">
        <v>0</v>
      </c>
      <c r="P996">
        <v>479.26</v>
      </c>
      <c r="Q996">
        <v>148.97999999999999</v>
      </c>
      <c r="R996" t="s">
        <v>1332</v>
      </c>
      <c r="S996" t="b">
        <f t="shared" si="60"/>
        <v>0</v>
      </c>
      <c r="T996" t="b">
        <f t="shared" si="61"/>
        <v>0</v>
      </c>
      <c r="U996" t="b">
        <f t="shared" si="62"/>
        <v>0</v>
      </c>
    </row>
    <row r="997" spans="1:21" x14ac:dyDescent="0.3">
      <c r="A997">
        <v>996</v>
      </c>
      <c r="B997" t="s">
        <v>1012</v>
      </c>
      <c r="C997" s="2">
        <v>45872</v>
      </c>
      <c r="D997" s="2" t="str">
        <f t="shared" si="63"/>
        <v>Aug-2025</v>
      </c>
      <c r="E997" s="2">
        <v>45876</v>
      </c>
      <c r="F997" t="s">
        <v>1017</v>
      </c>
      <c r="G997" t="s">
        <v>1261</v>
      </c>
      <c r="H997" t="s">
        <v>1276</v>
      </c>
      <c r="I997" t="s">
        <v>1288</v>
      </c>
      <c r="J997" t="s">
        <v>1301</v>
      </c>
      <c r="K997" t="s">
        <v>1303</v>
      </c>
      <c r="L997" t="s">
        <v>1306</v>
      </c>
      <c r="M997" t="s">
        <v>1323</v>
      </c>
      <c r="N997">
        <v>1</v>
      </c>
      <c r="O997">
        <v>0.1</v>
      </c>
      <c r="P997">
        <v>169.94</v>
      </c>
      <c r="Q997">
        <v>35.56</v>
      </c>
      <c r="R997" t="s">
        <v>1331</v>
      </c>
      <c r="S997" t="b">
        <f t="shared" si="60"/>
        <v>0</v>
      </c>
      <c r="T997" t="b">
        <f t="shared" si="61"/>
        <v>0</v>
      </c>
      <c r="U997" t="b">
        <f t="shared" si="62"/>
        <v>0</v>
      </c>
    </row>
    <row r="998" spans="1:21" x14ac:dyDescent="0.3">
      <c r="A998">
        <v>997</v>
      </c>
      <c r="B998" t="s">
        <v>1013</v>
      </c>
      <c r="C998" s="2">
        <v>45683</v>
      </c>
      <c r="D998" s="2" t="str">
        <f t="shared" si="63"/>
        <v>Jan-2025</v>
      </c>
      <c r="E998" s="2">
        <v>45685</v>
      </c>
      <c r="F998" t="s">
        <v>1017</v>
      </c>
      <c r="G998" t="s">
        <v>1023</v>
      </c>
      <c r="H998" t="s">
        <v>1284</v>
      </c>
      <c r="I998" t="s">
        <v>1288</v>
      </c>
      <c r="J998" t="s">
        <v>1293</v>
      </c>
      <c r="K998" t="s">
        <v>1304</v>
      </c>
      <c r="L998" t="s">
        <v>1309</v>
      </c>
      <c r="M998" t="s">
        <v>1325</v>
      </c>
      <c r="N998">
        <v>2</v>
      </c>
      <c r="O998">
        <v>0.1</v>
      </c>
      <c r="P998">
        <v>2417.17</v>
      </c>
      <c r="Q998">
        <v>307.20999999999998</v>
      </c>
      <c r="R998" t="s">
        <v>1332</v>
      </c>
      <c r="S998" t="b">
        <f t="shared" si="60"/>
        <v>0</v>
      </c>
      <c r="T998" t="b">
        <f t="shared" si="61"/>
        <v>0</v>
      </c>
      <c r="U998" t="b">
        <f t="shared" si="62"/>
        <v>0</v>
      </c>
    </row>
    <row r="999" spans="1:21" x14ac:dyDescent="0.3">
      <c r="A999">
        <v>998</v>
      </c>
      <c r="B999" t="s">
        <v>1014</v>
      </c>
      <c r="C999" s="2">
        <v>45824</v>
      </c>
      <c r="D999" s="2" t="str">
        <f t="shared" si="63"/>
        <v>Jun-2025</v>
      </c>
      <c r="E999" s="2">
        <v>45828</v>
      </c>
      <c r="F999" t="s">
        <v>1017</v>
      </c>
      <c r="G999" t="s">
        <v>1220</v>
      </c>
      <c r="H999" t="s">
        <v>1284</v>
      </c>
      <c r="I999" t="s">
        <v>1287</v>
      </c>
      <c r="J999" t="s">
        <v>1293</v>
      </c>
      <c r="K999" t="s">
        <v>1304</v>
      </c>
      <c r="L999" t="s">
        <v>1308</v>
      </c>
      <c r="M999" t="s">
        <v>1319</v>
      </c>
      <c r="N999">
        <v>5</v>
      </c>
      <c r="O999">
        <v>0</v>
      </c>
      <c r="P999">
        <v>23604.62</v>
      </c>
      <c r="Q999">
        <v>5834.03</v>
      </c>
      <c r="R999" t="s">
        <v>1333</v>
      </c>
      <c r="S999" t="b">
        <f t="shared" si="60"/>
        <v>0</v>
      </c>
      <c r="T999" t="b">
        <f t="shared" si="61"/>
        <v>0</v>
      </c>
      <c r="U999" t="b">
        <f t="shared" si="62"/>
        <v>0</v>
      </c>
    </row>
    <row r="1000" spans="1:21" x14ac:dyDescent="0.3">
      <c r="A1000">
        <v>999</v>
      </c>
      <c r="B1000" t="s">
        <v>1015</v>
      </c>
      <c r="C1000" s="2">
        <v>45672</v>
      </c>
      <c r="D1000" s="2" t="str">
        <f t="shared" si="63"/>
        <v>Jan-2025</v>
      </c>
      <c r="E1000" s="2">
        <v>45673</v>
      </c>
      <c r="F1000" t="s">
        <v>1019</v>
      </c>
      <c r="G1000" t="s">
        <v>1138</v>
      </c>
      <c r="H1000" t="s">
        <v>1268</v>
      </c>
      <c r="I1000" t="s">
        <v>1287</v>
      </c>
      <c r="J1000" t="s">
        <v>1295</v>
      </c>
      <c r="K1000" t="s">
        <v>1305</v>
      </c>
      <c r="L1000" t="s">
        <v>1306</v>
      </c>
      <c r="M1000" t="s">
        <v>1310</v>
      </c>
      <c r="N1000">
        <v>1</v>
      </c>
      <c r="O1000">
        <v>0.25</v>
      </c>
      <c r="P1000">
        <v>487.31</v>
      </c>
      <c r="Q1000">
        <v>28.29</v>
      </c>
      <c r="R1000" t="s">
        <v>1331</v>
      </c>
      <c r="S1000" t="b">
        <f t="shared" si="60"/>
        <v>0</v>
      </c>
      <c r="T1000" t="b">
        <f t="shared" si="61"/>
        <v>0</v>
      </c>
      <c r="U1000" t="b">
        <f t="shared" si="62"/>
        <v>0</v>
      </c>
    </row>
    <row r="1001" spans="1:21" x14ac:dyDescent="0.3">
      <c r="A1001">
        <v>1000</v>
      </c>
      <c r="B1001" t="s">
        <v>1016</v>
      </c>
      <c r="C1001" s="2">
        <v>46009</v>
      </c>
      <c r="D1001" s="2" t="str">
        <f t="shared" si="63"/>
        <v>Dec-2025</v>
      </c>
      <c r="E1001" s="2">
        <v>46013</v>
      </c>
      <c r="F1001" t="s">
        <v>1018</v>
      </c>
      <c r="G1001" t="s">
        <v>1253</v>
      </c>
      <c r="H1001" t="s">
        <v>1284</v>
      </c>
      <c r="I1001" t="s">
        <v>1287</v>
      </c>
      <c r="J1001" t="s">
        <v>1293</v>
      </c>
      <c r="K1001" t="s">
        <v>1304</v>
      </c>
      <c r="L1001" t="s">
        <v>1306</v>
      </c>
      <c r="M1001" t="s">
        <v>1324</v>
      </c>
      <c r="N1001">
        <v>4</v>
      </c>
      <c r="O1001">
        <v>0.05</v>
      </c>
      <c r="P1001">
        <v>347.8</v>
      </c>
      <c r="Q1001">
        <v>123.37</v>
      </c>
      <c r="R1001" t="s">
        <v>1332</v>
      </c>
      <c r="S1001" t="b">
        <f t="shared" si="60"/>
        <v>0</v>
      </c>
      <c r="T1001" t="b">
        <f t="shared" si="61"/>
        <v>0</v>
      </c>
      <c r="U1001" t="b">
        <f t="shared" si="62"/>
        <v>0</v>
      </c>
    </row>
    <row r="1002" spans="1:21" x14ac:dyDescent="0.3">
      <c r="A1002">
        <f t="shared" ref="A1002:R1002" si="64">COUNTBLANK(A1:A1001)</f>
        <v>0</v>
      </c>
      <c r="B1002">
        <f t="shared" si="64"/>
        <v>0</v>
      </c>
      <c r="C1002">
        <f t="shared" si="64"/>
        <v>0</v>
      </c>
      <c r="D1002" s="2"/>
      <c r="E1002">
        <f t="shared" si="64"/>
        <v>0</v>
      </c>
      <c r="F1002">
        <f t="shared" si="64"/>
        <v>0</v>
      </c>
      <c r="G1002">
        <f t="shared" si="64"/>
        <v>0</v>
      </c>
      <c r="H1002">
        <f t="shared" si="64"/>
        <v>0</v>
      </c>
      <c r="I1002">
        <f t="shared" si="64"/>
        <v>0</v>
      </c>
      <c r="J1002">
        <f t="shared" si="64"/>
        <v>0</v>
      </c>
      <c r="K1002">
        <f t="shared" si="64"/>
        <v>0</v>
      </c>
      <c r="L1002">
        <f t="shared" si="64"/>
        <v>0</v>
      </c>
      <c r="M1002">
        <f t="shared" si="64"/>
        <v>0</v>
      </c>
      <c r="N1002">
        <f>COUNTBLANK(N1:N1001)</f>
        <v>0</v>
      </c>
      <c r="O1002">
        <f t="shared" si="64"/>
        <v>0</v>
      </c>
      <c r="P1002">
        <f>COUNTBLANK(P1:P1001)</f>
        <v>0</v>
      </c>
      <c r="Q1002">
        <f t="shared" si="64"/>
        <v>0</v>
      </c>
      <c r="R1002">
        <f t="shared" si="64"/>
        <v>0</v>
      </c>
    </row>
    <row r="1003" spans="1:21" hidden="1" x14ac:dyDescent="0.3"/>
    <row r="1004" spans="1:21" hidden="1" x14ac:dyDescent="0.3"/>
  </sheetData>
  <autoFilter ref="A1:R1004" xr:uid="{00000000-0001-0000-0000-000000000000}">
    <filterColumn colId="6">
      <customFilters>
        <customFilter operator="notEqual" val=" "/>
      </customFilters>
    </filterColumn>
  </autoFilter>
  <conditionalFormatting sqref="A1:A1002 A1005:A1048576">
    <cfRule type="duplicateValues" dxfId="2" priority="1"/>
  </conditionalFormatting>
  <conditionalFormatting sqref="B1">
    <cfRule type="duplicateValues" dxfId="1" priority="3"/>
  </conditionalFormatting>
  <conditionalFormatting sqref="B1:B1002 B1005:B1048576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8D17-A0EE-4A9E-B6D7-A93E79A6B797}">
  <dimension ref="A3:D8"/>
  <sheetViews>
    <sheetView workbookViewId="0">
      <selection activeCell="E4" sqref="E4"/>
    </sheetView>
  </sheetViews>
  <sheetFormatPr defaultRowHeight="14.4" x14ac:dyDescent="0.3"/>
  <cols>
    <col min="1" max="1" width="14.21875" bestFit="1" customWidth="1"/>
    <col min="2" max="2" width="11.6640625" bestFit="1" customWidth="1"/>
    <col min="3" max="3" width="12.109375" bestFit="1" customWidth="1"/>
    <col min="4" max="15" width="6" bestFit="1" customWidth="1"/>
    <col min="16" max="16" width="5" bestFit="1" customWidth="1"/>
    <col min="17" max="20" width="6" bestFit="1" customWidth="1"/>
    <col min="21" max="21" width="5" bestFit="1" customWidth="1"/>
    <col min="22" max="24" width="6" bestFit="1" customWidth="1"/>
    <col min="25" max="25" width="7" bestFit="1" customWidth="1"/>
    <col min="26" max="27" width="6" bestFit="1" customWidth="1"/>
    <col min="28" max="32" width="7" bestFit="1" customWidth="1"/>
    <col min="33" max="33" width="4" bestFit="1" customWidth="1"/>
    <col min="34" max="36" width="7" bestFit="1" customWidth="1"/>
    <col min="37" max="37" width="6" bestFit="1" customWidth="1"/>
    <col min="38" max="59" width="7" bestFit="1" customWidth="1"/>
    <col min="60" max="60" width="6" bestFit="1" customWidth="1"/>
    <col min="61" max="70" width="7" bestFit="1" customWidth="1"/>
    <col min="71" max="71" width="6" bestFit="1" customWidth="1"/>
    <col min="72" max="82" width="7" bestFit="1" customWidth="1"/>
    <col min="83" max="83" width="6" bestFit="1" customWidth="1"/>
    <col min="84" max="121" width="7" bestFit="1" customWidth="1"/>
    <col min="122" max="122" width="6" bestFit="1" customWidth="1"/>
    <col min="123" max="123" width="7" bestFit="1" customWidth="1"/>
    <col min="124" max="124" width="6" bestFit="1" customWidth="1"/>
    <col min="125" max="135" width="7" bestFit="1" customWidth="1"/>
    <col min="136" max="136" width="6" bestFit="1" customWidth="1"/>
    <col min="137" max="143" width="7" bestFit="1" customWidth="1"/>
    <col min="144" max="144" width="4" bestFit="1" customWidth="1"/>
    <col min="145" max="148" width="7" bestFit="1" customWidth="1"/>
    <col min="149" max="149" width="6" bestFit="1" customWidth="1"/>
    <col min="150" max="150" width="7" bestFit="1" customWidth="1"/>
    <col min="151" max="151" width="4" bestFit="1" customWidth="1"/>
    <col min="152" max="171" width="7" bestFit="1" customWidth="1"/>
    <col min="172" max="172" width="6" bestFit="1" customWidth="1"/>
    <col min="173" max="175" width="7" bestFit="1" customWidth="1"/>
    <col min="176" max="176" width="6" bestFit="1" customWidth="1"/>
    <col min="177" max="177" width="4" bestFit="1" customWidth="1"/>
    <col min="178" max="178" width="6" bestFit="1" customWidth="1"/>
    <col min="179" max="181" width="7" bestFit="1" customWidth="1"/>
    <col min="182" max="182" width="6" bestFit="1" customWidth="1"/>
    <col min="183" max="194" width="7" bestFit="1" customWidth="1"/>
    <col min="195" max="195" width="4" bestFit="1" customWidth="1"/>
    <col min="196" max="203" width="7" bestFit="1" customWidth="1"/>
    <col min="204" max="204" width="6" bestFit="1" customWidth="1"/>
    <col min="205" max="211" width="7" bestFit="1" customWidth="1"/>
    <col min="212" max="212" width="6" bestFit="1" customWidth="1"/>
    <col min="213" max="215" width="7" bestFit="1" customWidth="1"/>
    <col min="216" max="216" width="6" bestFit="1" customWidth="1"/>
    <col min="217" max="225" width="7" bestFit="1" customWidth="1"/>
    <col min="226" max="226" width="6" bestFit="1" customWidth="1"/>
    <col min="227" max="233" width="7" bestFit="1" customWidth="1"/>
    <col min="234" max="234" width="6" bestFit="1" customWidth="1"/>
    <col min="235" max="245" width="7" bestFit="1" customWidth="1"/>
    <col min="246" max="246" width="6" bestFit="1" customWidth="1"/>
    <col min="247" max="273" width="7" bestFit="1" customWidth="1"/>
    <col min="274" max="274" width="6" bestFit="1" customWidth="1"/>
    <col min="275" max="278" width="7" bestFit="1" customWidth="1"/>
    <col min="279" max="279" width="6" bestFit="1" customWidth="1"/>
    <col min="280" max="282" width="7" bestFit="1" customWidth="1"/>
    <col min="283" max="283" width="6" bestFit="1" customWidth="1"/>
    <col min="284" max="289" width="7" bestFit="1" customWidth="1"/>
    <col min="290" max="290" width="6" bestFit="1" customWidth="1"/>
    <col min="291" max="291" width="7" bestFit="1" customWidth="1"/>
    <col min="292" max="292" width="6" bestFit="1" customWidth="1"/>
    <col min="293" max="299" width="7" bestFit="1" customWidth="1"/>
    <col min="300" max="300" width="6" bestFit="1" customWidth="1"/>
    <col min="301" max="316" width="7" bestFit="1" customWidth="1"/>
    <col min="317" max="317" width="6" bestFit="1" customWidth="1"/>
    <col min="318" max="333" width="7" bestFit="1" customWidth="1"/>
    <col min="334" max="341" width="8" bestFit="1" customWidth="1"/>
    <col min="342" max="342" width="5" bestFit="1" customWidth="1"/>
    <col min="343" max="348" width="8" bestFit="1" customWidth="1"/>
    <col min="349" max="350" width="7" bestFit="1" customWidth="1"/>
    <col min="351" max="354" width="8" bestFit="1" customWidth="1"/>
    <col min="355" max="355" width="7" bestFit="1" customWidth="1"/>
    <col min="356" max="366" width="8" bestFit="1" customWidth="1"/>
    <col min="367" max="367" width="7" bestFit="1" customWidth="1"/>
    <col min="368" max="369" width="8" bestFit="1" customWidth="1"/>
    <col min="370" max="371" width="7" bestFit="1" customWidth="1"/>
    <col min="372" max="377" width="8" bestFit="1" customWidth="1"/>
    <col min="378" max="379" width="7" bestFit="1" customWidth="1"/>
    <col min="380" max="381" width="8" bestFit="1" customWidth="1"/>
    <col min="382" max="382" width="7" bestFit="1" customWidth="1"/>
    <col min="383" max="404" width="8" bestFit="1" customWidth="1"/>
    <col min="405" max="405" width="7" bestFit="1" customWidth="1"/>
    <col min="406" max="430" width="8" bestFit="1" customWidth="1"/>
    <col min="431" max="432" width="7" bestFit="1" customWidth="1"/>
    <col min="433" max="446" width="8" bestFit="1" customWidth="1"/>
    <col min="447" max="447" width="7" bestFit="1" customWidth="1"/>
    <col min="448" max="453" width="8" bestFit="1" customWidth="1"/>
    <col min="454" max="454" width="7" bestFit="1" customWidth="1"/>
    <col min="455" max="465" width="8" bestFit="1" customWidth="1"/>
    <col min="466" max="466" width="7" bestFit="1" customWidth="1"/>
    <col min="467" max="474" width="8" bestFit="1" customWidth="1"/>
    <col min="475" max="475" width="7" bestFit="1" customWidth="1"/>
    <col min="476" max="492" width="8" bestFit="1" customWidth="1"/>
    <col min="493" max="493" width="7" bestFit="1" customWidth="1"/>
    <col min="494" max="497" width="8" bestFit="1" customWidth="1"/>
    <col min="498" max="498" width="7" bestFit="1" customWidth="1"/>
    <col min="499" max="502" width="8" bestFit="1" customWidth="1"/>
    <col min="503" max="503" width="7" bestFit="1" customWidth="1"/>
    <col min="504" max="522" width="8" bestFit="1" customWidth="1"/>
    <col min="523" max="523" width="7" bestFit="1" customWidth="1"/>
    <col min="524" max="524" width="8" bestFit="1" customWidth="1"/>
    <col min="525" max="525" width="7" bestFit="1" customWidth="1"/>
    <col min="526" max="530" width="8" bestFit="1" customWidth="1"/>
    <col min="531" max="531" width="7" bestFit="1" customWidth="1"/>
    <col min="532" max="532" width="8" bestFit="1" customWidth="1"/>
    <col min="533" max="533" width="7" bestFit="1" customWidth="1"/>
    <col min="534" max="535" width="8" bestFit="1" customWidth="1"/>
    <col min="536" max="536" width="7" bestFit="1" customWidth="1"/>
    <col min="537" max="537" width="5" bestFit="1" customWidth="1"/>
    <col min="538" max="545" width="8" bestFit="1" customWidth="1"/>
    <col min="546" max="546" width="7" bestFit="1" customWidth="1"/>
    <col min="547" max="552" width="8" bestFit="1" customWidth="1"/>
    <col min="553" max="553" width="7" bestFit="1" customWidth="1"/>
    <col min="554" max="554" width="8" bestFit="1" customWidth="1"/>
    <col min="555" max="555" width="7" bestFit="1" customWidth="1"/>
    <col min="556" max="563" width="8" bestFit="1" customWidth="1"/>
    <col min="564" max="565" width="7" bestFit="1" customWidth="1"/>
    <col min="566" max="582" width="8" bestFit="1" customWidth="1"/>
    <col min="583" max="583" width="7" bestFit="1" customWidth="1"/>
    <col min="584" max="593" width="8" bestFit="1" customWidth="1"/>
    <col min="594" max="594" width="7" bestFit="1" customWidth="1"/>
    <col min="595" max="609" width="8" bestFit="1" customWidth="1"/>
    <col min="610" max="610" width="7" bestFit="1" customWidth="1"/>
    <col min="611" max="619" width="8" bestFit="1" customWidth="1"/>
    <col min="620" max="620" width="7" bestFit="1" customWidth="1"/>
    <col min="621" max="640" width="8" bestFit="1" customWidth="1"/>
    <col min="641" max="641" width="7" bestFit="1" customWidth="1"/>
    <col min="642" max="648" width="8" bestFit="1" customWidth="1"/>
    <col min="649" max="649" width="7" bestFit="1" customWidth="1"/>
    <col min="650" max="655" width="8" bestFit="1" customWidth="1"/>
    <col min="656" max="656" width="5" bestFit="1" customWidth="1"/>
    <col min="657" max="658" width="7" bestFit="1" customWidth="1"/>
    <col min="659" max="661" width="8" bestFit="1" customWidth="1"/>
    <col min="662" max="662" width="7" bestFit="1" customWidth="1"/>
    <col min="663" max="665" width="8" bestFit="1" customWidth="1"/>
    <col min="666" max="666" width="7" bestFit="1" customWidth="1"/>
    <col min="667" max="669" width="8" bestFit="1" customWidth="1"/>
    <col min="670" max="670" width="5" bestFit="1" customWidth="1"/>
    <col min="671" max="683" width="8" bestFit="1" customWidth="1"/>
    <col min="684" max="684" width="7" bestFit="1" customWidth="1"/>
    <col min="685" max="695" width="8" bestFit="1" customWidth="1"/>
    <col min="696" max="697" width="7" bestFit="1" customWidth="1"/>
    <col min="698" max="698" width="8" bestFit="1" customWidth="1"/>
    <col min="699" max="699" width="7" bestFit="1" customWidth="1"/>
    <col min="700" max="700" width="8" bestFit="1" customWidth="1"/>
    <col min="701" max="701" width="7" bestFit="1" customWidth="1"/>
    <col min="702" max="703" width="8" bestFit="1" customWidth="1"/>
    <col min="704" max="704" width="7" bestFit="1" customWidth="1"/>
    <col min="705" max="722" width="8" bestFit="1" customWidth="1"/>
    <col min="723" max="723" width="7" bestFit="1" customWidth="1"/>
    <col min="724" max="729" width="8" bestFit="1" customWidth="1"/>
    <col min="730" max="730" width="5" bestFit="1" customWidth="1"/>
    <col min="731" max="731" width="8" bestFit="1" customWidth="1"/>
    <col min="732" max="732" width="7" bestFit="1" customWidth="1"/>
    <col min="733" max="737" width="8" bestFit="1" customWidth="1"/>
    <col min="738" max="738" width="7" bestFit="1" customWidth="1"/>
    <col min="739" max="751" width="8" bestFit="1" customWidth="1"/>
    <col min="752" max="752" width="7" bestFit="1" customWidth="1"/>
    <col min="753" max="758" width="8" bestFit="1" customWidth="1"/>
    <col min="759" max="759" width="7" bestFit="1" customWidth="1"/>
    <col min="760" max="772" width="8" bestFit="1" customWidth="1"/>
    <col min="773" max="773" width="7" bestFit="1" customWidth="1"/>
    <col min="774" max="776" width="8" bestFit="1" customWidth="1"/>
    <col min="777" max="777" width="7" bestFit="1" customWidth="1"/>
    <col min="778" max="786" width="8" bestFit="1" customWidth="1"/>
    <col min="787" max="787" width="7" bestFit="1" customWidth="1"/>
    <col min="788" max="792" width="8" bestFit="1" customWidth="1"/>
    <col min="793" max="793" width="5" bestFit="1" customWidth="1"/>
    <col min="794" max="807" width="8" bestFit="1" customWidth="1"/>
    <col min="808" max="809" width="7" bestFit="1" customWidth="1"/>
    <col min="810" max="820" width="8" bestFit="1" customWidth="1"/>
    <col min="821" max="821" width="7" bestFit="1" customWidth="1"/>
    <col min="822" max="841" width="8" bestFit="1" customWidth="1"/>
    <col min="842" max="843" width="7" bestFit="1" customWidth="1"/>
    <col min="844" max="848" width="8" bestFit="1" customWidth="1"/>
    <col min="849" max="849" width="7" bestFit="1" customWidth="1"/>
    <col min="850" max="860" width="8" bestFit="1" customWidth="1"/>
    <col min="861" max="862" width="7" bestFit="1" customWidth="1"/>
    <col min="863" max="869" width="8" bestFit="1" customWidth="1"/>
    <col min="870" max="870" width="7" bestFit="1" customWidth="1"/>
    <col min="871" max="873" width="8" bestFit="1" customWidth="1"/>
    <col min="874" max="874" width="7" bestFit="1" customWidth="1"/>
    <col min="875" max="876" width="8" bestFit="1" customWidth="1"/>
    <col min="877" max="877" width="7" bestFit="1" customWidth="1"/>
    <col min="878" max="881" width="8" bestFit="1" customWidth="1"/>
    <col min="882" max="882" width="7" bestFit="1" customWidth="1"/>
    <col min="883" max="884" width="8" bestFit="1" customWidth="1"/>
    <col min="885" max="885" width="7" bestFit="1" customWidth="1"/>
    <col min="886" max="899" width="8" bestFit="1" customWidth="1"/>
    <col min="900" max="900" width="7" bestFit="1" customWidth="1"/>
    <col min="901" max="904" width="8" bestFit="1" customWidth="1"/>
    <col min="905" max="905" width="7" bestFit="1" customWidth="1"/>
    <col min="906" max="914" width="8" bestFit="1" customWidth="1"/>
    <col min="915" max="915" width="7" bestFit="1" customWidth="1"/>
    <col min="916" max="924" width="8" bestFit="1" customWidth="1"/>
    <col min="925" max="925" width="7" bestFit="1" customWidth="1"/>
    <col min="926" max="932" width="8" bestFit="1" customWidth="1"/>
    <col min="933" max="955" width="9" bestFit="1" customWidth="1"/>
    <col min="956" max="956" width="8" bestFit="1" customWidth="1"/>
    <col min="957" max="969" width="9" bestFit="1" customWidth="1"/>
    <col min="970" max="972" width="8" bestFit="1" customWidth="1"/>
    <col min="973" max="987" width="9" bestFit="1" customWidth="1"/>
    <col min="988" max="988" width="8" bestFit="1" customWidth="1"/>
    <col min="989" max="995" width="9" bestFit="1" customWidth="1"/>
    <col min="996" max="996" width="8" bestFit="1" customWidth="1"/>
    <col min="997" max="1000" width="9" bestFit="1" customWidth="1"/>
    <col min="1001" max="1001" width="5.44140625" bestFit="1" customWidth="1"/>
    <col min="1002" max="1002" width="10.77734375" bestFit="1" customWidth="1"/>
  </cols>
  <sheetData>
    <row r="3" spans="1:4" x14ac:dyDescent="0.3">
      <c r="A3" s="4" t="s">
        <v>1359</v>
      </c>
      <c r="B3" t="s">
        <v>1361</v>
      </c>
      <c r="C3" t="s">
        <v>1362</v>
      </c>
    </row>
    <row r="4" spans="1:4" x14ac:dyDescent="0.3">
      <c r="A4" s="5" t="s">
        <v>1309</v>
      </c>
      <c r="B4" s="6">
        <v>751422.00999999966</v>
      </c>
      <c r="C4" s="6">
        <v>159717.33000000002</v>
      </c>
      <c r="D4">
        <f>C4/B4</f>
        <v>0.21255343585157971</v>
      </c>
    </row>
    <row r="5" spans="1:4" x14ac:dyDescent="0.3">
      <c r="A5" s="5" t="s">
        <v>1308</v>
      </c>
      <c r="B5" s="6">
        <v>1880322.7900000007</v>
      </c>
      <c r="C5" s="6">
        <v>386010.92</v>
      </c>
      <c r="D5">
        <f>C5/B5</f>
        <v>0.2052897098588056</v>
      </c>
    </row>
    <row r="6" spans="1:4" x14ac:dyDescent="0.3">
      <c r="A6" s="5" t="s">
        <v>1307</v>
      </c>
      <c r="B6" s="6">
        <v>423744.47999999986</v>
      </c>
      <c r="C6" s="6">
        <v>84586.190000000031</v>
      </c>
      <c r="D6">
        <f t="shared" ref="D6:D8" si="0">C6/B6</f>
        <v>0.19961602803651876</v>
      </c>
    </row>
    <row r="7" spans="1:4" x14ac:dyDescent="0.3">
      <c r="A7" s="5" t="s">
        <v>1306</v>
      </c>
      <c r="B7" s="6">
        <v>141427.42999999993</v>
      </c>
      <c r="C7" s="6">
        <v>29745.690000000002</v>
      </c>
      <c r="D7">
        <f t="shared" si="0"/>
        <v>0.21032475807557285</v>
      </c>
    </row>
    <row r="8" spans="1:4" x14ac:dyDescent="0.3">
      <c r="A8" s="5" t="s">
        <v>1360</v>
      </c>
      <c r="B8" s="6">
        <v>3196916.71</v>
      </c>
      <c r="C8" s="6">
        <v>660060.13000000012</v>
      </c>
      <c r="D8">
        <f t="shared" si="0"/>
        <v>0.20646772808791761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3E37-3371-42F5-951F-D92D49C02AB7}">
  <dimension ref="A3:B16"/>
  <sheetViews>
    <sheetView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1359</v>
      </c>
      <c r="B3" t="s">
        <v>1361</v>
      </c>
    </row>
    <row r="4" spans="1:2" x14ac:dyDescent="0.3">
      <c r="A4" s="5" t="s">
        <v>1292</v>
      </c>
      <c r="B4" s="6">
        <v>233094.34</v>
      </c>
    </row>
    <row r="5" spans="1:2" x14ac:dyDescent="0.3">
      <c r="A5" s="5" t="s">
        <v>1299</v>
      </c>
      <c r="B5" s="6">
        <v>238403.47000000012</v>
      </c>
    </row>
    <row r="6" spans="1:2" x14ac:dyDescent="0.3">
      <c r="A6" s="5" t="s">
        <v>1291</v>
      </c>
      <c r="B6" s="6">
        <v>244894.29000000007</v>
      </c>
    </row>
    <row r="7" spans="1:2" x14ac:dyDescent="0.3">
      <c r="A7" s="5" t="s">
        <v>1296</v>
      </c>
      <c r="B7" s="6">
        <v>277868.29000000004</v>
      </c>
    </row>
    <row r="8" spans="1:2" x14ac:dyDescent="0.3">
      <c r="A8" s="5" t="s">
        <v>1300</v>
      </c>
      <c r="B8" s="6">
        <v>274365.37</v>
      </c>
    </row>
    <row r="9" spans="1:2" x14ac:dyDescent="0.3">
      <c r="A9" s="5" t="s">
        <v>1297</v>
      </c>
      <c r="B9" s="6">
        <v>204184.97</v>
      </c>
    </row>
    <row r="10" spans="1:2" x14ac:dyDescent="0.3">
      <c r="A10" s="5" t="s">
        <v>1294</v>
      </c>
      <c r="B10" s="6">
        <v>407243.24999999988</v>
      </c>
    </row>
    <row r="11" spans="1:2" x14ac:dyDescent="0.3">
      <c r="A11" s="5" t="s">
        <v>1290</v>
      </c>
      <c r="B11" s="6">
        <v>254780.4</v>
      </c>
    </row>
    <row r="12" spans="1:2" x14ac:dyDescent="0.3">
      <c r="A12" s="5" t="s">
        <v>1295</v>
      </c>
      <c r="B12" s="6">
        <v>257144.90999999995</v>
      </c>
    </row>
    <row r="13" spans="1:2" x14ac:dyDescent="0.3">
      <c r="A13" s="5" t="s">
        <v>1298</v>
      </c>
      <c r="B13" s="6">
        <v>261500.02999999991</v>
      </c>
    </row>
    <row r="14" spans="1:2" x14ac:dyDescent="0.3">
      <c r="A14" s="5" t="s">
        <v>1293</v>
      </c>
      <c r="B14" s="6">
        <v>287505.84999999992</v>
      </c>
    </row>
    <row r="15" spans="1:2" x14ac:dyDescent="0.3">
      <c r="A15" s="5" t="s">
        <v>1301</v>
      </c>
      <c r="B15" s="6">
        <v>255931.53999999998</v>
      </c>
    </row>
    <row r="16" spans="1:2" x14ac:dyDescent="0.3">
      <c r="A16" s="5" t="s">
        <v>1360</v>
      </c>
      <c r="B16" s="6">
        <v>3196916.71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C3D9-34F3-4447-8FE2-D32925BCBF48}">
  <dimension ref="A3:B7"/>
  <sheetViews>
    <sheetView workbookViewId="0">
      <selection activeCell="O8" sqref="O8"/>
    </sheetView>
  </sheetViews>
  <sheetFormatPr defaultRowHeight="14.4" x14ac:dyDescent="0.3"/>
  <cols>
    <col min="1" max="1" width="12.6640625" bestFit="1" customWidth="1"/>
    <col min="2" max="2" width="11.6640625" bestFit="1" customWidth="1"/>
  </cols>
  <sheetData>
    <row r="3" spans="1:2" x14ac:dyDescent="0.3">
      <c r="A3" s="4" t="s">
        <v>1359</v>
      </c>
      <c r="B3" t="s">
        <v>1361</v>
      </c>
    </row>
    <row r="4" spans="1:2" x14ac:dyDescent="0.3">
      <c r="A4" s="5" t="s">
        <v>1287</v>
      </c>
      <c r="B4" s="6">
        <v>1643758.8900000013</v>
      </c>
    </row>
    <row r="5" spans="1:2" x14ac:dyDescent="0.3">
      <c r="A5" s="5" t="s">
        <v>1288</v>
      </c>
      <c r="B5" s="6">
        <v>963128.17000000051</v>
      </c>
    </row>
    <row r="6" spans="1:2" x14ac:dyDescent="0.3">
      <c r="A6" s="5" t="s">
        <v>1289</v>
      </c>
      <c r="B6" s="6">
        <v>590029.65000000014</v>
      </c>
    </row>
    <row r="7" spans="1:2" x14ac:dyDescent="0.3">
      <c r="A7" s="5" t="s">
        <v>1360</v>
      </c>
      <c r="B7" s="6">
        <v>3196916.7100000018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8B94-E66C-4C98-89A9-CBDD56DAE084}">
  <dimension ref="A3:B10"/>
  <sheetViews>
    <sheetView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1359</v>
      </c>
      <c r="B3" t="s">
        <v>1361</v>
      </c>
    </row>
    <row r="4" spans="1:2" x14ac:dyDescent="0.3">
      <c r="A4" s="5" t="s">
        <v>1334</v>
      </c>
      <c r="B4" s="6">
        <v>184958.97999999995</v>
      </c>
    </row>
    <row r="5" spans="1:2" x14ac:dyDescent="0.3">
      <c r="A5" s="5" t="s">
        <v>1333</v>
      </c>
      <c r="B5" s="6">
        <v>604977.45000000007</v>
      </c>
    </row>
    <row r="6" spans="1:2" x14ac:dyDescent="0.3">
      <c r="A6" s="5" t="s">
        <v>1332</v>
      </c>
      <c r="B6" s="6">
        <v>595647.47</v>
      </c>
    </row>
    <row r="7" spans="1:2" x14ac:dyDescent="0.3">
      <c r="A7" s="5" t="s">
        <v>1330</v>
      </c>
      <c r="B7" s="6">
        <v>436990.52000000019</v>
      </c>
    </row>
    <row r="8" spans="1:2" x14ac:dyDescent="0.3">
      <c r="A8" s="5" t="s">
        <v>1350</v>
      </c>
      <c r="B8" s="6">
        <v>1027.74</v>
      </c>
    </row>
    <row r="9" spans="1:2" x14ac:dyDescent="0.3">
      <c r="A9" s="5" t="s">
        <v>1331</v>
      </c>
      <c r="B9" s="6">
        <v>1373314.5500000003</v>
      </c>
    </row>
    <row r="10" spans="1:2" x14ac:dyDescent="0.3">
      <c r="A10" s="5" t="s">
        <v>1360</v>
      </c>
      <c r="B10" s="6">
        <v>3196916.7100000004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F914-1EE6-4695-9FCC-428511B41DFB}">
  <dimension ref="A3:B16"/>
  <sheetViews>
    <sheetView workbookViewId="0">
      <selection activeCell="O9" sqref="O9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1359</v>
      </c>
      <c r="B3" t="s">
        <v>1361</v>
      </c>
    </row>
    <row r="4" spans="1:2" x14ac:dyDescent="0.3">
      <c r="A4" s="5" t="s">
        <v>1364</v>
      </c>
      <c r="B4" s="6">
        <v>310797.0400000001</v>
      </c>
    </row>
    <row r="5" spans="1:2" x14ac:dyDescent="0.3">
      <c r="A5" s="5" t="s">
        <v>1365</v>
      </c>
      <c r="B5" s="6">
        <v>236970.41999999998</v>
      </c>
    </row>
    <row r="6" spans="1:2" x14ac:dyDescent="0.3">
      <c r="A6" s="5" t="s">
        <v>1366</v>
      </c>
      <c r="B6" s="6">
        <v>244668.68000000002</v>
      </c>
    </row>
    <row r="7" spans="1:2" x14ac:dyDescent="0.3">
      <c r="A7" s="5" t="s">
        <v>1367</v>
      </c>
      <c r="B7" s="6">
        <v>267784.33999999991</v>
      </c>
    </row>
    <row r="8" spans="1:2" x14ac:dyDescent="0.3">
      <c r="A8" s="5" t="s">
        <v>1368</v>
      </c>
      <c r="B8" s="6">
        <v>272347.10000000003</v>
      </c>
    </row>
    <row r="9" spans="1:2" x14ac:dyDescent="0.3">
      <c r="A9" s="5" t="s">
        <v>1369</v>
      </c>
      <c r="B9" s="6">
        <v>326949.64999999997</v>
      </c>
    </row>
    <row r="10" spans="1:2" x14ac:dyDescent="0.3">
      <c r="A10" s="5" t="s">
        <v>1370</v>
      </c>
      <c r="B10" s="6">
        <v>287405.88</v>
      </c>
    </row>
    <row r="11" spans="1:2" x14ac:dyDescent="0.3">
      <c r="A11" s="5" t="s">
        <v>1371</v>
      </c>
      <c r="B11" s="6">
        <v>318551.36</v>
      </c>
    </row>
    <row r="12" spans="1:2" x14ac:dyDescent="0.3">
      <c r="A12" s="5" t="s">
        <v>1372</v>
      </c>
      <c r="B12" s="6">
        <v>235137.25999999992</v>
      </c>
    </row>
    <row r="13" spans="1:2" x14ac:dyDescent="0.3">
      <c r="A13" s="5" t="s">
        <v>1373</v>
      </c>
      <c r="B13" s="6">
        <v>206863.41</v>
      </c>
    </row>
    <row r="14" spans="1:2" x14ac:dyDescent="0.3">
      <c r="A14" s="5" t="s">
        <v>1374</v>
      </c>
      <c r="B14" s="6">
        <v>294198.93999999994</v>
      </c>
    </row>
    <row r="15" spans="1:2" x14ac:dyDescent="0.3">
      <c r="A15" s="5" t="s">
        <v>1375</v>
      </c>
      <c r="B15" s="6">
        <v>195242.63</v>
      </c>
    </row>
    <row r="16" spans="1:2" x14ac:dyDescent="0.3">
      <c r="A16" s="5" t="s">
        <v>1360</v>
      </c>
      <c r="B16" s="6">
        <v>3196916.7099999995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BCC1-0F39-4D7B-A6E9-D72CE5CC3D07}">
  <dimension ref="A1:D4"/>
  <sheetViews>
    <sheetView workbookViewId="0">
      <selection activeCell="D10" sqref="D10"/>
    </sheetView>
  </sheetViews>
  <sheetFormatPr defaultRowHeight="14.4" x14ac:dyDescent="0.3"/>
  <cols>
    <col min="1" max="1" width="27.33203125" customWidth="1"/>
    <col min="2" max="2" width="16.21875" customWidth="1"/>
  </cols>
  <sheetData>
    <row r="1" spans="1:4" x14ac:dyDescent="0.3">
      <c r="A1" t="s">
        <v>1351</v>
      </c>
      <c r="B1" t="s">
        <v>1352</v>
      </c>
    </row>
    <row r="2" spans="1:4" x14ac:dyDescent="0.3">
      <c r="A2" t="s">
        <v>1353</v>
      </c>
      <c r="B2">
        <f>SUM(Cleaned_Data!P:P)</f>
        <v>3196916.7099999962</v>
      </c>
      <c r="D2" t="s">
        <v>1356</v>
      </c>
    </row>
    <row r="3" spans="1:4" x14ac:dyDescent="0.3">
      <c r="A3" t="s">
        <v>1354</v>
      </c>
      <c r="B3">
        <f>SUM(Cleaned_Data!Q:Q)</f>
        <v>660060.13000000024</v>
      </c>
      <c r="D3" t="s">
        <v>1357</v>
      </c>
    </row>
    <row r="4" spans="1:4" x14ac:dyDescent="0.3">
      <c r="A4" t="s">
        <v>1355</v>
      </c>
      <c r="B4">
        <f>SUM(Cleaned_Data!N:N)</f>
        <v>2203</v>
      </c>
      <c r="D4" t="s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Sales_Data</vt:lpstr>
      <vt:lpstr>Data quality check</vt:lpstr>
      <vt:lpstr>Cleaned_Data</vt:lpstr>
      <vt:lpstr>Sales by Category</vt:lpstr>
      <vt:lpstr>Sales by City</vt:lpstr>
      <vt:lpstr>Sales by Customer Segment</vt:lpstr>
      <vt:lpstr>Sales by Payment Mode</vt:lpstr>
      <vt:lpstr>Monthly Sales Trend</vt:lpstr>
      <vt:lpstr>Total Sales, Profit &amp; 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Joshua</cp:lastModifiedBy>
  <dcterms:created xsi:type="dcterms:W3CDTF">2026-09-15T07:22:37Z</dcterms:created>
  <dcterms:modified xsi:type="dcterms:W3CDTF">2026-09-16T07:08:26Z</dcterms:modified>
</cp:coreProperties>
</file>